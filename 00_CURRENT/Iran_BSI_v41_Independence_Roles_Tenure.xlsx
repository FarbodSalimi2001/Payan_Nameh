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farbodsalimi/Documents/Payan_Nameh/00_CURRENT/"/>
    </mc:Choice>
  </mc:AlternateContent>
  <xr:revisionPtr revIDLastSave="0" documentId="13_ncr:1_{07FDBE5C-207F-5F40-8F6A-BB7164111572}" xr6:coauthVersionLast="47" xr6:coauthVersionMax="47" xr10:uidLastSave="{00000000-0000-0000-0000-000000000000}"/>
  <bookViews>
    <workbookView xWindow="0" yWindow="660" windowWidth="29400" windowHeight="17300" xr2:uid="{00000000-000D-0000-FFFF-FFFF00000000}"/>
  </bookViews>
  <sheets>
    <sheet name="راهنمای نسخه v39" sheetId="1" r:id="rId1"/>
    <sheet name="Gap Review v39" sheetId="2" r:id="rId2"/>
    <sheet name="CR1A v39" sheetId="3" r:id="rId3"/>
    <sheet name="Sources v39" sheetId="4" r:id="rId4"/>
    <sheet name="QA v39" sheetId="5" r:id="rId5"/>
    <sheet name="راهنمای نسخه v37" sheetId="6" r:id="rId6"/>
    <sheet name="راهنمای محاسبات و منابع" sheetId="7" r:id="rId7"/>
    <sheet name="گپ های باز" sheetId="8" r:id="rId8"/>
    <sheet name="خلاصه نهایی" sheetId="9" r:id="rId9"/>
    <sheet name="جدول استاد" sheetId="10" r:id="rId10"/>
    <sheet name="کاندید دکترا N02" sheetId="11" r:id="rId11"/>
    <sheet name="معماری به روز شده" sheetId="12" r:id="rId12"/>
    <sheet name="Constructهای مستقل" sheetId="13" r:id="rId13"/>
    <sheet name="وضعیت ۳۰ شرکت" sheetId="14" r:id="rId14"/>
    <sheet name="Turnover نهایی" sheetId="15" r:id="rId15"/>
    <sheet name="پوشش نهایی" sheetId="16" r:id="rId16"/>
    <sheet name="Variation نهایی" sheetId="17" r:id="rId17"/>
    <sheet name="Correlation" sheetId="18" r:id="rId18"/>
    <sheet name="Construct ایران محور" sheetId="19" r:id="rId19"/>
    <sheet name="۱۲ شاخص اصلی BSI" sheetId="20" r:id="rId20"/>
    <sheet name="ثبت منابع Batchها" sheetId="21" r:id="rId21"/>
    <sheet name="Audit Trail" sheetId="22" r:id="rId22"/>
    <sheet name="چک لیست نهایی" sheetId="23" r:id="rId23"/>
    <sheet name="تغییرات ممیزی v36" sheetId="24" r:id="rId24"/>
    <sheet name="خلاصه ممیزی" sheetId="25" r:id="rId25"/>
    <sheet name="Audit Workbook" sheetId="26" r:id="rId26"/>
    <sheet name="Audit شرکت ها" sheetId="27" r:id="rId27"/>
    <sheet name="Audit Measureها" sheetId="28" r:id="rId28"/>
    <sheet name="Audit فرمول ها" sheetId="29" r:id="rId29"/>
    <sheet name="Audit منابع" sheetId="30" r:id="rId30"/>
    <sheet name="Audit Cutoff" sheetId="31" r:id="rId31"/>
    <sheet name="Audit Missingness" sheetId="32" r:id="rId32"/>
    <sheet name="Audit Coverage" sheetId="33" r:id="rId33"/>
    <sheet name="Audit Turnover" sheetId="34" r:id="rId34"/>
    <sheet name="Audit Representative Change" sheetId="35" r:id="rId35"/>
    <sheet name="Audit Legal Entity Change" sheetId="36" r:id="rId36"/>
    <sheet name="Audit Diversity" sheetId="37" r:id="rId37"/>
    <sheet name="Audit Independence" sheetId="38" r:id="rId38"/>
    <sheet name="Audit Committees" sheetId="39" r:id="rId39"/>
    <sheet name="Audit Directionality" sheetId="40" r:id="rId40"/>
    <sheet name="Audit Redundancy" sheetId="41" r:id="rId41"/>
    <sheet name="Conflict Log" sheetId="42" r:id="rId42"/>
    <sheet name="Required Corrections" sheetId="43" r:id="rId43"/>
    <sheet name="Verified Measures" sheetId="44" r:id="rId44"/>
    <sheet name="Final Audit Verdict" sheetId="45" r:id="rId45"/>
    <sheet name="خلاصه Candidateها" sheetId="46" r:id="rId46"/>
    <sheet name="تمام Measureهای پیشنهادی" sheetId="47" r:id="rId47"/>
    <sheet name="Measureهای فعلی" sheetId="48" r:id="rId48"/>
    <sheet name="Measureهای جدید" sheetId="49" r:id="rId49"/>
    <sheet name="Construct Family" sheetId="50" r:id="rId50"/>
    <sheet name="Feasibility Test" sheetId="51" r:id="rId51"/>
    <sheet name="Source Availability" sheetId="52" r:id="rId52"/>
    <sheet name="Coverage Potential" sheetId="53" r:id="rId53"/>
    <sheet name="Historical Feasibility" sheetId="54" r:id="rId54"/>
    <sheet name="Scalability 500 Firms" sheetId="55" r:id="rId55"/>
    <sheet name="Automation Potential" sheetId="56" r:id="rId56"/>
    <sheet name="Directionality" sheetId="57" r:id="rId57"/>
    <sheet name="Overlap Matrix" sheetId="58" r:id="rId58"/>
    <sheet name="Incremental Information" sheetId="59" r:id="rId59"/>
    <sheet name="Robustness Measures" sheetId="60" r:id="rId60"/>
    <sheet name="Targeted Validation" sheetId="61" r:id="rId61"/>
    <sheet name="Scale Up Candidates" sheetId="62" r:id="rId62"/>
    <sheet name="Drop Candidates" sheetId="63" r:id="rId63"/>
    <sheet name="Final Recommended Architecture" sheetId="64" r:id="rId64"/>
    <sheet name="Turnover Resolution Audit" sheetId="65" r:id="rId65"/>
    <sheet name="Turnover Resolution Summary" sheetId="66" r:id="rId66"/>
    <sheet name="Turnover Seat Reconstruction" sheetId="67" r:id="rId67"/>
    <sheet name="v38 Change Log" sheetId="68" r:id="rId68"/>
    <sheet name="Changes v39" sheetId="69" r:id="rId69"/>
    <sheet name="AC Members v40" sheetId="70" r:id="rId70"/>
    <sheet name="AC Company v40" sheetId="71" r:id="rId71"/>
    <sheet name="AC Sources v40" sheetId="72" r:id="rId72"/>
    <sheet name="AC Dictionary v40" sheetId="73" r:id="rId73"/>
    <sheet name="AC Candidates v40" sheetId="74" r:id="rId74"/>
    <sheet name="AC Audit v40" sheetId="75" r:id="rId75"/>
    <sheet name="AC Coverage v40" sheetId="76" r:id="rId76"/>
    <sheet name="Changes v40" sheetId="77" r:id="rId77"/>
    <sheet name="BR Scope v41" sheetId="78" r:id="rId78"/>
    <sheet name="BR Independence v41" sheetId="79" r:id="rId79"/>
    <sheet name="BR Roles v41" sheetId="80" r:id="rId80"/>
    <sheet name="BR Tenure v41" sheetId="81" r:id="rId81"/>
    <sheet name="BR Summary v41" sheetId="82" r:id="rId82"/>
    <sheet name="BR Sources v41" sheetId="83" r:id="rId83"/>
    <sheet name="BR Audit v41" sheetId="84" r:id="rId84"/>
    <sheet name="BR Dictionary v41" sheetId="85" r:id="rId85"/>
    <sheet name="BR Coverage v41" sheetId="86" r:id="rId86"/>
    <sheet name="Changes v41" sheetId="87" r:id="rId87"/>
    <sheet name="QA v41" sheetId="88" r:id="rId88"/>
  </sheets>
  <definedNames>
    <definedName name="_xlnm._FilterDatabase" localSheetId="19" hidden="1">'۱۲ شاخص اصلی BSI'!$A$1:$I$15</definedName>
    <definedName name="_xlnm._FilterDatabase" localSheetId="21" hidden="1">'Audit Trail'!$A$1:$E$9</definedName>
    <definedName name="_xlnm._FilterDatabase" localSheetId="68" hidden="1">'Changes v39'!$A$3:$E$159</definedName>
    <definedName name="_xlnm._FilterDatabase" localSheetId="18" hidden="1">'Construct ایران محور'!$A$3:$G$12</definedName>
    <definedName name="_xlnm._FilterDatabase" localSheetId="17" hidden="1">Correlation!$A$3:$G$7</definedName>
    <definedName name="_xlnm._FilterDatabase" localSheetId="2" hidden="1">'CR1A v39'!$A$3:$N$33</definedName>
    <definedName name="_xlnm._FilterDatabase" localSheetId="1" hidden="1">'Gap Review v39'!$A$3:$G$7</definedName>
    <definedName name="_xlnm._FilterDatabase" localSheetId="3" hidden="1">'Sources v39'!$A$3:$I$13</definedName>
    <definedName name="_xlnm._FilterDatabase" localSheetId="14" hidden="1">'Turnover نهایی'!$A$3:$AA$33</definedName>
    <definedName name="_xlnm._FilterDatabase" localSheetId="16" hidden="1">'Variation نهایی'!$A$3:$L$8</definedName>
    <definedName name="_xlnm._FilterDatabase" localSheetId="15" hidden="1">'پوشش نهایی'!$A$3:$M$9</definedName>
    <definedName name="_xlnm._FilterDatabase" localSheetId="20" hidden="1">'ثبت منابع Batchها'!$A$1:$J$56</definedName>
    <definedName name="_xlnm._FilterDatabase" localSheetId="22" hidden="1">'چک لیست نهایی'!$A$1:$D$11</definedName>
    <definedName name="_xlnm._FilterDatabase" localSheetId="6" hidden="1">'راهنمای محاسبات و منابع'!$A$4:$H$39</definedName>
    <definedName name="_xlnm._FilterDatabase" localSheetId="0" hidden="1">'راهنمای نسخه v39'!$A$3:$D$17</definedName>
    <definedName name="_xlnm._FilterDatabase" localSheetId="13" hidden="1">'وضعیت ۳۰ شرکت'!$A$3:$I$33</definedName>
    <definedName name="_xlnm.Print_Titles" localSheetId="68">'Changes v39'!$1:$3</definedName>
    <definedName name="_xlnm.Print_Titles" localSheetId="2">'CR1A v39'!$1:$3</definedName>
    <definedName name="_xlnm.Print_Titles" localSheetId="1">'Gap Review v39'!$1:$3</definedName>
    <definedName name="_xlnm.Print_Titles" localSheetId="4">'QA v39'!$1:$3</definedName>
    <definedName name="_xlnm.Print_Titles" localSheetId="3">'Sources v39'!$1:$3</definedName>
    <definedName name="_xlnm.Print_Titles" localSheetId="0">'راهنمای نسخه v39'!$1:$3</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88" l="1"/>
  <c r="AF33" i="82"/>
  <c r="AD33" i="82"/>
  <c r="AA33" i="82"/>
  <c r="Z33" i="82"/>
  <c r="Y33" i="82"/>
  <c r="X33" i="82"/>
  <c r="W33" i="82"/>
  <c r="N33" i="82"/>
  <c r="K33" i="82"/>
  <c r="J33" i="82"/>
  <c r="I33" i="82"/>
  <c r="AF32" i="82"/>
  <c r="AD32" i="82"/>
  <c r="AA32" i="82"/>
  <c r="Z32" i="82"/>
  <c r="Y32" i="82"/>
  <c r="X32" i="82"/>
  <c r="W32" i="82"/>
  <c r="N32" i="82"/>
  <c r="K32" i="82"/>
  <c r="J32" i="82"/>
  <c r="I32" i="82"/>
  <c r="AH31" i="82"/>
  <c r="AG31" i="82"/>
  <c r="AF31" i="82"/>
  <c r="AE31" i="82"/>
  <c r="AD31" i="82"/>
  <c r="AA31" i="82"/>
  <c r="Z31" i="82"/>
  <c r="Y31" i="82"/>
  <c r="X31" i="82"/>
  <c r="W31" i="82"/>
  <c r="AF30" i="82"/>
  <c r="AD30" i="82"/>
  <c r="AA30" i="82"/>
  <c r="Z30" i="82"/>
  <c r="Y30" i="82"/>
  <c r="X30" i="82"/>
  <c r="W30" i="82"/>
  <c r="N30" i="82"/>
  <c r="K30" i="82"/>
  <c r="J30" i="82"/>
  <c r="L30" i="82" s="1"/>
  <c r="I30" i="82"/>
  <c r="AF29" i="82"/>
  <c r="AD29" i="82"/>
  <c r="AA29" i="82"/>
  <c r="Z29" i="82"/>
  <c r="Y29" i="82"/>
  <c r="X29" i="82"/>
  <c r="W29" i="82"/>
  <c r="N29" i="82"/>
  <c r="K29" i="82"/>
  <c r="J29" i="82"/>
  <c r="I29" i="82"/>
  <c r="AF28" i="82"/>
  <c r="AD28" i="82"/>
  <c r="AA28" i="82"/>
  <c r="Z28" i="82"/>
  <c r="Y28" i="82"/>
  <c r="X28" i="82"/>
  <c r="W28" i="82"/>
  <c r="N28" i="82"/>
  <c r="K28" i="82"/>
  <c r="J28" i="82"/>
  <c r="L28" i="82" s="1"/>
  <c r="I28" i="82"/>
  <c r="AF27" i="82"/>
  <c r="AD27" i="82"/>
  <c r="AA27" i="82"/>
  <c r="Z27" i="82"/>
  <c r="Y27" i="82"/>
  <c r="X27" i="82"/>
  <c r="W27" i="82"/>
  <c r="N27" i="82"/>
  <c r="K27" i="82"/>
  <c r="J27" i="82"/>
  <c r="L27" i="82" s="1"/>
  <c r="I27" i="82"/>
  <c r="AF26" i="82"/>
  <c r="AD26" i="82"/>
  <c r="AA26" i="82"/>
  <c r="Z26" i="82"/>
  <c r="Y26" i="82"/>
  <c r="X26" i="82"/>
  <c r="W26" i="82"/>
  <c r="N26" i="82"/>
  <c r="K26" i="82"/>
  <c r="J26" i="82"/>
  <c r="I26" i="82"/>
  <c r="AF25" i="82"/>
  <c r="AD25" i="82"/>
  <c r="AA25" i="82"/>
  <c r="Z25" i="82"/>
  <c r="Y25" i="82"/>
  <c r="X25" i="82"/>
  <c r="W25" i="82"/>
  <c r="N25" i="82"/>
  <c r="K25" i="82"/>
  <c r="J25" i="82"/>
  <c r="I25" i="82"/>
  <c r="AF24" i="82"/>
  <c r="AD24" i="82"/>
  <c r="AA24" i="82"/>
  <c r="Z24" i="82"/>
  <c r="Y24" i="82"/>
  <c r="X24" i="82"/>
  <c r="W24" i="82"/>
  <c r="N24" i="82"/>
  <c r="K24" i="82"/>
  <c r="J24" i="82"/>
  <c r="I24" i="82"/>
  <c r="AF23" i="82"/>
  <c r="AD23" i="82"/>
  <c r="AA23" i="82"/>
  <c r="Z23" i="82"/>
  <c r="Y23" i="82"/>
  <c r="X23" i="82"/>
  <c r="W23" i="82"/>
  <c r="N23" i="82"/>
  <c r="K23" i="82"/>
  <c r="J23" i="82"/>
  <c r="I23" i="82"/>
  <c r="AF22" i="82"/>
  <c r="AD22" i="82"/>
  <c r="AA22" i="82"/>
  <c r="Z22" i="82"/>
  <c r="Y22" i="82"/>
  <c r="X22" i="82"/>
  <c r="W22" i="82"/>
  <c r="N22" i="82"/>
  <c r="K22" i="82"/>
  <c r="J22" i="82"/>
  <c r="I22" i="82"/>
  <c r="AF21" i="82"/>
  <c r="AD21" i="82"/>
  <c r="AA21" i="82"/>
  <c r="Z21" i="82"/>
  <c r="Y21" i="82"/>
  <c r="X21" i="82"/>
  <c r="W21" i="82"/>
  <c r="N21" i="82"/>
  <c r="K21" i="82"/>
  <c r="J21" i="82"/>
  <c r="I21" i="82"/>
  <c r="AF20" i="82"/>
  <c r="AD20" i="82"/>
  <c r="AA20" i="82"/>
  <c r="Z20" i="82"/>
  <c r="Y20" i="82"/>
  <c r="X20" i="82"/>
  <c r="W20" i="82"/>
  <c r="N20" i="82"/>
  <c r="K20" i="82"/>
  <c r="J20" i="82"/>
  <c r="I20" i="82"/>
  <c r="AF19" i="82"/>
  <c r="AD19" i="82"/>
  <c r="AA19" i="82"/>
  <c r="Z19" i="82"/>
  <c r="Y19" i="82"/>
  <c r="X19" i="82"/>
  <c r="W19" i="82"/>
  <c r="N19" i="82"/>
  <c r="K19" i="82"/>
  <c r="J19" i="82"/>
  <c r="I19" i="82"/>
  <c r="AF18" i="82"/>
  <c r="AD18" i="82"/>
  <c r="AA18" i="82"/>
  <c r="Z18" i="82"/>
  <c r="Y18" i="82"/>
  <c r="X18" i="82"/>
  <c r="W18" i="82"/>
  <c r="N18" i="82"/>
  <c r="K18" i="82"/>
  <c r="J18" i="82"/>
  <c r="I18" i="82"/>
  <c r="AF17" i="82"/>
  <c r="AD17" i="82"/>
  <c r="AA17" i="82"/>
  <c r="Z17" i="82"/>
  <c r="Y17" i="82"/>
  <c r="X17" i="82"/>
  <c r="W17" i="82"/>
  <c r="N17" i="82"/>
  <c r="K17" i="82"/>
  <c r="J17" i="82"/>
  <c r="I17" i="82"/>
  <c r="AF16" i="82"/>
  <c r="AD16" i="82"/>
  <c r="AA16" i="82"/>
  <c r="Z16" i="82"/>
  <c r="Y16" i="82"/>
  <c r="X16" i="82"/>
  <c r="W16" i="82"/>
  <c r="N16" i="82"/>
  <c r="K16" i="82"/>
  <c r="J16" i="82"/>
  <c r="L16" i="82" s="1"/>
  <c r="I16" i="82"/>
  <c r="AF15" i="82"/>
  <c r="AD15" i="82"/>
  <c r="AA15" i="82"/>
  <c r="Z15" i="82"/>
  <c r="Y15" i="82"/>
  <c r="X15" i="82"/>
  <c r="W15" i="82"/>
  <c r="N15" i="82"/>
  <c r="K15" i="82"/>
  <c r="J15" i="82"/>
  <c r="I15" i="82"/>
  <c r="AF14" i="82"/>
  <c r="AD14" i="82"/>
  <c r="AA14" i="82"/>
  <c r="Z14" i="82"/>
  <c r="Y14" i="82"/>
  <c r="X14" i="82"/>
  <c r="W14" i="82"/>
  <c r="N14" i="82"/>
  <c r="K14" i="82"/>
  <c r="J14" i="82"/>
  <c r="L14" i="82" s="1"/>
  <c r="I14" i="82"/>
  <c r="AF13" i="82"/>
  <c r="AD13" i="82"/>
  <c r="AA13" i="82"/>
  <c r="Z13" i="82"/>
  <c r="Y13" i="82"/>
  <c r="X13" i="82"/>
  <c r="W13" i="82"/>
  <c r="N13" i="82"/>
  <c r="K13" i="82"/>
  <c r="J13" i="82"/>
  <c r="I13" i="82"/>
  <c r="AF12" i="82"/>
  <c r="AD12" i="82"/>
  <c r="AA12" i="82"/>
  <c r="Z12" i="82"/>
  <c r="Y12" i="82"/>
  <c r="X12" i="82"/>
  <c r="W12" i="82"/>
  <c r="N12" i="82"/>
  <c r="K12" i="82"/>
  <c r="J12" i="82"/>
  <c r="I12" i="82"/>
  <c r="AF11" i="82"/>
  <c r="AD11" i="82"/>
  <c r="AA11" i="82"/>
  <c r="Z11" i="82"/>
  <c r="Y11" i="82"/>
  <c r="X11" i="82"/>
  <c r="W11" i="82"/>
  <c r="N11" i="82"/>
  <c r="K11" i="82"/>
  <c r="J11" i="82"/>
  <c r="I11" i="82"/>
  <c r="AF10" i="82"/>
  <c r="AD10" i="82"/>
  <c r="AA10" i="82"/>
  <c r="Z10" i="82"/>
  <c r="Y10" i="82"/>
  <c r="X10" i="82"/>
  <c r="W10" i="82"/>
  <c r="N10" i="82"/>
  <c r="K10" i="82"/>
  <c r="J10" i="82"/>
  <c r="L10" i="82" s="1"/>
  <c r="I10" i="82"/>
  <c r="AF9" i="82"/>
  <c r="AD9" i="82"/>
  <c r="AA9" i="82"/>
  <c r="Z9" i="82"/>
  <c r="Y9" i="82"/>
  <c r="X9" i="82"/>
  <c r="W9" i="82"/>
  <c r="N9" i="82"/>
  <c r="K9" i="82"/>
  <c r="J9" i="82"/>
  <c r="L9" i="82" s="1"/>
  <c r="I9" i="82"/>
  <c r="AF8" i="82"/>
  <c r="AD8" i="82"/>
  <c r="AA8" i="82"/>
  <c r="Z8" i="82"/>
  <c r="Y8" i="82"/>
  <c r="X8" i="82"/>
  <c r="W8" i="82"/>
  <c r="N8" i="82"/>
  <c r="K8" i="82"/>
  <c r="J8" i="82"/>
  <c r="L8" i="82" s="1"/>
  <c r="I8" i="82"/>
  <c r="AF7" i="82"/>
  <c r="AD7" i="82"/>
  <c r="AA7" i="82"/>
  <c r="Z7" i="82"/>
  <c r="Y7" i="82"/>
  <c r="X7" i="82"/>
  <c r="W7" i="82"/>
  <c r="N7" i="82"/>
  <c r="K7" i="82"/>
  <c r="J7" i="82"/>
  <c r="L7" i="82" s="1"/>
  <c r="I7" i="82"/>
  <c r="AF6" i="82"/>
  <c r="AD6" i="82"/>
  <c r="AA6" i="82"/>
  <c r="Z6" i="82"/>
  <c r="Y6" i="82"/>
  <c r="X6" i="82"/>
  <c r="W6" i="82"/>
  <c r="N6" i="82"/>
  <c r="K6" i="82"/>
  <c r="J6" i="82"/>
  <c r="L6" i="82" s="1"/>
  <c r="I6" i="82"/>
  <c r="AF5" i="82"/>
  <c r="AD5" i="82"/>
  <c r="AA5" i="82"/>
  <c r="Z5" i="82"/>
  <c r="Y5" i="82"/>
  <c r="X5" i="82"/>
  <c r="W5" i="82"/>
  <c r="N5" i="82"/>
  <c r="K5" i="82"/>
  <c r="J5" i="82"/>
  <c r="L5" i="82" s="1"/>
  <c r="I5" i="82"/>
  <c r="AF4" i="82"/>
  <c r="AD4" i="82"/>
  <c r="AA4" i="82"/>
  <c r="Z4" i="82"/>
  <c r="Y4" i="82"/>
  <c r="X4" i="82"/>
  <c r="W4" i="82"/>
  <c r="N4" i="82"/>
  <c r="K4" i="82"/>
  <c r="J4" i="82"/>
  <c r="L4" i="82" s="1"/>
  <c r="I4" i="82"/>
  <c r="T206" i="81"/>
  <c r="S206" i="81"/>
  <c r="U206" i="81" s="1"/>
  <c r="T205" i="81"/>
  <c r="S205" i="81"/>
  <c r="U205" i="81" s="1"/>
  <c r="V205" i="81" s="1"/>
  <c r="T204" i="81"/>
  <c r="S204" i="81"/>
  <c r="U204" i="81" s="1"/>
  <c r="V204" i="81" s="1"/>
  <c r="T203" i="81"/>
  <c r="S203" i="81"/>
  <c r="U203" i="81" s="1"/>
  <c r="T202" i="81"/>
  <c r="S202" i="81"/>
  <c r="U202" i="81" s="1"/>
  <c r="V202" i="81" s="1"/>
  <c r="T201" i="81"/>
  <c r="S201" i="81"/>
  <c r="U201" i="81" s="1"/>
  <c r="V201" i="81" s="1"/>
  <c r="T200" i="81"/>
  <c r="S200" i="81"/>
  <c r="U200" i="81" s="1"/>
  <c r="T199" i="81"/>
  <c r="S199" i="81"/>
  <c r="U199" i="81" s="1"/>
  <c r="T198" i="81"/>
  <c r="S198" i="81"/>
  <c r="U198" i="81" s="1"/>
  <c r="V198" i="81" s="1"/>
  <c r="T197" i="81"/>
  <c r="S197" i="81"/>
  <c r="U197" i="81" s="1"/>
  <c r="V197" i="81" s="1"/>
  <c r="T196" i="81"/>
  <c r="S196" i="81"/>
  <c r="U196" i="81" s="1"/>
  <c r="V196" i="81" s="1"/>
  <c r="T195" i="81"/>
  <c r="S195" i="81"/>
  <c r="U195" i="81" s="1"/>
  <c r="T194" i="81"/>
  <c r="S194" i="81"/>
  <c r="U194" i="81" s="1"/>
  <c r="V194" i="81" s="1"/>
  <c r="T193" i="81"/>
  <c r="S193" i="81"/>
  <c r="U193" i="81" s="1"/>
  <c r="T192" i="81"/>
  <c r="S192" i="81"/>
  <c r="U192" i="81" s="1"/>
  <c r="T191" i="81"/>
  <c r="S191" i="81"/>
  <c r="U191" i="81" s="1"/>
  <c r="T190" i="81"/>
  <c r="S190" i="81"/>
  <c r="U190" i="81" s="1"/>
  <c r="V190" i="81" s="1"/>
  <c r="T189" i="81"/>
  <c r="S189" i="81"/>
  <c r="U189" i="81" s="1"/>
  <c r="V189" i="81" s="1"/>
  <c r="T188" i="81"/>
  <c r="S188" i="81"/>
  <c r="U188" i="81" s="1"/>
  <c r="T187" i="81"/>
  <c r="S187" i="81"/>
  <c r="U187" i="81" s="1"/>
  <c r="V187" i="81" s="1"/>
  <c r="T186" i="81"/>
  <c r="S186" i="81"/>
  <c r="U186" i="81" s="1"/>
  <c r="V186" i="81" s="1"/>
  <c r="T185" i="81"/>
  <c r="S185" i="81"/>
  <c r="U185" i="81" s="1"/>
  <c r="T184" i="81"/>
  <c r="S184" i="81"/>
  <c r="U184" i="81" s="1"/>
  <c r="T183" i="81"/>
  <c r="S183" i="81"/>
  <c r="U183" i="81" s="1"/>
  <c r="V183" i="81" s="1"/>
  <c r="T182" i="81"/>
  <c r="S182" i="81"/>
  <c r="U182" i="81" s="1"/>
  <c r="V182" i="81" s="1"/>
  <c r="T181" i="81"/>
  <c r="S181" i="81"/>
  <c r="U181" i="81" s="1"/>
  <c r="V181" i="81" s="1"/>
  <c r="T180" i="81"/>
  <c r="S180" i="81"/>
  <c r="U180" i="81" s="1"/>
  <c r="T179" i="81"/>
  <c r="S179" i="81"/>
  <c r="U179" i="81" s="1"/>
  <c r="V179" i="81" s="1"/>
  <c r="T178" i="81"/>
  <c r="S178" i="81"/>
  <c r="U178" i="81" s="1"/>
  <c r="T177" i="81"/>
  <c r="S177" i="81"/>
  <c r="U177" i="81" s="1"/>
  <c r="T176" i="81"/>
  <c r="S176" i="81"/>
  <c r="U176" i="81" s="1"/>
  <c r="V176" i="81" s="1"/>
  <c r="T175" i="81"/>
  <c r="S175" i="81"/>
  <c r="U175" i="81" s="1"/>
  <c r="V175" i="81" s="1"/>
  <c r="T174" i="81"/>
  <c r="S174" i="81"/>
  <c r="U174" i="81" s="1"/>
  <c r="T173" i="81"/>
  <c r="S173" i="81"/>
  <c r="U173" i="81" s="1"/>
  <c r="V173" i="81" s="1"/>
  <c r="T172" i="81"/>
  <c r="S172" i="81"/>
  <c r="U172" i="81" s="1"/>
  <c r="V172" i="81" s="1"/>
  <c r="T171" i="81"/>
  <c r="S171" i="81"/>
  <c r="U171" i="81" s="1"/>
  <c r="T170" i="81"/>
  <c r="S170" i="81"/>
  <c r="U170" i="81" s="1"/>
  <c r="T169" i="81"/>
  <c r="S169" i="81"/>
  <c r="U169" i="81" s="1"/>
  <c r="T168" i="81"/>
  <c r="S168" i="81"/>
  <c r="U168" i="81" s="1"/>
  <c r="V168" i="81" s="1"/>
  <c r="T167" i="81"/>
  <c r="S167" i="81"/>
  <c r="U167" i="81" s="1"/>
  <c r="V167" i="81" s="1"/>
  <c r="T166" i="81"/>
  <c r="S166" i="81"/>
  <c r="U166" i="81" s="1"/>
  <c r="V166" i="81" s="1"/>
  <c r="T165" i="81"/>
  <c r="S165" i="81"/>
  <c r="U165" i="81" s="1"/>
  <c r="V165" i="81" s="1"/>
  <c r="T164" i="81"/>
  <c r="S164" i="81"/>
  <c r="U164" i="81" s="1"/>
  <c r="T163" i="81"/>
  <c r="S163" i="81"/>
  <c r="U163" i="81" s="1"/>
  <c r="T162" i="81"/>
  <c r="S162" i="81"/>
  <c r="U162" i="81" s="1"/>
  <c r="V162" i="81" s="1"/>
  <c r="T161" i="81"/>
  <c r="S161" i="81"/>
  <c r="U161" i="81" s="1"/>
  <c r="T160" i="81"/>
  <c r="S160" i="81"/>
  <c r="U160" i="81" s="1"/>
  <c r="V160" i="81" s="1"/>
  <c r="T159" i="81"/>
  <c r="S159" i="81"/>
  <c r="U159" i="81" s="1"/>
  <c r="V159" i="81" s="1"/>
  <c r="T158" i="81"/>
  <c r="S158" i="81"/>
  <c r="U158" i="81" s="1"/>
  <c r="V158" i="81" s="1"/>
  <c r="T157" i="81"/>
  <c r="S157" i="81"/>
  <c r="U157" i="81" s="1"/>
  <c r="T156" i="81"/>
  <c r="S156" i="81"/>
  <c r="U156" i="81" s="1"/>
  <c r="T155" i="81"/>
  <c r="S155" i="81"/>
  <c r="U155" i="81" s="1"/>
  <c r="V155" i="81" s="1"/>
  <c r="T154" i="81"/>
  <c r="S154" i="81"/>
  <c r="U154" i="81" s="1"/>
  <c r="V154" i="81" s="1"/>
  <c r="T153" i="81"/>
  <c r="S153" i="81"/>
  <c r="U153" i="81" s="1"/>
  <c r="V153" i="81" s="1"/>
  <c r="T152" i="81"/>
  <c r="S152" i="81"/>
  <c r="U152" i="81" s="1"/>
  <c r="V152" i="81" s="1"/>
  <c r="T151" i="81"/>
  <c r="S151" i="81"/>
  <c r="U151" i="81" s="1"/>
  <c r="T150" i="81"/>
  <c r="S150" i="81"/>
  <c r="U150" i="81" s="1"/>
  <c r="T149" i="81"/>
  <c r="S149" i="81"/>
  <c r="U149" i="81" s="1"/>
  <c r="T148" i="81"/>
  <c r="S148" i="81"/>
  <c r="U148" i="81" s="1"/>
  <c r="V148" i="81" s="1"/>
  <c r="T147" i="81"/>
  <c r="S147" i="81"/>
  <c r="U147" i="81" s="1"/>
  <c r="V147" i="81" s="1"/>
  <c r="T146" i="81"/>
  <c r="S146" i="81"/>
  <c r="U146" i="81" s="1"/>
  <c r="V146" i="81" s="1"/>
  <c r="T145" i="81"/>
  <c r="S145" i="81"/>
  <c r="U145" i="81" s="1"/>
  <c r="T144" i="81"/>
  <c r="S144" i="81"/>
  <c r="U144" i="81" s="1"/>
  <c r="V144" i="81" s="1"/>
  <c r="T143" i="81"/>
  <c r="S143" i="81"/>
  <c r="U143" i="81" s="1"/>
  <c r="T142" i="81"/>
  <c r="S142" i="81"/>
  <c r="U142" i="81" s="1"/>
  <c r="T141" i="81"/>
  <c r="S141" i="81"/>
  <c r="U141" i="81" s="1"/>
  <c r="V141" i="81" s="1"/>
  <c r="T140" i="81"/>
  <c r="S140" i="81"/>
  <c r="U140" i="81" s="1"/>
  <c r="T139" i="81"/>
  <c r="S139" i="81"/>
  <c r="U139" i="81" s="1"/>
  <c r="V139" i="81" s="1"/>
  <c r="T138" i="81"/>
  <c r="S138" i="81"/>
  <c r="U138" i="81" s="1"/>
  <c r="V138" i="81" s="1"/>
  <c r="T137" i="81"/>
  <c r="S137" i="81"/>
  <c r="U137" i="81" s="1"/>
  <c r="V137" i="81" s="1"/>
  <c r="T136" i="81"/>
  <c r="S136" i="81"/>
  <c r="U136" i="81" s="1"/>
  <c r="T135" i="81"/>
  <c r="S135" i="81"/>
  <c r="U135" i="81" s="1"/>
  <c r="T134" i="81"/>
  <c r="S134" i="81"/>
  <c r="U134" i="81" s="1"/>
  <c r="T133" i="81"/>
  <c r="S133" i="81"/>
  <c r="U133" i="81" s="1"/>
  <c r="V133" i="81" s="1"/>
  <c r="T132" i="81"/>
  <c r="S132" i="81"/>
  <c r="U132" i="81" s="1"/>
  <c r="V132" i="81" s="1"/>
  <c r="T131" i="81"/>
  <c r="S131" i="81"/>
  <c r="U131" i="81" s="1"/>
  <c r="V131" i="81" s="1"/>
  <c r="T130" i="81"/>
  <c r="S130" i="81"/>
  <c r="U130" i="81" s="1"/>
  <c r="V130" i="81" s="1"/>
  <c r="T129" i="81"/>
  <c r="S129" i="81"/>
  <c r="U129" i="81" s="1"/>
  <c r="T128" i="81"/>
  <c r="S128" i="81"/>
  <c r="U128" i="81" s="1"/>
  <c r="T127" i="81"/>
  <c r="S127" i="81"/>
  <c r="U127" i="81" s="1"/>
  <c r="V127" i="81" s="1"/>
  <c r="T126" i="81"/>
  <c r="S126" i="81"/>
  <c r="U126" i="81" s="1"/>
  <c r="V126" i="81" s="1"/>
  <c r="T125" i="81"/>
  <c r="S125" i="81"/>
  <c r="U125" i="81" s="1"/>
  <c r="V125" i="81" s="1"/>
  <c r="T124" i="81"/>
  <c r="S124" i="81"/>
  <c r="U124" i="81" s="1"/>
  <c r="T123" i="81"/>
  <c r="S123" i="81"/>
  <c r="U123" i="81" s="1"/>
  <c r="V123" i="81" s="1"/>
  <c r="T122" i="81"/>
  <c r="S122" i="81"/>
  <c r="U122" i="81" s="1"/>
  <c r="T121" i="81"/>
  <c r="S121" i="81"/>
  <c r="U121" i="81" s="1"/>
  <c r="T120" i="81"/>
  <c r="S120" i="81"/>
  <c r="U120" i="81" s="1"/>
  <c r="V120" i="81" s="1"/>
  <c r="T119" i="81"/>
  <c r="S119" i="81"/>
  <c r="U119" i="81" s="1"/>
  <c r="V119" i="81" s="1"/>
  <c r="T118" i="81"/>
  <c r="S118" i="81"/>
  <c r="U118" i="81" s="1"/>
  <c r="V118" i="81" s="1"/>
  <c r="T117" i="81"/>
  <c r="S117" i="81"/>
  <c r="U117" i="81" s="1"/>
  <c r="V117" i="81" s="1"/>
  <c r="T116" i="81"/>
  <c r="S116" i="81"/>
  <c r="U116" i="81" s="1"/>
  <c r="T115" i="81"/>
  <c r="S115" i="81"/>
  <c r="U115" i="81" s="1"/>
  <c r="T114" i="81"/>
  <c r="S114" i="81"/>
  <c r="U114" i="81" s="1"/>
  <c r="T113" i="81"/>
  <c r="S113" i="81"/>
  <c r="U113" i="81" s="1"/>
  <c r="V113" i="81" s="1"/>
  <c r="T112" i="81"/>
  <c r="S112" i="81"/>
  <c r="U112" i="81" s="1"/>
  <c r="V112" i="81" s="1"/>
  <c r="T111" i="81"/>
  <c r="S111" i="81"/>
  <c r="U111" i="81" s="1"/>
  <c r="V111" i="81" s="1"/>
  <c r="T110" i="81"/>
  <c r="S110" i="81"/>
  <c r="U110" i="81" s="1"/>
  <c r="T109" i="81"/>
  <c r="S109" i="81"/>
  <c r="U109" i="81" s="1"/>
  <c r="V109" i="81" s="1"/>
  <c r="T108" i="81"/>
  <c r="S108" i="81"/>
  <c r="U108" i="81" s="1"/>
  <c r="T107" i="81"/>
  <c r="S107" i="81"/>
  <c r="U107" i="81" s="1"/>
  <c r="T106" i="81"/>
  <c r="S106" i="81"/>
  <c r="U106" i="81" s="1"/>
  <c r="V106" i="81" s="1"/>
  <c r="T105" i="81"/>
  <c r="S105" i="81"/>
  <c r="U105" i="81" s="1"/>
  <c r="V105" i="81" s="1"/>
  <c r="T104" i="81"/>
  <c r="S104" i="81"/>
  <c r="U104" i="81" s="1"/>
  <c r="T103" i="81"/>
  <c r="S103" i="81"/>
  <c r="U103" i="81" s="1"/>
  <c r="V103" i="81" s="1"/>
  <c r="T102" i="81"/>
  <c r="S102" i="81"/>
  <c r="U102" i="81" s="1"/>
  <c r="V102" i="81" s="1"/>
  <c r="T101" i="81"/>
  <c r="S101" i="81"/>
  <c r="U101" i="81" s="1"/>
  <c r="T100" i="81"/>
  <c r="S100" i="81"/>
  <c r="U100" i="81" s="1"/>
  <c r="T99" i="81"/>
  <c r="S99" i="81"/>
  <c r="U99" i="81" s="1"/>
  <c r="T98" i="81"/>
  <c r="S98" i="81"/>
  <c r="U98" i="81" s="1"/>
  <c r="V98" i="81" s="1"/>
  <c r="T97" i="81"/>
  <c r="S97" i="81"/>
  <c r="U97" i="81" s="1"/>
  <c r="V97" i="81" s="1"/>
  <c r="T96" i="81"/>
  <c r="S96" i="81"/>
  <c r="U96" i="81" s="1"/>
  <c r="V96" i="81" s="1"/>
  <c r="T95" i="81"/>
  <c r="S95" i="81"/>
  <c r="U95" i="81" s="1"/>
  <c r="V95" i="81" s="1"/>
  <c r="T94" i="81"/>
  <c r="S94" i="81"/>
  <c r="U94" i="81" s="1"/>
  <c r="T93" i="81"/>
  <c r="S93" i="81"/>
  <c r="U93" i="81" s="1"/>
  <c r="T92" i="81"/>
  <c r="S92" i="81"/>
  <c r="U92" i="81" s="1"/>
  <c r="T91" i="81"/>
  <c r="S91" i="81"/>
  <c r="U91" i="81" s="1"/>
  <c r="V91" i="81" s="1"/>
  <c r="T90" i="81"/>
  <c r="S90" i="81"/>
  <c r="U90" i="81" s="1"/>
  <c r="V90" i="81" s="1"/>
  <c r="T89" i="81"/>
  <c r="S89" i="81"/>
  <c r="U89" i="81" s="1"/>
  <c r="V89" i="81" s="1"/>
  <c r="T88" i="81"/>
  <c r="S88" i="81"/>
  <c r="U88" i="81" s="1"/>
  <c r="V88" i="81" s="1"/>
  <c r="T87" i="81"/>
  <c r="S87" i="81"/>
  <c r="U87" i="81" s="1"/>
  <c r="T86" i="81"/>
  <c r="S86" i="81"/>
  <c r="U86" i="81" s="1"/>
  <c r="T85" i="81"/>
  <c r="S85" i="81"/>
  <c r="U85" i="81" s="1"/>
  <c r="V85" i="81" s="1"/>
  <c r="T84" i="81"/>
  <c r="S84" i="81"/>
  <c r="U84" i="81" s="1"/>
  <c r="V84" i="81" s="1"/>
  <c r="T83" i="81"/>
  <c r="S83" i="81"/>
  <c r="U83" i="81" s="1"/>
  <c r="T82" i="81"/>
  <c r="S82" i="81"/>
  <c r="U82" i="81" s="1"/>
  <c r="V82" i="81" s="1"/>
  <c r="T81" i="81"/>
  <c r="S81" i="81"/>
  <c r="U81" i="81" s="1"/>
  <c r="V81" i="81" s="1"/>
  <c r="T80" i="81"/>
  <c r="S80" i="81"/>
  <c r="U80" i="81" s="1"/>
  <c r="T79" i="81"/>
  <c r="S79" i="81"/>
  <c r="U79" i="81" s="1"/>
  <c r="T78" i="81"/>
  <c r="S78" i="81"/>
  <c r="U78" i="81" s="1"/>
  <c r="V78" i="81" s="1"/>
  <c r="T77" i="81"/>
  <c r="S77" i="81"/>
  <c r="U77" i="81" s="1"/>
  <c r="V77" i="81" s="1"/>
  <c r="T76" i="81"/>
  <c r="S76" i="81"/>
  <c r="U76" i="81" s="1"/>
  <c r="T75" i="81"/>
  <c r="S75" i="81"/>
  <c r="U75" i="81" s="1"/>
  <c r="V75" i="81" s="1"/>
  <c r="T74" i="81"/>
  <c r="S74" i="81"/>
  <c r="U74" i="81" s="1"/>
  <c r="V74" i="81" s="1"/>
  <c r="T73" i="81"/>
  <c r="S73" i="81"/>
  <c r="U73" i="81" s="1"/>
  <c r="T72" i="81"/>
  <c r="S72" i="81"/>
  <c r="U72" i="81" s="1"/>
  <c r="T71" i="81"/>
  <c r="S71" i="81"/>
  <c r="U71" i="81" s="1"/>
  <c r="V71" i="81" s="1"/>
  <c r="T70" i="81"/>
  <c r="S70" i="81"/>
  <c r="U70" i="81" s="1"/>
  <c r="V70" i="81" s="1"/>
  <c r="T69" i="81"/>
  <c r="S69" i="81"/>
  <c r="U69" i="81" s="1"/>
  <c r="V69" i="81" s="1"/>
  <c r="T68" i="81"/>
  <c r="S68" i="81"/>
  <c r="U68" i="81" s="1"/>
  <c r="V68" i="81" s="1"/>
  <c r="T67" i="81"/>
  <c r="S67" i="81"/>
  <c r="U67" i="81" s="1"/>
  <c r="T66" i="81"/>
  <c r="S66" i="81"/>
  <c r="U66" i="81" s="1"/>
  <c r="T65" i="81"/>
  <c r="S65" i="81"/>
  <c r="U65" i="81" s="1"/>
  <c r="T64" i="81"/>
  <c r="S64" i="81"/>
  <c r="U64" i="81" s="1"/>
  <c r="V64" i="81" s="1"/>
  <c r="T63" i="81"/>
  <c r="S63" i="81"/>
  <c r="U63" i="81" s="1"/>
  <c r="V63" i="81" s="1"/>
  <c r="T62" i="81"/>
  <c r="S62" i="81"/>
  <c r="U62" i="81" s="1"/>
  <c r="T61" i="81"/>
  <c r="S61" i="81"/>
  <c r="U61" i="81" s="1"/>
  <c r="V61" i="81" s="1"/>
  <c r="T60" i="81"/>
  <c r="S60" i="81"/>
  <c r="U60" i="81" s="1"/>
  <c r="T59" i="81"/>
  <c r="S59" i="81"/>
  <c r="U59" i="81" s="1"/>
  <c r="T58" i="81"/>
  <c r="S58" i="81"/>
  <c r="U58" i="81" s="1"/>
  <c r="V58" i="81" s="1"/>
  <c r="T57" i="81"/>
  <c r="S57" i="81"/>
  <c r="U57" i="81" s="1"/>
  <c r="V57" i="81" s="1"/>
  <c r="T56" i="81"/>
  <c r="S56" i="81"/>
  <c r="U56" i="81" s="1"/>
  <c r="V56" i="81" s="1"/>
  <c r="T55" i="81"/>
  <c r="S55" i="81"/>
  <c r="U55" i="81" s="1"/>
  <c r="V55" i="81" s="1"/>
  <c r="T54" i="81"/>
  <c r="S54" i="81"/>
  <c r="U54" i="81" s="1"/>
  <c r="T53" i="81"/>
  <c r="S53" i="81"/>
  <c r="U53" i="81" s="1"/>
  <c r="T52" i="81"/>
  <c r="S52" i="81"/>
  <c r="U52" i="81" s="1"/>
  <c r="T51" i="81"/>
  <c r="S51" i="81"/>
  <c r="U51" i="81" s="1"/>
  <c r="V51" i="81" s="1"/>
  <c r="T50" i="81"/>
  <c r="S50" i="81"/>
  <c r="U50" i="81" s="1"/>
  <c r="V50" i="81" s="1"/>
  <c r="T49" i="81"/>
  <c r="S49" i="81"/>
  <c r="U49" i="81" s="1"/>
  <c r="T48" i="81"/>
  <c r="S48" i="81"/>
  <c r="U48" i="81" s="1"/>
  <c r="V48" i="81" s="1"/>
  <c r="T47" i="81"/>
  <c r="S47" i="81"/>
  <c r="U47" i="81" s="1"/>
  <c r="V47" i="81" s="1"/>
  <c r="T46" i="81"/>
  <c r="S46" i="81"/>
  <c r="U46" i="81" s="1"/>
  <c r="T45" i="81"/>
  <c r="S45" i="81"/>
  <c r="U45" i="81" s="1"/>
  <c r="T44" i="81"/>
  <c r="S44" i="81"/>
  <c r="U44" i="81" s="1"/>
  <c r="V44" i="81" s="1"/>
  <c r="T43" i="81"/>
  <c r="S43" i="81"/>
  <c r="U43" i="81" s="1"/>
  <c r="T42" i="81"/>
  <c r="S42" i="81"/>
  <c r="U42" i="81" s="1"/>
  <c r="V42" i="81" s="1"/>
  <c r="T41" i="81"/>
  <c r="S41" i="81"/>
  <c r="U41" i="81" s="1"/>
  <c r="V41" i="81" s="1"/>
  <c r="T40" i="81"/>
  <c r="S40" i="81"/>
  <c r="U40" i="81" s="1"/>
  <c r="V40" i="81" s="1"/>
  <c r="T39" i="81"/>
  <c r="S39" i="81"/>
  <c r="U39" i="81" s="1"/>
  <c r="T38" i="81"/>
  <c r="S38" i="81"/>
  <c r="U38" i="81" s="1"/>
  <c r="T37" i="81"/>
  <c r="S37" i="81"/>
  <c r="U37" i="81" s="1"/>
  <c r="T36" i="81"/>
  <c r="S36" i="81"/>
  <c r="U36" i="81" s="1"/>
  <c r="V36" i="81" s="1"/>
  <c r="T35" i="81"/>
  <c r="S35" i="81"/>
  <c r="U35" i="81" s="1"/>
  <c r="V35" i="81" s="1"/>
  <c r="T34" i="81"/>
  <c r="S34" i="81"/>
  <c r="U34" i="81" s="1"/>
  <c r="V34" i="81" s="1"/>
  <c r="T33" i="81"/>
  <c r="S33" i="81"/>
  <c r="U33" i="81" s="1"/>
  <c r="V33" i="81" s="1"/>
  <c r="T32" i="81"/>
  <c r="S32" i="81"/>
  <c r="U32" i="81" s="1"/>
  <c r="T31" i="81"/>
  <c r="S31" i="81"/>
  <c r="U31" i="81" s="1"/>
  <c r="T30" i="81"/>
  <c r="S30" i="81"/>
  <c r="U30" i="81" s="1"/>
  <c r="V30" i="81" s="1"/>
  <c r="T29" i="81"/>
  <c r="S29" i="81"/>
  <c r="U29" i="81" s="1"/>
  <c r="T28" i="81"/>
  <c r="S28" i="81"/>
  <c r="U28" i="81" s="1"/>
  <c r="V28" i="81" s="1"/>
  <c r="T27" i="81"/>
  <c r="S27" i="81"/>
  <c r="U27" i="81" s="1"/>
  <c r="V27" i="81" s="1"/>
  <c r="T26" i="81"/>
  <c r="S26" i="81"/>
  <c r="U26" i="81" s="1"/>
  <c r="V26" i="81" s="1"/>
  <c r="T25" i="81"/>
  <c r="S25" i="81"/>
  <c r="U25" i="81" s="1"/>
  <c r="T24" i="81"/>
  <c r="S24" i="81"/>
  <c r="U24" i="81" s="1"/>
  <c r="T23" i="81"/>
  <c r="S23" i="81"/>
  <c r="U23" i="81" s="1"/>
  <c r="V23" i="81" s="1"/>
  <c r="T22" i="81"/>
  <c r="S22" i="81"/>
  <c r="U22" i="81" s="1"/>
  <c r="T21" i="81"/>
  <c r="S21" i="81"/>
  <c r="U21" i="81" s="1"/>
  <c r="V21" i="81" s="1"/>
  <c r="T20" i="81"/>
  <c r="S20" i="81"/>
  <c r="U20" i="81" s="1"/>
  <c r="V20" i="81" s="1"/>
  <c r="T19" i="81"/>
  <c r="S19" i="81"/>
  <c r="U19" i="81" s="1"/>
  <c r="V19" i="81" s="1"/>
  <c r="T18" i="81"/>
  <c r="S18" i="81"/>
  <c r="U18" i="81" s="1"/>
  <c r="T17" i="81"/>
  <c r="S17" i="81"/>
  <c r="U17" i="81" s="1"/>
  <c r="T16" i="81"/>
  <c r="S16" i="81"/>
  <c r="U16" i="81" s="1"/>
  <c r="T15" i="81"/>
  <c r="S15" i="81"/>
  <c r="U15" i="81" s="1"/>
  <c r="V15" i="81" s="1"/>
  <c r="T14" i="81"/>
  <c r="S14" i="81"/>
  <c r="U14" i="81" s="1"/>
  <c r="V14" i="81" s="1"/>
  <c r="T13" i="81"/>
  <c r="S13" i="81"/>
  <c r="U13" i="81" s="1"/>
  <c r="V13" i="81" s="1"/>
  <c r="T12" i="81"/>
  <c r="S12" i="81"/>
  <c r="U12" i="81" s="1"/>
  <c r="V12" i="81" s="1"/>
  <c r="T11" i="81"/>
  <c r="S11" i="81"/>
  <c r="U11" i="81" s="1"/>
  <c r="T10" i="81"/>
  <c r="S10" i="81"/>
  <c r="U10" i="81" s="1"/>
  <c r="T9" i="81"/>
  <c r="S9" i="81"/>
  <c r="U9" i="81" s="1"/>
  <c r="V9" i="81" s="1"/>
  <c r="T8" i="81"/>
  <c r="S8" i="81"/>
  <c r="U8" i="81" s="1"/>
  <c r="V8" i="81" s="1"/>
  <c r="T7" i="81"/>
  <c r="S7" i="81"/>
  <c r="U7" i="81" s="1"/>
  <c r="V7" i="81" s="1"/>
  <c r="T6" i="81"/>
  <c r="S6" i="81"/>
  <c r="U6" i="81" s="1"/>
  <c r="V6" i="81" s="1"/>
  <c r="T5" i="81"/>
  <c r="S5" i="81"/>
  <c r="U5" i="81" s="1"/>
  <c r="T4" i="81"/>
  <c r="S4" i="81"/>
  <c r="D14" i="76"/>
  <c r="D13" i="76"/>
  <c r="D11" i="76"/>
  <c r="J10" i="76"/>
  <c r="I10" i="76"/>
  <c r="H10" i="76"/>
  <c r="G10" i="76"/>
  <c r="F10" i="76"/>
  <c r="J9" i="76"/>
  <c r="I9" i="76"/>
  <c r="H9" i="76"/>
  <c r="G9" i="76"/>
  <c r="F9" i="76"/>
  <c r="J8" i="76"/>
  <c r="I8" i="76"/>
  <c r="H8" i="76"/>
  <c r="G8" i="76"/>
  <c r="F8" i="76"/>
  <c r="J7" i="76"/>
  <c r="I7" i="76"/>
  <c r="H7" i="76"/>
  <c r="G7" i="76"/>
  <c r="F7" i="76"/>
  <c r="J6" i="76"/>
  <c r="I6" i="76"/>
  <c r="H6" i="76"/>
  <c r="G6" i="76"/>
  <c r="F6" i="76"/>
  <c r="J5" i="76"/>
  <c r="I5" i="76"/>
  <c r="H5" i="76"/>
  <c r="G5" i="76"/>
  <c r="F5" i="76"/>
  <c r="J4" i="76"/>
  <c r="I4" i="76"/>
  <c r="H4" i="76"/>
  <c r="G4" i="76"/>
  <c r="F4" i="76"/>
  <c r="AF33" i="71"/>
  <c r="Y33" i="71"/>
  <c r="W33" i="71"/>
  <c r="S33" i="71"/>
  <c r="R33" i="71"/>
  <c r="Q33" i="71"/>
  <c r="V33" i="71" s="1"/>
  <c r="N33" i="71"/>
  <c r="M33" i="71"/>
  <c r="L33" i="71"/>
  <c r="K33" i="71"/>
  <c r="G33" i="71"/>
  <c r="AF32" i="71"/>
  <c r="Y32" i="71"/>
  <c r="W32" i="71"/>
  <c r="S32" i="71"/>
  <c r="R32" i="71"/>
  <c r="Q32" i="71"/>
  <c r="N32" i="71"/>
  <c r="M32" i="71"/>
  <c r="L32" i="71"/>
  <c r="K32" i="71"/>
  <c r="G32" i="71"/>
  <c r="AK31" i="71"/>
  <c r="AJ31" i="71"/>
  <c r="E61" i="74" s="1"/>
  <c r="AI31" i="71"/>
  <c r="D61" i="74" s="1"/>
  <c r="AF31" i="71"/>
  <c r="Y31" i="71"/>
  <c r="W31" i="71"/>
  <c r="S31" i="71"/>
  <c r="R31" i="71"/>
  <c r="Q31" i="71"/>
  <c r="V31" i="71" s="1"/>
  <c r="N31" i="71"/>
  <c r="M31" i="71"/>
  <c r="L31" i="71"/>
  <c r="K31" i="71"/>
  <c r="AL31" i="71" s="1"/>
  <c r="C61" i="74" s="1"/>
  <c r="G61" i="74" s="1"/>
  <c r="G31" i="71"/>
  <c r="AF30" i="71"/>
  <c r="Y30" i="71"/>
  <c r="W30" i="71"/>
  <c r="S30" i="71"/>
  <c r="R30" i="71"/>
  <c r="Q30" i="71"/>
  <c r="V30" i="71" s="1"/>
  <c r="N30" i="71"/>
  <c r="M30" i="71"/>
  <c r="L30" i="71"/>
  <c r="K30" i="71"/>
  <c r="G30" i="71"/>
  <c r="AF29" i="71"/>
  <c r="Y29" i="71"/>
  <c r="W29" i="71"/>
  <c r="S29" i="71"/>
  <c r="R29" i="71"/>
  <c r="Q29" i="71"/>
  <c r="N29" i="71"/>
  <c r="M29" i="71"/>
  <c r="L29" i="71"/>
  <c r="K29" i="71"/>
  <c r="G29" i="71"/>
  <c r="AF28" i="71"/>
  <c r="Y28" i="71"/>
  <c r="W28" i="71"/>
  <c r="S28" i="71"/>
  <c r="R28" i="71"/>
  <c r="Q28" i="71"/>
  <c r="N28" i="71"/>
  <c r="M28" i="71"/>
  <c r="L28" i="71"/>
  <c r="K28" i="71"/>
  <c r="G28" i="71"/>
  <c r="AF27" i="71"/>
  <c r="Y27" i="71"/>
  <c r="W27" i="71"/>
  <c r="S27" i="71"/>
  <c r="R27" i="71"/>
  <c r="Q27" i="71"/>
  <c r="N27" i="71"/>
  <c r="M27" i="71"/>
  <c r="L27" i="71"/>
  <c r="K27" i="71"/>
  <c r="G27" i="71"/>
  <c r="AF26" i="71"/>
  <c r="Y26" i="71"/>
  <c r="W26" i="71"/>
  <c r="S26" i="71"/>
  <c r="R26" i="71"/>
  <c r="Q26" i="71"/>
  <c r="N26" i="71"/>
  <c r="M26" i="71"/>
  <c r="L26" i="71"/>
  <c r="K26" i="71"/>
  <c r="G26" i="71"/>
  <c r="AF25" i="71"/>
  <c r="Y25" i="71"/>
  <c r="W25" i="71"/>
  <c r="S25" i="71"/>
  <c r="R25" i="71"/>
  <c r="Q25" i="71"/>
  <c r="N25" i="71"/>
  <c r="M25" i="71"/>
  <c r="L25" i="71"/>
  <c r="K25" i="71"/>
  <c r="G25" i="71"/>
  <c r="AF24" i="71"/>
  <c r="Y24" i="71"/>
  <c r="W24" i="71"/>
  <c r="S24" i="71"/>
  <c r="R24" i="71"/>
  <c r="Q24" i="71"/>
  <c r="V24" i="71" s="1"/>
  <c r="N24" i="71"/>
  <c r="M24" i="71"/>
  <c r="L24" i="71"/>
  <c r="K24" i="71"/>
  <c r="G24" i="71"/>
  <c r="AF23" i="71"/>
  <c r="Y23" i="71"/>
  <c r="W23" i="71"/>
  <c r="S23" i="71"/>
  <c r="R23" i="71"/>
  <c r="Q23" i="71"/>
  <c r="N23" i="71"/>
  <c r="M23" i="71"/>
  <c r="L23" i="71"/>
  <c r="K23" i="71"/>
  <c r="G23" i="71"/>
  <c r="AF22" i="71"/>
  <c r="Y22" i="71"/>
  <c r="W22" i="71"/>
  <c r="S22" i="71"/>
  <c r="R22" i="71"/>
  <c r="Q22" i="71"/>
  <c r="N22" i="71"/>
  <c r="M22" i="71"/>
  <c r="L22" i="71"/>
  <c r="K22" i="71"/>
  <c r="G22" i="71"/>
  <c r="AK21" i="71"/>
  <c r="AJ21" i="71"/>
  <c r="E51" i="74" s="1"/>
  <c r="AI21" i="71"/>
  <c r="D51" i="74" s="1"/>
  <c r="AF21" i="71"/>
  <c r="Y21" i="71"/>
  <c r="W21" i="71"/>
  <c r="S21" i="71"/>
  <c r="R21" i="71"/>
  <c r="Q21" i="71"/>
  <c r="N21" i="71"/>
  <c r="M21" i="71"/>
  <c r="L21" i="71"/>
  <c r="K21" i="71"/>
  <c r="G21" i="71"/>
  <c r="AK20" i="71"/>
  <c r="AJ20" i="71"/>
  <c r="E50" i="74" s="1"/>
  <c r="AI20" i="71"/>
  <c r="D50" i="74" s="1"/>
  <c r="AF20" i="71"/>
  <c r="Y20" i="71"/>
  <c r="W20" i="71"/>
  <c r="S20" i="71"/>
  <c r="R20" i="71"/>
  <c r="Q20" i="71"/>
  <c r="N20" i="71"/>
  <c r="M20" i="71"/>
  <c r="L20" i="71"/>
  <c r="K20" i="71"/>
  <c r="G20" i="71"/>
  <c r="AK19" i="71"/>
  <c r="AJ19" i="71"/>
  <c r="E49" i="74" s="1"/>
  <c r="AI19" i="71"/>
  <c r="D49" i="74" s="1"/>
  <c r="AF19" i="71"/>
  <c r="Y19" i="71"/>
  <c r="W19" i="71"/>
  <c r="S19" i="71"/>
  <c r="R19" i="71"/>
  <c r="Q19" i="71"/>
  <c r="N19" i="71"/>
  <c r="M19" i="71"/>
  <c r="L19" i="71"/>
  <c r="K19" i="71"/>
  <c r="G19" i="71"/>
  <c r="AK18" i="71"/>
  <c r="AJ18" i="71"/>
  <c r="E48" i="74" s="1"/>
  <c r="AI18" i="71"/>
  <c r="D48" i="74" s="1"/>
  <c r="AF18" i="71"/>
  <c r="Y18" i="71"/>
  <c r="W18" i="71"/>
  <c r="S18" i="71"/>
  <c r="R18" i="71"/>
  <c r="Q18" i="71"/>
  <c r="V18" i="71" s="1"/>
  <c r="N18" i="71"/>
  <c r="M18" i="71"/>
  <c r="L18" i="71"/>
  <c r="K18" i="71"/>
  <c r="G18" i="71"/>
  <c r="AK17" i="71"/>
  <c r="AJ17" i="71"/>
  <c r="E47" i="74" s="1"/>
  <c r="AI17" i="71"/>
  <c r="D47" i="74" s="1"/>
  <c r="AF17" i="71"/>
  <c r="Y17" i="71"/>
  <c r="W17" i="71"/>
  <c r="S17" i="71"/>
  <c r="R17" i="71"/>
  <c r="Q17" i="71"/>
  <c r="V17" i="71" s="1"/>
  <c r="N17" i="71"/>
  <c r="M17" i="71"/>
  <c r="L17" i="71"/>
  <c r="K17" i="71"/>
  <c r="G17" i="71"/>
  <c r="AK16" i="71"/>
  <c r="AJ16" i="71"/>
  <c r="E46" i="74" s="1"/>
  <c r="AI16" i="71"/>
  <c r="D46" i="74" s="1"/>
  <c r="AF16" i="71"/>
  <c r="Y16" i="71"/>
  <c r="W16" i="71"/>
  <c r="S16" i="71"/>
  <c r="R16" i="71"/>
  <c r="Q16" i="71"/>
  <c r="V16" i="71" s="1"/>
  <c r="N16" i="71"/>
  <c r="M16" i="71"/>
  <c r="L16" i="71"/>
  <c r="K16" i="71"/>
  <c r="G16" i="71"/>
  <c r="AK15" i="71"/>
  <c r="AJ15" i="71"/>
  <c r="AI15" i="71"/>
  <c r="D45" i="74" s="1"/>
  <c r="AF15" i="71"/>
  <c r="Y15" i="71"/>
  <c r="W15" i="71"/>
  <c r="S15" i="71"/>
  <c r="R15" i="71"/>
  <c r="Q15" i="71"/>
  <c r="V15" i="71" s="1"/>
  <c r="N15" i="71"/>
  <c r="M15" i="71"/>
  <c r="L15" i="71"/>
  <c r="K15" i="71"/>
  <c r="U15" i="71" s="1"/>
  <c r="G15" i="71"/>
  <c r="AK14" i="71"/>
  <c r="AJ14" i="71"/>
  <c r="E44" i="74" s="1"/>
  <c r="AI14" i="71"/>
  <c r="D44" i="74" s="1"/>
  <c r="AF14" i="71"/>
  <c r="Y14" i="71"/>
  <c r="W14" i="71"/>
  <c r="S14" i="71"/>
  <c r="R14" i="71"/>
  <c r="Q14" i="71"/>
  <c r="V14" i="71" s="1"/>
  <c r="N14" i="71"/>
  <c r="M14" i="71"/>
  <c r="L14" i="71"/>
  <c r="K14" i="71"/>
  <c r="G14" i="71"/>
  <c r="AK13" i="71"/>
  <c r="AJ13" i="71"/>
  <c r="E43" i="74" s="1"/>
  <c r="AI13" i="71"/>
  <c r="D43" i="74" s="1"/>
  <c r="AF13" i="71"/>
  <c r="Y13" i="71"/>
  <c r="W13" i="71"/>
  <c r="S13" i="71"/>
  <c r="R13" i="71"/>
  <c r="Q13" i="71"/>
  <c r="V13" i="71" s="1"/>
  <c r="N13" i="71"/>
  <c r="M13" i="71"/>
  <c r="L13" i="71"/>
  <c r="K13" i="71"/>
  <c r="G13" i="71"/>
  <c r="AK12" i="71"/>
  <c r="AJ12" i="71"/>
  <c r="E42" i="74" s="1"/>
  <c r="AI12" i="71"/>
  <c r="D42" i="74" s="1"/>
  <c r="AF12" i="71"/>
  <c r="Y12" i="71"/>
  <c r="W12" i="71"/>
  <c r="S12" i="71"/>
  <c r="R12" i="71"/>
  <c r="Q12" i="71"/>
  <c r="V12" i="71" s="1"/>
  <c r="N12" i="71"/>
  <c r="M12" i="71"/>
  <c r="L12" i="71"/>
  <c r="K12" i="71"/>
  <c r="G12" i="71"/>
  <c r="AK11" i="71"/>
  <c r="AJ11" i="71"/>
  <c r="E41" i="74" s="1"/>
  <c r="AI11" i="71"/>
  <c r="D41" i="74" s="1"/>
  <c r="AF11" i="71"/>
  <c r="Y11" i="71"/>
  <c r="W11" i="71"/>
  <c r="S11" i="71"/>
  <c r="R11" i="71"/>
  <c r="Q11" i="71"/>
  <c r="N11" i="71"/>
  <c r="M11" i="71"/>
  <c r="L11" i="71"/>
  <c r="K11" i="71"/>
  <c r="G11" i="71"/>
  <c r="AK10" i="71"/>
  <c r="AJ10" i="71"/>
  <c r="E40" i="74" s="1"/>
  <c r="AI10" i="71"/>
  <c r="D40" i="74" s="1"/>
  <c r="AF10" i="71"/>
  <c r="Y10" i="71"/>
  <c r="W10" i="71"/>
  <c r="S10" i="71"/>
  <c r="R10" i="71"/>
  <c r="Q10" i="71"/>
  <c r="N10" i="71"/>
  <c r="M10" i="71"/>
  <c r="L10" i="71"/>
  <c r="K10" i="71"/>
  <c r="G10" i="71"/>
  <c r="AK9" i="71"/>
  <c r="AJ9" i="71"/>
  <c r="E39" i="74" s="1"/>
  <c r="AI9" i="71"/>
  <c r="D39" i="74" s="1"/>
  <c r="AF9" i="71"/>
  <c r="Y9" i="71"/>
  <c r="W9" i="71"/>
  <c r="S9" i="71"/>
  <c r="R9" i="71"/>
  <c r="Q9" i="71"/>
  <c r="N9" i="71"/>
  <c r="M9" i="71"/>
  <c r="L9" i="71"/>
  <c r="K9" i="71"/>
  <c r="G9" i="71"/>
  <c r="AK8" i="71"/>
  <c r="AJ8" i="71"/>
  <c r="E38" i="74" s="1"/>
  <c r="AI8" i="71"/>
  <c r="D38" i="74" s="1"/>
  <c r="AF8" i="71"/>
  <c r="Y8" i="71"/>
  <c r="W8" i="71"/>
  <c r="S8" i="71"/>
  <c r="R8" i="71"/>
  <c r="Q8" i="71"/>
  <c r="N8" i="71"/>
  <c r="M8" i="71"/>
  <c r="L8" i="71"/>
  <c r="K8" i="71"/>
  <c r="G8" i="71"/>
  <c r="AK7" i="71"/>
  <c r="AJ7" i="71"/>
  <c r="E37" i="74" s="1"/>
  <c r="AI7" i="71"/>
  <c r="D37" i="74" s="1"/>
  <c r="AF7" i="71"/>
  <c r="Y7" i="71"/>
  <c r="W7" i="71"/>
  <c r="S7" i="71"/>
  <c r="R7" i="71"/>
  <c r="Q7" i="71"/>
  <c r="N7" i="71"/>
  <c r="M7" i="71"/>
  <c r="L7" i="71"/>
  <c r="K7" i="71"/>
  <c r="G7" i="71"/>
  <c r="AK6" i="71"/>
  <c r="AJ6" i="71"/>
  <c r="E36" i="74" s="1"/>
  <c r="AI6" i="71"/>
  <c r="D36" i="74" s="1"/>
  <c r="AF6" i="71"/>
  <c r="Y6" i="71"/>
  <c r="W6" i="71"/>
  <c r="S6" i="71"/>
  <c r="R6" i="71"/>
  <c r="Q6" i="71"/>
  <c r="V6" i="71" s="1"/>
  <c r="N6" i="71"/>
  <c r="M6" i="71"/>
  <c r="L6" i="71"/>
  <c r="K6" i="71"/>
  <c r="G6" i="71"/>
  <c r="AK5" i="71"/>
  <c r="AJ5" i="71"/>
  <c r="E35" i="74" s="1"/>
  <c r="AI5" i="71"/>
  <c r="D35" i="74" s="1"/>
  <c r="AF5" i="71"/>
  <c r="Y5" i="71"/>
  <c r="W5" i="71"/>
  <c r="S5" i="71"/>
  <c r="R5" i="71"/>
  <c r="Q5" i="71"/>
  <c r="V5" i="71" s="1"/>
  <c r="N5" i="71"/>
  <c r="M5" i="71"/>
  <c r="L5" i="71"/>
  <c r="K5" i="71"/>
  <c r="G5" i="71"/>
  <c r="AK4" i="71"/>
  <c r="AJ4" i="71"/>
  <c r="E34" i="74" s="1"/>
  <c r="AI4" i="71"/>
  <c r="D34" i="74" s="1"/>
  <c r="AF4" i="71"/>
  <c r="D8" i="76" s="1"/>
  <c r="E8" i="76" s="1"/>
  <c r="Y4" i="71"/>
  <c r="W4" i="71"/>
  <c r="S4" i="71"/>
  <c r="R4" i="71"/>
  <c r="Q4" i="71"/>
  <c r="N4" i="71"/>
  <c r="M4" i="71"/>
  <c r="L4" i="71"/>
  <c r="K4" i="71"/>
  <c r="G4" i="71"/>
  <c r="D4" i="76" s="1"/>
  <c r="E4" i="76" s="1"/>
  <c r="U148" i="70"/>
  <c r="T148" i="70"/>
  <c r="U147" i="70"/>
  <c r="T147" i="70"/>
  <c r="U146" i="70"/>
  <c r="T146" i="70"/>
  <c r="U145" i="70"/>
  <c r="T145" i="70"/>
  <c r="U144" i="70"/>
  <c r="T144" i="70"/>
  <c r="U143" i="70"/>
  <c r="T143" i="70"/>
  <c r="U142" i="70"/>
  <c r="T142" i="70"/>
  <c r="U141" i="70"/>
  <c r="T141" i="70"/>
  <c r="U140" i="70"/>
  <c r="T140" i="70"/>
  <c r="U139" i="70"/>
  <c r="T139" i="70"/>
  <c r="U138" i="70"/>
  <c r="T138" i="70"/>
  <c r="U137" i="70"/>
  <c r="T137" i="70"/>
  <c r="U136" i="70"/>
  <c r="T136" i="70"/>
  <c r="U135" i="70"/>
  <c r="T135" i="70"/>
  <c r="U134" i="70"/>
  <c r="T134" i="70"/>
  <c r="U133" i="70"/>
  <c r="T133" i="70"/>
  <c r="U132" i="70"/>
  <c r="T132" i="70"/>
  <c r="U131" i="70"/>
  <c r="T131" i="70"/>
  <c r="U130" i="70"/>
  <c r="T130" i="70"/>
  <c r="U129" i="70"/>
  <c r="T129" i="70"/>
  <c r="U128" i="70"/>
  <c r="T128" i="70"/>
  <c r="U127" i="70"/>
  <c r="T127" i="70"/>
  <c r="U126" i="70"/>
  <c r="T126" i="70"/>
  <c r="U125" i="70"/>
  <c r="T125" i="70"/>
  <c r="U124" i="70"/>
  <c r="T124" i="70"/>
  <c r="U123" i="70"/>
  <c r="T123" i="70"/>
  <c r="U122" i="70"/>
  <c r="T122" i="70"/>
  <c r="U121" i="70"/>
  <c r="T121" i="70"/>
  <c r="U120" i="70"/>
  <c r="T120" i="70"/>
  <c r="U119" i="70"/>
  <c r="T119" i="70"/>
  <c r="U118" i="70"/>
  <c r="T118" i="70"/>
  <c r="U117" i="70"/>
  <c r="T117" i="70"/>
  <c r="U116" i="70"/>
  <c r="T116" i="70"/>
  <c r="U115" i="70"/>
  <c r="T115" i="70"/>
  <c r="U114" i="70"/>
  <c r="T114" i="70"/>
  <c r="U113" i="70"/>
  <c r="T113" i="70"/>
  <c r="U112" i="70"/>
  <c r="T112" i="70"/>
  <c r="U111" i="70"/>
  <c r="T111" i="70"/>
  <c r="U110" i="70"/>
  <c r="T110" i="70"/>
  <c r="U109" i="70"/>
  <c r="T109" i="70"/>
  <c r="U108" i="70"/>
  <c r="T108" i="70"/>
  <c r="U107" i="70"/>
  <c r="T107" i="70"/>
  <c r="U106" i="70"/>
  <c r="T106" i="70"/>
  <c r="U105" i="70"/>
  <c r="T105" i="70"/>
  <c r="U104" i="70"/>
  <c r="T104" i="70"/>
  <c r="U103" i="70"/>
  <c r="T103" i="70"/>
  <c r="U102" i="70"/>
  <c r="T102" i="70"/>
  <c r="U101" i="70"/>
  <c r="T101" i="70"/>
  <c r="U100" i="70"/>
  <c r="T100" i="70"/>
  <c r="U99" i="70"/>
  <c r="T99" i="70"/>
  <c r="U98" i="70"/>
  <c r="T98" i="70"/>
  <c r="U97" i="70"/>
  <c r="T97" i="70"/>
  <c r="U96" i="70"/>
  <c r="T96" i="70"/>
  <c r="U95" i="70"/>
  <c r="T95" i="70"/>
  <c r="U94" i="70"/>
  <c r="T94" i="70"/>
  <c r="U93" i="70"/>
  <c r="T93" i="70"/>
  <c r="U92" i="70"/>
  <c r="T92" i="70"/>
  <c r="U91" i="70"/>
  <c r="T91" i="70"/>
  <c r="U90" i="70"/>
  <c r="T90" i="70"/>
  <c r="U89" i="70"/>
  <c r="T89" i="70"/>
  <c r="U88" i="70"/>
  <c r="T88" i="70"/>
  <c r="U87" i="70"/>
  <c r="T87" i="70"/>
  <c r="U86" i="70"/>
  <c r="T86" i="70"/>
  <c r="U85" i="70"/>
  <c r="T85" i="70"/>
  <c r="U84" i="70"/>
  <c r="T84" i="70"/>
  <c r="U83" i="70"/>
  <c r="T83" i="70"/>
  <c r="U82" i="70"/>
  <c r="T82" i="70"/>
  <c r="U81" i="70"/>
  <c r="T81" i="70"/>
  <c r="U80" i="70"/>
  <c r="T80" i="70"/>
  <c r="U79" i="70"/>
  <c r="T79" i="70"/>
  <c r="U78" i="70"/>
  <c r="T78" i="70"/>
  <c r="U77" i="70"/>
  <c r="T77" i="70"/>
  <c r="U76" i="70"/>
  <c r="T76" i="70"/>
  <c r="U75" i="70"/>
  <c r="T75" i="70"/>
  <c r="U74" i="70"/>
  <c r="T74" i="70"/>
  <c r="U73" i="70"/>
  <c r="T73" i="70"/>
  <c r="U72" i="70"/>
  <c r="T72" i="70"/>
  <c r="U71" i="70"/>
  <c r="T71" i="70"/>
  <c r="U70" i="70"/>
  <c r="T70" i="70"/>
  <c r="U69" i="70"/>
  <c r="T69" i="70"/>
  <c r="U68" i="70"/>
  <c r="T68" i="70"/>
  <c r="U67" i="70"/>
  <c r="T67" i="70"/>
  <c r="U66" i="70"/>
  <c r="T66" i="70"/>
  <c r="U65" i="70"/>
  <c r="T65" i="70"/>
  <c r="U64" i="70"/>
  <c r="T64" i="70"/>
  <c r="U63" i="70"/>
  <c r="T63" i="70"/>
  <c r="U62" i="70"/>
  <c r="T62" i="70"/>
  <c r="U61" i="70"/>
  <c r="T61" i="70"/>
  <c r="U60" i="70"/>
  <c r="T60" i="70"/>
  <c r="U59" i="70"/>
  <c r="T59" i="70"/>
  <c r="U58" i="70"/>
  <c r="T58" i="70"/>
  <c r="U57" i="70"/>
  <c r="T57" i="70"/>
  <c r="U56" i="70"/>
  <c r="T56" i="70"/>
  <c r="U55" i="70"/>
  <c r="T55" i="70"/>
  <c r="U54" i="70"/>
  <c r="T54" i="70"/>
  <c r="U53" i="70"/>
  <c r="T53" i="70"/>
  <c r="U52" i="70"/>
  <c r="T52" i="70"/>
  <c r="U51" i="70"/>
  <c r="T51" i="70"/>
  <c r="U50" i="70"/>
  <c r="T50" i="70"/>
  <c r="U49" i="70"/>
  <c r="T49" i="70"/>
  <c r="U48" i="70"/>
  <c r="T48" i="70"/>
  <c r="U47" i="70"/>
  <c r="T47" i="70"/>
  <c r="U46" i="70"/>
  <c r="T46" i="70"/>
  <c r="U45" i="70"/>
  <c r="T45" i="70"/>
  <c r="U44" i="70"/>
  <c r="T44" i="70"/>
  <c r="U43" i="70"/>
  <c r="T43" i="70"/>
  <c r="U42" i="70"/>
  <c r="T42" i="70"/>
  <c r="U41" i="70"/>
  <c r="T41" i="70"/>
  <c r="U40" i="70"/>
  <c r="T40" i="70"/>
  <c r="U39" i="70"/>
  <c r="T39" i="70"/>
  <c r="U38" i="70"/>
  <c r="T38" i="70"/>
  <c r="U37" i="70"/>
  <c r="T37" i="70"/>
  <c r="U36" i="70"/>
  <c r="T36" i="70"/>
  <c r="U35" i="70"/>
  <c r="T35" i="70"/>
  <c r="U34" i="70"/>
  <c r="T34" i="70"/>
  <c r="U33" i="70"/>
  <c r="T33" i="70"/>
  <c r="U32" i="70"/>
  <c r="T32" i="70"/>
  <c r="U31" i="70"/>
  <c r="T31" i="70"/>
  <c r="U30" i="70"/>
  <c r="T30" i="70"/>
  <c r="U29" i="70"/>
  <c r="T29" i="70"/>
  <c r="U28" i="70"/>
  <c r="T28" i="70"/>
  <c r="U27" i="70"/>
  <c r="T27" i="70"/>
  <c r="U26" i="70"/>
  <c r="T26" i="70"/>
  <c r="U25" i="70"/>
  <c r="T25" i="70"/>
  <c r="U24" i="70"/>
  <c r="T24" i="70"/>
  <c r="U23" i="70"/>
  <c r="T23" i="70"/>
  <c r="U22" i="70"/>
  <c r="T22" i="70"/>
  <c r="U21" i="70"/>
  <c r="T21" i="70"/>
  <c r="U20" i="70"/>
  <c r="T20" i="70"/>
  <c r="U19" i="70"/>
  <c r="T19" i="70"/>
  <c r="U18" i="70"/>
  <c r="T18" i="70"/>
  <c r="U17" i="70"/>
  <c r="T17" i="70"/>
  <c r="U16" i="70"/>
  <c r="T16" i="70"/>
  <c r="U15" i="70"/>
  <c r="T15" i="70"/>
  <c r="U14" i="70"/>
  <c r="T14" i="70"/>
  <c r="U13" i="70"/>
  <c r="T13" i="70"/>
  <c r="U12" i="70"/>
  <c r="T12" i="70"/>
  <c r="U11" i="70"/>
  <c r="T11" i="70"/>
  <c r="U10" i="70"/>
  <c r="T10" i="70"/>
  <c r="U9" i="70"/>
  <c r="T9" i="70"/>
  <c r="U8" i="70"/>
  <c r="T8" i="70"/>
  <c r="U7" i="70"/>
  <c r="T7" i="70"/>
  <c r="U6" i="70"/>
  <c r="T6" i="70"/>
  <c r="U5" i="70"/>
  <c r="T5" i="70"/>
  <c r="U4" i="70"/>
  <c r="T4" i="70"/>
  <c r="G38" i="53"/>
  <c r="E38" i="53"/>
  <c r="G37" i="53"/>
  <c r="E37" i="53"/>
  <c r="G36" i="53"/>
  <c r="E36" i="53"/>
  <c r="G35" i="53"/>
  <c r="E35" i="53"/>
  <c r="G34" i="53"/>
  <c r="E34" i="53"/>
  <c r="G33" i="53"/>
  <c r="E33" i="53"/>
  <c r="G32" i="53"/>
  <c r="E32" i="53"/>
  <c r="G31" i="53"/>
  <c r="E31" i="53"/>
  <c r="G30" i="53"/>
  <c r="E30" i="53"/>
  <c r="G29" i="53"/>
  <c r="E29" i="53"/>
  <c r="G28" i="53"/>
  <c r="E28" i="53"/>
  <c r="G27" i="53"/>
  <c r="E27" i="53"/>
  <c r="G26" i="53"/>
  <c r="E26" i="53"/>
  <c r="G25" i="53"/>
  <c r="E25" i="53"/>
  <c r="G24" i="53"/>
  <c r="E24" i="53"/>
  <c r="G23" i="53"/>
  <c r="E23" i="53"/>
  <c r="G22" i="53"/>
  <c r="E22" i="53"/>
  <c r="G21" i="53"/>
  <c r="E21" i="53"/>
  <c r="G20" i="53"/>
  <c r="E20" i="53"/>
  <c r="G19" i="53"/>
  <c r="E19" i="53"/>
  <c r="G18" i="53"/>
  <c r="E18" i="53"/>
  <c r="G17" i="53"/>
  <c r="E17" i="53"/>
  <c r="G16" i="53"/>
  <c r="E16" i="53"/>
  <c r="G15" i="53"/>
  <c r="E15" i="53"/>
  <c r="G14" i="53"/>
  <c r="E14" i="53"/>
  <c r="G13" i="53"/>
  <c r="E13" i="53"/>
  <c r="G12" i="53"/>
  <c r="E12" i="53"/>
  <c r="G11" i="53"/>
  <c r="E11" i="53"/>
  <c r="G10" i="53"/>
  <c r="E10" i="53"/>
  <c r="G9" i="53"/>
  <c r="E9" i="53"/>
  <c r="G8" i="53"/>
  <c r="E8" i="53"/>
  <c r="G7" i="53"/>
  <c r="E7" i="53"/>
  <c r="G6" i="53"/>
  <c r="E6" i="53"/>
  <c r="G5" i="53"/>
  <c r="E5" i="53"/>
  <c r="G4" i="53"/>
  <c r="E4" i="53"/>
  <c r="G18" i="50"/>
  <c r="G17" i="50"/>
  <c r="G16" i="50"/>
  <c r="G15" i="50"/>
  <c r="G14" i="50"/>
  <c r="G13" i="50"/>
  <c r="G12" i="50"/>
  <c r="G11" i="50"/>
  <c r="G10" i="50"/>
  <c r="G9" i="50"/>
  <c r="G8" i="50"/>
  <c r="G7" i="50"/>
  <c r="G6" i="50"/>
  <c r="G5" i="50"/>
  <c r="G4" i="50"/>
  <c r="B10" i="46"/>
  <c r="B9" i="46"/>
  <c r="B8" i="46"/>
  <c r="B7" i="46"/>
  <c r="B6" i="46"/>
  <c r="B5" i="46"/>
  <c r="B4" i="46"/>
  <c r="G33" i="36"/>
  <c r="D33" i="36"/>
  <c r="G32" i="36"/>
  <c r="D32" i="36"/>
  <c r="G31" i="36"/>
  <c r="D31" i="36"/>
  <c r="G30" i="36"/>
  <c r="D30" i="36"/>
  <c r="G29" i="36"/>
  <c r="D29" i="36"/>
  <c r="G28" i="36"/>
  <c r="D28" i="36"/>
  <c r="G27" i="36"/>
  <c r="D27" i="36"/>
  <c r="G26" i="36"/>
  <c r="D26" i="36"/>
  <c r="G25" i="36"/>
  <c r="D25" i="36"/>
  <c r="G24" i="36"/>
  <c r="D24" i="36"/>
  <c r="G23" i="36"/>
  <c r="D23" i="36"/>
  <c r="G22" i="36"/>
  <c r="D22" i="36"/>
  <c r="G21" i="36"/>
  <c r="D21" i="36"/>
  <c r="G20" i="36"/>
  <c r="D20" i="36"/>
  <c r="G19" i="36"/>
  <c r="D19" i="36"/>
  <c r="G18" i="36"/>
  <c r="D18" i="36"/>
  <c r="G17" i="36"/>
  <c r="D17" i="36"/>
  <c r="G16" i="36"/>
  <c r="D16" i="36"/>
  <c r="G15" i="36"/>
  <c r="D15" i="36"/>
  <c r="G14" i="36"/>
  <c r="D14" i="36"/>
  <c r="G13" i="36"/>
  <c r="D13" i="36"/>
  <c r="G12" i="36"/>
  <c r="D12" i="36"/>
  <c r="G11" i="36"/>
  <c r="D11" i="36"/>
  <c r="G10" i="36"/>
  <c r="D10" i="36"/>
  <c r="G9" i="36"/>
  <c r="D9" i="36"/>
  <c r="G8" i="36"/>
  <c r="D8" i="36"/>
  <c r="G7" i="36"/>
  <c r="D7" i="36"/>
  <c r="G6" i="36"/>
  <c r="D6" i="36"/>
  <c r="G5" i="36"/>
  <c r="D5" i="36"/>
  <c r="G4" i="36"/>
  <c r="D4" i="36"/>
  <c r="H33" i="35"/>
  <c r="E33" i="35"/>
  <c r="H32" i="35"/>
  <c r="E32" i="35"/>
  <c r="H31" i="35"/>
  <c r="E31" i="35"/>
  <c r="H30" i="35"/>
  <c r="E30" i="35"/>
  <c r="H29" i="35"/>
  <c r="E29" i="35"/>
  <c r="H28" i="35"/>
  <c r="E28" i="35"/>
  <c r="H27" i="35"/>
  <c r="E27" i="35"/>
  <c r="H26" i="35"/>
  <c r="E26" i="35"/>
  <c r="H25" i="35"/>
  <c r="E25" i="35"/>
  <c r="H24" i="35"/>
  <c r="E24" i="35"/>
  <c r="H23" i="35"/>
  <c r="E23" i="35"/>
  <c r="H22" i="35"/>
  <c r="E22" i="35"/>
  <c r="H21" i="35"/>
  <c r="E21" i="35"/>
  <c r="H20" i="35"/>
  <c r="E20" i="35"/>
  <c r="H19" i="35"/>
  <c r="E19" i="35"/>
  <c r="H18" i="35"/>
  <c r="E18" i="35"/>
  <c r="H17" i="35"/>
  <c r="E17" i="35"/>
  <c r="H16" i="35"/>
  <c r="E16" i="35"/>
  <c r="H15" i="35"/>
  <c r="E15" i="35"/>
  <c r="H14" i="35"/>
  <c r="E14" i="35"/>
  <c r="H13" i="35"/>
  <c r="E13" i="35"/>
  <c r="H12" i="35"/>
  <c r="E12" i="35"/>
  <c r="H11" i="35"/>
  <c r="E11" i="35"/>
  <c r="H10" i="35"/>
  <c r="E10" i="35"/>
  <c r="H9" i="35"/>
  <c r="E9" i="35"/>
  <c r="H8" i="35"/>
  <c r="E8" i="35"/>
  <c r="H7" i="35"/>
  <c r="E7" i="35"/>
  <c r="H6" i="35"/>
  <c r="E6" i="35"/>
  <c r="H5" i="35"/>
  <c r="E5" i="35"/>
  <c r="H4" i="35"/>
  <c r="E4" i="35"/>
  <c r="R33" i="34"/>
  <c r="O33" i="34"/>
  <c r="N33" i="34"/>
  <c r="M33" i="34"/>
  <c r="L33" i="34"/>
  <c r="K33" i="34"/>
  <c r="R32" i="34"/>
  <c r="O32" i="34"/>
  <c r="N32" i="34"/>
  <c r="M32" i="34"/>
  <c r="L32" i="34"/>
  <c r="K32" i="34"/>
  <c r="R31" i="34"/>
  <c r="O31" i="34"/>
  <c r="N31" i="34"/>
  <c r="M31" i="34"/>
  <c r="L31" i="34"/>
  <c r="K31" i="34"/>
  <c r="R30" i="34"/>
  <c r="O30" i="34"/>
  <c r="N30" i="34"/>
  <c r="M30" i="34"/>
  <c r="L30" i="34"/>
  <c r="K30" i="34"/>
  <c r="R29" i="34"/>
  <c r="O29" i="34"/>
  <c r="N29" i="34"/>
  <c r="M29" i="34"/>
  <c r="L29" i="34"/>
  <c r="K29" i="34"/>
  <c r="R28" i="34"/>
  <c r="O28" i="34"/>
  <c r="N28" i="34"/>
  <c r="M28" i="34"/>
  <c r="L28" i="34"/>
  <c r="K28" i="34"/>
  <c r="R27" i="34"/>
  <c r="O27" i="34"/>
  <c r="N27" i="34"/>
  <c r="M27" i="34"/>
  <c r="L27" i="34"/>
  <c r="K27" i="34"/>
  <c r="R26" i="34"/>
  <c r="O26" i="34"/>
  <c r="N26" i="34"/>
  <c r="M26" i="34"/>
  <c r="L26" i="34"/>
  <c r="K26" i="34"/>
  <c r="R25" i="34"/>
  <c r="O25" i="34"/>
  <c r="N25" i="34"/>
  <c r="M25" i="34"/>
  <c r="L25" i="34"/>
  <c r="K25" i="34"/>
  <c r="R24" i="34"/>
  <c r="O24" i="34"/>
  <c r="N24" i="34"/>
  <c r="M24" i="34"/>
  <c r="L24" i="34"/>
  <c r="K24" i="34"/>
  <c r="R23" i="34"/>
  <c r="O23" i="34"/>
  <c r="N23" i="34"/>
  <c r="M23" i="34"/>
  <c r="L23" i="34"/>
  <c r="K23" i="34"/>
  <c r="R22" i="34"/>
  <c r="O22" i="34"/>
  <c r="N22" i="34"/>
  <c r="M22" i="34"/>
  <c r="L22" i="34"/>
  <c r="K22" i="34"/>
  <c r="R21" i="34"/>
  <c r="O21" i="34"/>
  <c r="N21" i="34"/>
  <c r="M21" i="34"/>
  <c r="L21" i="34"/>
  <c r="K21" i="34"/>
  <c r="R20" i="34"/>
  <c r="O20" i="34"/>
  <c r="N20" i="34"/>
  <c r="M20" i="34"/>
  <c r="L20" i="34"/>
  <c r="K20" i="34"/>
  <c r="R19" i="34"/>
  <c r="O19" i="34"/>
  <c r="N19" i="34"/>
  <c r="M19" i="34"/>
  <c r="L19" i="34"/>
  <c r="K19" i="34"/>
  <c r="R18" i="34"/>
  <c r="O18" i="34"/>
  <c r="N18" i="34"/>
  <c r="M18" i="34"/>
  <c r="L18" i="34"/>
  <c r="K18" i="34"/>
  <c r="R17" i="34"/>
  <c r="O17" i="34"/>
  <c r="N17" i="34"/>
  <c r="M17" i="34"/>
  <c r="L17" i="34"/>
  <c r="K17" i="34"/>
  <c r="R16" i="34"/>
  <c r="O16" i="34"/>
  <c r="N16" i="34"/>
  <c r="M16" i="34"/>
  <c r="L16" i="34"/>
  <c r="K16" i="34"/>
  <c r="R15" i="34"/>
  <c r="O15" i="34"/>
  <c r="N15" i="34"/>
  <c r="M15" i="34"/>
  <c r="L15" i="34"/>
  <c r="K15" i="34"/>
  <c r="R14" i="34"/>
  <c r="O14" i="34"/>
  <c r="N14" i="34"/>
  <c r="M14" i="34"/>
  <c r="L14" i="34"/>
  <c r="K14" i="34"/>
  <c r="R13" i="34"/>
  <c r="O13" i="34"/>
  <c r="N13" i="34"/>
  <c r="M13" i="34"/>
  <c r="L13" i="34"/>
  <c r="K13" i="34"/>
  <c r="R12" i="34"/>
  <c r="O12" i="34"/>
  <c r="N12" i="34"/>
  <c r="M12" i="34"/>
  <c r="L12" i="34"/>
  <c r="K12" i="34"/>
  <c r="R11" i="34"/>
  <c r="O11" i="34"/>
  <c r="N11" i="34"/>
  <c r="M11" i="34"/>
  <c r="L11" i="34"/>
  <c r="K11" i="34"/>
  <c r="R10" i="34"/>
  <c r="O10" i="34"/>
  <c r="N10" i="34"/>
  <c r="M10" i="34"/>
  <c r="L10" i="34"/>
  <c r="K10" i="34"/>
  <c r="R9" i="34"/>
  <c r="O9" i="34"/>
  <c r="N9" i="34"/>
  <c r="M9" i="34"/>
  <c r="L9" i="34"/>
  <c r="K9" i="34"/>
  <c r="R8" i="34"/>
  <c r="O8" i="34"/>
  <c r="N8" i="34"/>
  <c r="M8" i="34"/>
  <c r="L8" i="34"/>
  <c r="K8" i="34"/>
  <c r="R7" i="34"/>
  <c r="O7" i="34"/>
  <c r="N7" i="34"/>
  <c r="M7" i="34"/>
  <c r="L7" i="34"/>
  <c r="K7" i="34"/>
  <c r="R6" i="34"/>
  <c r="O6" i="34"/>
  <c r="N6" i="34"/>
  <c r="M6" i="34"/>
  <c r="L6" i="34"/>
  <c r="K6" i="34"/>
  <c r="R5" i="34"/>
  <c r="O5" i="34"/>
  <c r="N5" i="34"/>
  <c r="M5" i="34"/>
  <c r="L5" i="34"/>
  <c r="K5" i="34"/>
  <c r="R4" i="34"/>
  <c r="O4" i="34"/>
  <c r="N4" i="34"/>
  <c r="M4" i="34"/>
  <c r="L4" i="34"/>
  <c r="K4" i="34"/>
  <c r="K15" i="33"/>
  <c r="J15" i="33"/>
  <c r="I15" i="33"/>
  <c r="H15" i="33"/>
  <c r="E15" i="33"/>
  <c r="D15" i="33"/>
  <c r="K14" i="33"/>
  <c r="J14" i="33"/>
  <c r="I14" i="33"/>
  <c r="H14" i="33"/>
  <c r="E14" i="33"/>
  <c r="D14" i="33"/>
  <c r="K13" i="33"/>
  <c r="J13" i="33"/>
  <c r="I13" i="33"/>
  <c r="H13" i="33"/>
  <c r="E13" i="33"/>
  <c r="D13" i="33"/>
  <c r="K12" i="33"/>
  <c r="J12" i="33"/>
  <c r="I12" i="33"/>
  <c r="H12" i="33"/>
  <c r="E12" i="33"/>
  <c r="D12" i="33"/>
  <c r="K11" i="33"/>
  <c r="J11" i="33"/>
  <c r="I11" i="33"/>
  <c r="H11" i="33"/>
  <c r="E11" i="33"/>
  <c r="D11" i="33"/>
  <c r="K10" i="33"/>
  <c r="J10" i="33"/>
  <c r="I10" i="33"/>
  <c r="H10" i="33"/>
  <c r="E10" i="33"/>
  <c r="D10" i="33"/>
  <c r="K9" i="33"/>
  <c r="J9" i="33"/>
  <c r="I9" i="33"/>
  <c r="H9" i="33"/>
  <c r="E9" i="33"/>
  <c r="D9" i="33"/>
  <c r="E8" i="33"/>
  <c r="D8" i="33"/>
  <c r="K7" i="33"/>
  <c r="J7" i="33"/>
  <c r="I7" i="33"/>
  <c r="H7" i="33"/>
  <c r="E7" i="33"/>
  <c r="D7" i="33"/>
  <c r="K6" i="33"/>
  <c r="J6" i="33"/>
  <c r="I6" i="33"/>
  <c r="H6" i="33"/>
  <c r="E6" i="33"/>
  <c r="D6" i="33"/>
  <c r="K5" i="33"/>
  <c r="J5" i="33"/>
  <c r="I5" i="33"/>
  <c r="H5" i="33"/>
  <c r="E5" i="33"/>
  <c r="D5" i="33"/>
  <c r="K4" i="33"/>
  <c r="J4" i="33"/>
  <c r="I4" i="33"/>
  <c r="H4" i="33"/>
  <c r="E4" i="33"/>
  <c r="D4" i="33"/>
  <c r="J11" i="32"/>
  <c r="I10" i="32"/>
  <c r="G10" i="32"/>
  <c r="F10" i="32"/>
  <c r="D10" i="32"/>
  <c r="J9" i="32"/>
  <c r="J8" i="32"/>
  <c r="J7" i="32"/>
  <c r="J6" i="32"/>
  <c r="J5" i="32"/>
  <c r="J4" i="32"/>
  <c r="B18" i="25"/>
  <c r="B17" i="25"/>
  <c r="B13" i="25"/>
  <c r="B11" i="25"/>
  <c r="B10" i="25"/>
  <c r="B9" i="25"/>
  <c r="B8" i="25"/>
  <c r="B7" i="25"/>
  <c r="B6" i="25"/>
  <c r="B4" i="25"/>
  <c r="E8" i="16"/>
  <c r="B8" i="16"/>
  <c r="E7" i="16"/>
  <c r="B7" i="16"/>
  <c r="F6" i="16"/>
  <c r="E6" i="16"/>
  <c r="D6" i="16"/>
  <c r="B6" i="16"/>
  <c r="F5" i="16"/>
  <c r="E5" i="16"/>
  <c r="D5" i="16"/>
  <c r="B5" i="16"/>
  <c r="E4" i="16"/>
  <c r="B4" i="16"/>
  <c r="U33" i="15"/>
  <c r="R33" i="15"/>
  <c r="O33" i="15"/>
  <c r="L33" i="15"/>
  <c r="I33" i="15"/>
  <c r="U32" i="15"/>
  <c r="R32" i="15"/>
  <c r="O32" i="15"/>
  <c r="L32" i="15"/>
  <c r="I32" i="15"/>
  <c r="U31" i="15"/>
  <c r="R31" i="15"/>
  <c r="O31" i="15"/>
  <c r="L31" i="15"/>
  <c r="I31" i="15"/>
  <c r="U30" i="15"/>
  <c r="R30" i="15"/>
  <c r="O30" i="15"/>
  <c r="L30" i="15"/>
  <c r="I30" i="15"/>
  <c r="U29" i="15"/>
  <c r="R29" i="15"/>
  <c r="O29" i="15"/>
  <c r="L29" i="15"/>
  <c r="I29" i="15"/>
  <c r="U28" i="15"/>
  <c r="R28" i="15"/>
  <c r="O28" i="15"/>
  <c r="L28" i="15"/>
  <c r="I28" i="15"/>
  <c r="U27" i="15"/>
  <c r="R27" i="15"/>
  <c r="O27" i="15"/>
  <c r="L27" i="15"/>
  <c r="I27" i="15"/>
  <c r="U26" i="15"/>
  <c r="R26" i="15"/>
  <c r="O26" i="15"/>
  <c r="L26" i="15"/>
  <c r="I26" i="15"/>
  <c r="U25" i="15"/>
  <c r="R25" i="15"/>
  <c r="O25" i="15"/>
  <c r="L25" i="15"/>
  <c r="I25" i="15"/>
  <c r="U24" i="15"/>
  <c r="R24" i="15"/>
  <c r="O24" i="15"/>
  <c r="L24" i="15"/>
  <c r="I24" i="15"/>
  <c r="U23" i="15"/>
  <c r="R23" i="15"/>
  <c r="O23" i="15"/>
  <c r="L23" i="15"/>
  <c r="I23" i="15"/>
  <c r="U22" i="15"/>
  <c r="R22" i="15"/>
  <c r="O22" i="15"/>
  <c r="L22" i="15"/>
  <c r="I22" i="15"/>
  <c r="U21" i="15"/>
  <c r="R21" i="15"/>
  <c r="O21" i="15"/>
  <c r="L21" i="15"/>
  <c r="I21" i="15"/>
  <c r="U20" i="15"/>
  <c r="R20" i="15"/>
  <c r="O20" i="15"/>
  <c r="L20" i="15"/>
  <c r="I20" i="15"/>
  <c r="U19" i="15"/>
  <c r="R19" i="15"/>
  <c r="O19" i="15"/>
  <c r="L19" i="15"/>
  <c r="I19" i="15"/>
  <c r="U18" i="15"/>
  <c r="R18" i="15"/>
  <c r="O18" i="15"/>
  <c r="L18" i="15"/>
  <c r="I18" i="15"/>
  <c r="U17" i="15"/>
  <c r="R17" i="15"/>
  <c r="O17" i="15"/>
  <c r="L17" i="15"/>
  <c r="I17" i="15"/>
  <c r="U16" i="15"/>
  <c r="R16" i="15"/>
  <c r="O16" i="15"/>
  <c r="L16" i="15"/>
  <c r="I16" i="15"/>
  <c r="U15" i="15"/>
  <c r="R15" i="15"/>
  <c r="O15" i="15"/>
  <c r="L15" i="15"/>
  <c r="I15" i="15"/>
  <c r="U14" i="15"/>
  <c r="R14" i="15"/>
  <c r="O14" i="15"/>
  <c r="L14" i="15"/>
  <c r="I14" i="15"/>
  <c r="U13" i="15"/>
  <c r="R13" i="15"/>
  <c r="O13" i="15"/>
  <c r="L13" i="15"/>
  <c r="I13" i="15"/>
  <c r="U12" i="15"/>
  <c r="R12" i="15"/>
  <c r="O12" i="15"/>
  <c r="L12" i="15"/>
  <c r="I12" i="15"/>
  <c r="U11" i="15"/>
  <c r="R11" i="15"/>
  <c r="O11" i="15"/>
  <c r="L11" i="15"/>
  <c r="I11" i="15"/>
  <c r="U10" i="15"/>
  <c r="R10" i="15"/>
  <c r="O10" i="15"/>
  <c r="L10" i="15"/>
  <c r="I10" i="15"/>
  <c r="U9" i="15"/>
  <c r="R9" i="15"/>
  <c r="O9" i="15"/>
  <c r="L9" i="15"/>
  <c r="I9" i="15"/>
  <c r="U8" i="15"/>
  <c r="R8" i="15"/>
  <c r="O8" i="15"/>
  <c r="L8" i="15"/>
  <c r="I8" i="15"/>
  <c r="U7" i="15"/>
  <c r="R7" i="15"/>
  <c r="O7" i="15"/>
  <c r="L7" i="15"/>
  <c r="I7" i="15"/>
  <c r="U6" i="15"/>
  <c r="R6" i="15"/>
  <c r="O6" i="15"/>
  <c r="L6" i="15"/>
  <c r="I6" i="15"/>
  <c r="U5" i="15"/>
  <c r="R5" i="15"/>
  <c r="O5" i="15"/>
  <c r="L5" i="15"/>
  <c r="I5" i="15"/>
  <c r="U4" i="15"/>
  <c r="R4" i="15"/>
  <c r="O4" i="15"/>
  <c r="L4" i="15"/>
  <c r="I4" i="15"/>
  <c r="F16" i="12"/>
  <c r="F15" i="12"/>
  <c r="F14" i="12"/>
  <c r="F13" i="12"/>
  <c r="F12" i="12"/>
  <c r="F10" i="12"/>
  <c r="F9" i="12"/>
  <c r="F8" i="12"/>
  <c r="F7" i="12"/>
  <c r="F6" i="12"/>
  <c r="F5" i="12"/>
  <c r="F4" i="12"/>
  <c r="G16" i="10"/>
  <c r="F16" i="10"/>
  <c r="G15" i="10"/>
  <c r="F15" i="10"/>
  <c r="G14" i="10"/>
  <c r="F14" i="10"/>
  <c r="G13" i="10"/>
  <c r="F13" i="10"/>
  <c r="G12" i="10"/>
  <c r="F12" i="10"/>
  <c r="G11" i="10"/>
  <c r="F11" i="10"/>
  <c r="G10" i="10"/>
  <c r="F10" i="10"/>
  <c r="G9" i="10"/>
  <c r="F9" i="10"/>
  <c r="G7" i="10"/>
  <c r="F7" i="10"/>
  <c r="G6" i="10"/>
  <c r="F6" i="10"/>
  <c r="G5" i="10"/>
  <c r="F5" i="10"/>
  <c r="G4" i="10"/>
  <c r="F4" i="10"/>
  <c r="B44" i="3"/>
  <c r="B41" i="3"/>
  <c r="B40" i="3"/>
  <c r="B50" i="3" s="1"/>
  <c r="F9" i="16" s="1"/>
  <c r="O33" i="3"/>
  <c r="B33" i="3"/>
  <c r="C33" i="3" s="1"/>
  <c r="F33" i="3" s="1"/>
  <c r="O32" i="3"/>
  <c r="B32" i="3"/>
  <c r="C32" i="3" s="1"/>
  <c r="F32" i="3" s="1"/>
  <c r="O31" i="3"/>
  <c r="B31" i="3"/>
  <c r="C31" i="3" s="1"/>
  <c r="F31" i="3" s="1"/>
  <c r="O30" i="3"/>
  <c r="B30" i="3"/>
  <c r="C30" i="3" s="1"/>
  <c r="F30" i="3" s="1"/>
  <c r="O29" i="3"/>
  <c r="B29" i="3"/>
  <c r="C29" i="3" s="1"/>
  <c r="F29" i="3" s="1"/>
  <c r="O28" i="3"/>
  <c r="B28" i="3"/>
  <c r="C28" i="3" s="1"/>
  <c r="F28" i="3" s="1"/>
  <c r="O27" i="3"/>
  <c r="B27" i="3"/>
  <c r="C27" i="3" s="1"/>
  <c r="F27" i="3" s="1"/>
  <c r="O26" i="3"/>
  <c r="B26" i="3"/>
  <c r="C26" i="3" s="1"/>
  <c r="F26" i="3" s="1"/>
  <c r="O25" i="3"/>
  <c r="B25" i="3"/>
  <c r="C25" i="3" s="1"/>
  <c r="F25" i="3" s="1"/>
  <c r="O24" i="3"/>
  <c r="B24" i="3"/>
  <c r="C24" i="3" s="1"/>
  <c r="F24" i="3" s="1"/>
  <c r="O23" i="3"/>
  <c r="B23" i="3"/>
  <c r="C23" i="3" s="1"/>
  <c r="F23" i="3" s="1"/>
  <c r="O22" i="3"/>
  <c r="B22" i="3"/>
  <c r="C22" i="3" s="1"/>
  <c r="F22" i="3" s="1"/>
  <c r="O21" i="3"/>
  <c r="B21" i="3"/>
  <c r="C21" i="3" s="1"/>
  <c r="F21" i="3" s="1"/>
  <c r="O20" i="3"/>
  <c r="B20" i="3"/>
  <c r="C20" i="3" s="1"/>
  <c r="F20" i="3" s="1"/>
  <c r="O19" i="3"/>
  <c r="B19" i="3"/>
  <c r="C19" i="3" s="1"/>
  <c r="F19" i="3" s="1"/>
  <c r="O18" i="3"/>
  <c r="B18" i="3"/>
  <c r="C18" i="3" s="1"/>
  <c r="F18" i="3" s="1"/>
  <c r="O17" i="3"/>
  <c r="B17" i="3"/>
  <c r="C17" i="3" s="1"/>
  <c r="F17" i="3" s="1"/>
  <c r="O16" i="3"/>
  <c r="B16" i="3"/>
  <c r="C16" i="3" s="1"/>
  <c r="F16" i="3" s="1"/>
  <c r="O15" i="3"/>
  <c r="B15" i="3"/>
  <c r="C15" i="3" s="1"/>
  <c r="F15" i="3" s="1"/>
  <c r="O14" i="3"/>
  <c r="B14" i="3"/>
  <c r="C14" i="3" s="1"/>
  <c r="F14" i="3" s="1"/>
  <c r="O13" i="3"/>
  <c r="B13" i="3"/>
  <c r="C13" i="3" s="1"/>
  <c r="F13" i="3" s="1"/>
  <c r="O12" i="3"/>
  <c r="B12" i="3"/>
  <c r="C12" i="3" s="1"/>
  <c r="F12" i="3" s="1"/>
  <c r="O11" i="3"/>
  <c r="B11" i="3"/>
  <c r="C11" i="3" s="1"/>
  <c r="F11" i="3" s="1"/>
  <c r="O10" i="3"/>
  <c r="B10" i="3"/>
  <c r="C10" i="3" s="1"/>
  <c r="F10" i="3" s="1"/>
  <c r="O9" i="3"/>
  <c r="B9" i="3"/>
  <c r="C9" i="3" s="1"/>
  <c r="F9" i="3" s="1"/>
  <c r="O8" i="3"/>
  <c r="B8" i="3"/>
  <c r="C8" i="3" s="1"/>
  <c r="F8" i="3" s="1"/>
  <c r="O7" i="3"/>
  <c r="B7" i="3"/>
  <c r="C7" i="3" s="1"/>
  <c r="F7" i="3" s="1"/>
  <c r="O6" i="3"/>
  <c r="B6" i="3"/>
  <c r="C6" i="3" s="1"/>
  <c r="F6" i="3" s="1"/>
  <c r="O5" i="3"/>
  <c r="B5" i="3"/>
  <c r="C5" i="3" s="1"/>
  <c r="F5" i="3" s="1"/>
  <c r="O4" i="3"/>
  <c r="B4" i="3"/>
  <c r="C4" i="3" s="1"/>
  <c r="V29" i="71" l="1"/>
  <c r="V20" i="71"/>
  <c r="V19" i="71"/>
  <c r="V10" i="71"/>
  <c r="B16" i="25"/>
  <c r="B15" i="25"/>
  <c r="B14" i="25"/>
  <c r="L33" i="82"/>
  <c r="L25" i="82"/>
  <c r="L24" i="82"/>
  <c r="L23" i="82"/>
  <c r="L22" i="82"/>
  <c r="L17" i="82"/>
  <c r="L15" i="82"/>
  <c r="L18" i="82"/>
  <c r="L13" i="82"/>
  <c r="L29" i="82"/>
  <c r="L26" i="82"/>
  <c r="L21" i="82"/>
  <c r="L20" i="82"/>
  <c r="L19" i="82"/>
  <c r="L12" i="82"/>
  <c r="L11" i="82"/>
  <c r="V9" i="71"/>
  <c r="V7" i="71"/>
  <c r="V4" i="71"/>
  <c r="V32" i="71"/>
  <c r="AB31" i="71"/>
  <c r="V28" i="71"/>
  <c r="V26" i="71"/>
  <c r="V25" i="71"/>
  <c r="V23" i="71"/>
  <c r="V22" i="71"/>
  <c r="V11" i="71"/>
  <c r="V8" i="71"/>
  <c r="V27" i="71"/>
  <c r="V21" i="71"/>
  <c r="AB15" i="71"/>
  <c r="D12" i="76"/>
  <c r="B49" i="3"/>
  <c r="L32" i="82"/>
  <c r="M16" i="82"/>
  <c r="O16" i="82"/>
  <c r="AG15" i="82"/>
  <c r="V86" i="81"/>
  <c r="I8" i="17"/>
  <c r="B8" i="17"/>
  <c r="C8" i="17"/>
  <c r="D8" i="17"/>
  <c r="E8" i="17"/>
  <c r="F8" i="17"/>
  <c r="G8" i="17"/>
  <c r="H8" i="17"/>
  <c r="F7" i="17"/>
  <c r="I7" i="17"/>
  <c r="G7" i="17"/>
  <c r="B7" i="17"/>
  <c r="C7" i="17"/>
  <c r="D7" i="17"/>
  <c r="E7" i="17"/>
  <c r="H7" i="17"/>
  <c r="C6" i="16"/>
  <c r="E6" i="17"/>
  <c r="I6" i="17"/>
  <c r="B6" i="17"/>
  <c r="C6" i="17"/>
  <c r="D6" i="17"/>
  <c r="F6" i="17"/>
  <c r="G6" i="17"/>
  <c r="H6" i="17"/>
  <c r="C5" i="16"/>
  <c r="B9" i="19"/>
  <c r="F5" i="17"/>
  <c r="B5" i="17"/>
  <c r="B4" i="19"/>
  <c r="B5" i="19"/>
  <c r="B6" i="19" s="1"/>
  <c r="C5" i="17"/>
  <c r="D5" i="17"/>
  <c r="E5" i="17"/>
  <c r="B7" i="19"/>
  <c r="B8" i="19"/>
  <c r="B10" i="19"/>
  <c r="I5" i="17"/>
  <c r="H5" i="17"/>
  <c r="G5" i="17"/>
  <c r="B7" i="18"/>
  <c r="B4" i="18"/>
  <c r="B11" i="19"/>
  <c r="B12" i="19"/>
  <c r="B6" i="18"/>
  <c r="I4" i="17"/>
  <c r="H4" i="17"/>
  <c r="G4" i="17"/>
  <c r="F4" i="17"/>
  <c r="E4" i="17"/>
  <c r="D4" i="17"/>
  <c r="C4" i="17"/>
  <c r="B4" i="17"/>
  <c r="B5" i="18"/>
  <c r="B9" i="16"/>
  <c r="G8" i="33"/>
  <c r="AH33" i="82"/>
  <c r="AB33" i="82"/>
  <c r="O33" i="82"/>
  <c r="M33" i="82"/>
  <c r="AH32" i="82"/>
  <c r="AC32" i="82"/>
  <c r="AB32" i="82"/>
  <c r="O32" i="82"/>
  <c r="M32" i="82"/>
  <c r="AC31" i="82"/>
  <c r="AB31" i="82"/>
  <c r="AB30" i="82"/>
  <c r="AC30" i="82"/>
  <c r="AH30" i="82"/>
  <c r="O30" i="82"/>
  <c r="M30" i="82"/>
  <c r="AB29" i="82"/>
  <c r="AC29" i="82" s="1"/>
  <c r="AH29" i="82"/>
  <c r="M29" i="82"/>
  <c r="O29" i="82"/>
  <c r="AB28" i="82"/>
  <c r="AH28" i="82"/>
  <c r="M28" i="82"/>
  <c r="O28" i="82"/>
  <c r="AH27" i="82"/>
  <c r="AB27" i="82"/>
  <c r="O27" i="82"/>
  <c r="M27" i="82"/>
  <c r="AH26" i="82"/>
  <c r="AB26" i="82"/>
  <c r="O26" i="82"/>
  <c r="M26" i="82"/>
  <c r="AH25" i="82"/>
  <c r="AB25" i="82"/>
  <c r="O25" i="82"/>
  <c r="M25" i="82"/>
  <c r="AH24" i="82"/>
  <c r="AB24" i="82"/>
  <c r="M24" i="82"/>
  <c r="O24" i="82"/>
  <c r="AH23" i="82"/>
  <c r="AB23" i="82"/>
  <c r="O23" i="82"/>
  <c r="M23" i="82"/>
  <c r="AH22" i="82"/>
  <c r="AB22" i="82"/>
  <c r="AC22" i="82" s="1"/>
  <c r="O22" i="82"/>
  <c r="M22" i="82"/>
  <c r="AH21" i="82"/>
  <c r="AB21" i="82"/>
  <c r="M21" i="82"/>
  <c r="O21" i="82"/>
  <c r="AH20" i="82"/>
  <c r="AB20" i="82"/>
  <c r="O20" i="82"/>
  <c r="M20" i="82"/>
  <c r="AH19" i="82"/>
  <c r="AC19" i="82"/>
  <c r="AB19" i="82"/>
  <c r="M19" i="82"/>
  <c r="O19" i="82"/>
  <c r="AH18" i="82"/>
  <c r="AB18" i="82"/>
  <c r="AC18" i="82" s="1"/>
  <c r="M18" i="82"/>
  <c r="O18" i="82"/>
  <c r="AH17" i="82"/>
  <c r="AB17" i="82"/>
  <c r="O17" i="82"/>
  <c r="M17" i="82"/>
  <c r="AH16" i="82"/>
  <c r="AB16" i="82"/>
  <c r="AH15" i="82"/>
  <c r="AB15" i="82"/>
  <c r="O15" i="82"/>
  <c r="M15" i="82"/>
  <c r="AB14" i="82"/>
  <c r="AH14" i="82"/>
  <c r="O14" i="82"/>
  <c r="M14" i="82"/>
  <c r="AB13" i="82"/>
  <c r="AH13" i="82"/>
  <c r="M13" i="82"/>
  <c r="O13" i="82"/>
  <c r="AH12" i="82"/>
  <c r="AB12" i="82"/>
  <c r="M12" i="82"/>
  <c r="O12" i="82"/>
  <c r="AH11" i="82"/>
  <c r="AB11" i="82"/>
  <c r="O11" i="82"/>
  <c r="M11" i="82"/>
  <c r="AH10" i="82"/>
  <c r="AB10" i="82"/>
  <c r="M10" i="82"/>
  <c r="O10" i="82"/>
  <c r="AB9" i="82"/>
  <c r="AH9" i="82"/>
  <c r="AC9" i="82"/>
  <c r="M9" i="82"/>
  <c r="O9" i="82"/>
  <c r="AH8" i="82"/>
  <c r="AB8" i="82"/>
  <c r="AC8" i="82" s="1"/>
  <c r="O8" i="82"/>
  <c r="M8" i="82"/>
  <c r="AH7" i="82"/>
  <c r="AB7" i="82"/>
  <c r="M7" i="82"/>
  <c r="O7" i="82"/>
  <c r="AH6" i="82"/>
  <c r="AB6" i="82"/>
  <c r="M6" i="82"/>
  <c r="O6" i="82"/>
  <c r="AH5" i="82"/>
  <c r="AB5" i="82"/>
  <c r="AC5" i="82" s="1"/>
  <c r="M5" i="82"/>
  <c r="O5" i="82"/>
  <c r="AH4" i="82"/>
  <c r="O4" i="82"/>
  <c r="M4" i="82"/>
  <c r="V206" i="81"/>
  <c r="AG33" i="82"/>
  <c r="V203" i="81"/>
  <c r="AE33" i="82"/>
  <c r="V200" i="81"/>
  <c r="AC33" i="82" s="1"/>
  <c r="AJ33" i="82"/>
  <c r="AI33" i="82"/>
  <c r="V199" i="81"/>
  <c r="AG32" i="82"/>
  <c r="V195" i="81"/>
  <c r="AE32" i="82"/>
  <c r="V193" i="81"/>
  <c r="AI32" i="82"/>
  <c r="AJ32" i="82"/>
  <c r="V192" i="81"/>
  <c r="AI31" i="82"/>
  <c r="AJ31" i="82"/>
  <c r="V191" i="81"/>
  <c r="AG30" i="82"/>
  <c r="V188" i="81"/>
  <c r="AE30" i="82"/>
  <c r="V185" i="81"/>
  <c r="AI30" i="82"/>
  <c r="AJ30" i="82"/>
  <c r="V184" i="81"/>
  <c r="AG29" i="82"/>
  <c r="V180" i="81"/>
  <c r="AE29" i="82"/>
  <c r="V178" i="81"/>
  <c r="AI29" i="82"/>
  <c r="AJ29" i="82"/>
  <c r="V177" i="81"/>
  <c r="AG28" i="82"/>
  <c r="V174" i="81"/>
  <c r="AE28" i="82"/>
  <c r="V171" i="81"/>
  <c r="AJ28" i="82"/>
  <c r="AI28" i="82"/>
  <c r="V170" i="81"/>
  <c r="AG27" i="82"/>
  <c r="V169" i="81"/>
  <c r="AE27" i="82"/>
  <c r="V164" i="81"/>
  <c r="AC27" i="82" s="1"/>
  <c r="AJ27" i="82"/>
  <c r="AI27" i="82"/>
  <c r="V163" i="81"/>
  <c r="AG26" i="82"/>
  <c r="V161" i="81"/>
  <c r="AE26" i="82"/>
  <c r="V157" i="81"/>
  <c r="AC26" i="82" s="1"/>
  <c r="AI26" i="82"/>
  <c r="AJ26" i="82"/>
  <c r="V156" i="81"/>
  <c r="AG25" i="82"/>
  <c r="V151" i="81"/>
  <c r="AE25" i="82"/>
  <c r="V150" i="81"/>
  <c r="AC25" i="82" s="1"/>
  <c r="AJ25" i="82"/>
  <c r="AI25" i="82"/>
  <c r="V149" i="81"/>
  <c r="AG24" i="82"/>
  <c r="V145" i="81"/>
  <c r="AE24" i="82"/>
  <c r="V143" i="81"/>
  <c r="AI24" i="82"/>
  <c r="AJ24" i="82"/>
  <c r="V142" i="81"/>
  <c r="AG23" i="82"/>
  <c r="V140" i="81"/>
  <c r="AE23" i="82"/>
  <c r="V136" i="81"/>
  <c r="AC23" i="82" s="1"/>
  <c r="AJ23" i="82"/>
  <c r="AI23" i="82"/>
  <c r="V135" i="81"/>
  <c r="AG22" i="82"/>
  <c r="V134" i="81"/>
  <c r="AE22" i="82"/>
  <c r="V129" i="81"/>
  <c r="AJ22" i="82"/>
  <c r="AI22" i="82"/>
  <c r="V128" i="81"/>
  <c r="AG21" i="82"/>
  <c r="V124" i="81"/>
  <c r="AE21" i="82"/>
  <c r="V122" i="81"/>
  <c r="AC21" i="82" s="1"/>
  <c r="AJ21" i="82"/>
  <c r="AI21" i="82"/>
  <c r="V121" i="81"/>
  <c r="AG20" i="82"/>
  <c r="V116" i="81"/>
  <c r="AE20" i="82"/>
  <c r="V115" i="81"/>
  <c r="AC20" i="82" s="1"/>
  <c r="AJ20" i="82"/>
  <c r="AI20" i="82"/>
  <c r="V114" i="81"/>
  <c r="AG19" i="82"/>
  <c r="V110" i="81"/>
  <c r="AE19" i="82"/>
  <c r="V108" i="81"/>
  <c r="AJ19" i="82"/>
  <c r="AI19" i="82"/>
  <c r="V107" i="81"/>
  <c r="AG18" i="82"/>
  <c r="V104" i="81"/>
  <c r="AE18" i="82"/>
  <c r="V101" i="81"/>
  <c r="AI18" i="82"/>
  <c r="AJ18" i="82"/>
  <c r="V100" i="81"/>
  <c r="AG17" i="82"/>
  <c r="V99" i="81"/>
  <c r="AE17" i="82"/>
  <c r="V94" i="81"/>
  <c r="AC17" i="82" s="1"/>
  <c r="AI17" i="82"/>
  <c r="AJ17" i="82"/>
  <c r="V93" i="81"/>
  <c r="AG16" i="82"/>
  <c r="V92" i="81"/>
  <c r="AE16" i="82"/>
  <c r="V87" i="81"/>
  <c r="AC16" i="82" s="1"/>
  <c r="AJ16" i="82"/>
  <c r="AI16" i="82"/>
  <c r="V83" i="81"/>
  <c r="AE15" i="82"/>
  <c r="V80" i="81"/>
  <c r="AC15" i="82" s="1"/>
  <c r="AI15" i="82"/>
  <c r="AJ15" i="82"/>
  <c r="V79" i="81"/>
  <c r="AG14" i="82"/>
  <c r="V76" i="81"/>
  <c r="AE14" i="82"/>
  <c r="V73" i="81"/>
  <c r="AC14" i="82" s="1"/>
  <c r="AI14" i="82"/>
  <c r="AJ14" i="82"/>
  <c r="AG13" i="82"/>
  <c r="V72" i="81"/>
  <c r="V67" i="81"/>
  <c r="AE13" i="82"/>
  <c r="V66" i="81"/>
  <c r="AI13" i="82"/>
  <c r="AJ13" i="82"/>
  <c r="V65" i="81"/>
  <c r="AG12" i="82"/>
  <c r="AE12" i="82"/>
  <c r="V62" i="81"/>
  <c r="V60" i="81"/>
  <c r="AC12" i="82" s="1"/>
  <c r="AI12" i="82"/>
  <c r="AJ12" i="82"/>
  <c r="AG11" i="82"/>
  <c r="V59" i="81"/>
  <c r="V54" i="81"/>
  <c r="AE11" i="82"/>
  <c r="V53" i="81"/>
  <c r="AI11" i="82"/>
  <c r="AJ11" i="82"/>
  <c r="AG10" i="82"/>
  <c r="V52" i="81"/>
  <c r="V49" i="81"/>
  <c r="AE10" i="82"/>
  <c r="V46" i="81"/>
  <c r="AC10" i="82" s="1"/>
  <c r="AI10" i="82"/>
  <c r="AJ10" i="82"/>
  <c r="V45" i="81"/>
  <c r="AG9" i="82"/>
  <c r="V43" i="81"/>
  <c r="AE9" i="82"/>
  <c r="V39" i="81"/>
  <c r="AI9" i="82"/>
  <c r="AJ9" i="82"/>
  <c r="AG8" i="82"/>
  <c r="V38" i="81"/>
  <c r="V37" i="81"/>
  <c r="AE8" i="82"/>
  <c r="V32" i="81"/>
  <c r="AJ8" i="82"/>
  <c r="AI8" i="82"/>
  <c r="V31" i="81"/>
  <c r="AG7" i="82"/>
  <c r="V29" i="81"/>
  <c r="AE7" i="82"/>
  <c r="AJ7" i="82"/>
  <c r="V25" i="81"/>
  <c r="AC7" i="82" s="1"/>
  <c r="AI7" i="82"/>
  <c r="V24" i="81"/>
  <c r="AG6" i="82"/>
  <c r="V22" i="81"/>
  <c r="AE6" i="82"/>
  <c r="V18" i="81"/>
  <c r="AC6" i="82" s="1"/>
  <c r="AI6" i="82"/>
  <c r="AJ6" i="82"/>
  <c r="V17" i="81"/>
  <c r="AG5" i="82"/>
  <c r="V16" i="81"/>
  <c r="AE5" i="82"/>
  <c r="V11" i="81"/>
  <c r="AI5" i="82"/>
  <c r="AJ5" i="82"/>
  <c r="V10" i="81"/>
  <c r="AG4" i="82"/>
  <c r="V5" i="81"/>
  <c r="AE4" i="82"/>
  <c r="D7" i="88"/>
  <c r="U4" i="81"/>
  <c r="AB4" i="82" s="1"/>
  <c r="AA33" i="71"/>
  <c r="D33" i="74"/>
  <c r="E33" i="74"/>
  <c r="AB33" i="71"/>
  <c r="F63" i="74"/>
  <c r="P33" i="71"/>
  <c r="U33" i="71"/>
  <c r="AL33" i="71"/>
  <c r="C63" i="74" s="1"/>
  <c r="G63" i="74" s="1"/>
  <c r="X33" i="71"/>
  <c r="F33" i="74" s="1"/>
  <c r="AC33" i="71"/>
  <c r="C33" i="74" s="1"/>
  <c r="O33" i="71"/>
  <c r="D32" i="74"/>
  <c r="AA32" i="71"/>
  <c r="AC32" i="71"/>
  <c r="C32" i="74" s="1"/>
  <c r="G32" i="74" s="1"/>
  <c r="U32" i="71"/>
  <c r="P32" i="71"/>
  <c r="O32" i="71"/>
  <c r="AB32" i="71"/>
  <c r="X32" i="71"/>
  <c r="F32" i="74" s="1"/>
  <c r="E32" i="74"/>
  <c r="D31" i="74"/>
  <c r="AA31" i="71"/>
  <c r="X31" i="71"/>
  <c r="F31" i="74" s="1"/>
  <c r="AC31" i="71"/>
  <c r="C31" i="74" s="1"/>
  <c r="G31" i="74" s="1"/>
  <c r="F61" i="74"/>
  <c r="E31" i="74"/>
  <c r="O31" i="71"/>
  <c r="P31" i="71"/>
  <c r="U31" i="71"/>
  <c r="D30" i="74"/>
  <c r="AA30" i="71"/>
  <c r="E30" i="74"/>
  <c r="O30" i="71"/>
  <c r="P30" i="71"/>
  <c r="X30" i="71"/>
  <c r="F30" i="74" s="1"/>
  <c r="U30" i="71"/>
  <c r="AB30" i="71"/>
  <c r="AC30" i="71"/>
  <c r="C30" i="74" s="1"/>
  <c r="G30" i="74" s="1"/>
  <c r="D29" i="74"/>
  <c r="AA29" i="71"/>
  <c r="E29" i="74"/>
  <c r="U29" i="71"/>
  <c r="AC29" i="71"/>
  <c r="C29" i="74" s="1"/>
  <c r="X29" i="71"/>
  <c r="F29" i="74" s="1"/>
  <c r="P29" i="71"/>
  <c r="O29" i="71"/>
  <c r="AB29" i="71"/>
  <c r="D28" i="74"/>
  <c r="AA28" i="71"/>
  <c r="P28" i="71"/>
  <c r="U28" i="71"/>
  <c r="AC28" i="71"/>
  <c r="C28" i="74" s="1"/>
  <c r="AB28" i="71"/>
  <c r="E28" i="74"/>
  <c r="X28" i="71"/>
  <c r="F28" i="74" s="1"/>
  <c r="O28" i="71"/>
  <c r="D27" i="74"/>
  <c r="AA27" i="71"/>
  <c r="E27" i="74"/>
  <c r="O27" i="71"/>
  <c r="P27" i="71"/>
  <c r="X27" i="71"/>
  <c r="F27" i="74" s="1"/>
  <c r="U27" i="71"/>
  <c r="AC27" i="71"/>
  <c r="C27" i="74" s="1"/>
  <c r="G27" i="74" s="1"/>
  <c r="AB27" i="71"/>
  <c r="AA26" i="71"/>
  <c r="D26" i="74"/>
  <c r="P26" i="71"/>
  <c r="X26" i="71"/>
  <c r="F26" i="74" s="1"/>
  <c r="O26" i="71"/>
  <c r="U26" i="71"/>
  <c r="AC26" i="71"/>
  <c r="C26" i="74" s="1"/>
  <c r="AB26" i="71"/>
  <c r="E26" i="74"/>
  <c r="AA25" i="71"/>
  <c r="D25" i="74"/>
  <c r="E25" i="74"/>
  <c r="X25" i="71"/>
  <c r="F25" i="74" s="1"/>
  <c r="AC25" i="71"/>
  <c r="C25" i="74" s="1"/>
  <c r="AB25" i="71"/>
  <c r="P25" i="71"/>
  <c r="O25" i="71"/>
  <c r="U25" i="71"/>
  <c r="D24" i="74"/>
  <c r="AA24" i="71"/>
  <c r="AB24" i="71"/>
  <c r="AC24" i="71"/>
  <c r="C24" i="74" s="1"/>
  <c r="G24" i="74" s="1"/>
  <c r="U24" i="71"/>
  <c r="E24" i="74"/>
  <c r="X24" i="71"/>
  <c r="F24" i="74" s="1"/>
  <c r="O24" i="71"/>
  <c r="P24" i="71"/>
  <c r="D23" i="74"/>
  <c r="AA23" i="71"/>
  <c r="AC23" i="71"/>
  <c r="C23" i="74" s="1"/>
  <c r="AB23" i="71"/>
  <c r="P23" i="71"/>
  <c r="O23" i="71"/>
  <c r="E23" i="74"/>
  <c r="U23" i="71"/>
  <c r="X23" i="71"/>
  <c r="F23" i="74" s="1"/>
  <c r="AA22" i="71"/>
  <c r="D22" i="74"/>
  <c r="AC22" i="71"/>
  <c r="C22" i="74" s="1"/>
  <c r="X22" i="71"/>
  <c r="F22" i="74" s="1"/>
  <c r="P22" i="71"/>
  <c r="U22" i="71"/>
  <c r="O22" i="71"/>
  <c r="E22" i="74"/>
  <c r="AB22" i="71"/>
  <c r="AA21" i="71"/>
  <c r="D21" i="74"/>
  <c r="AL21" i="71"/>
  <c r="C51" i="74" s="1"/>
  <c r="G51" i="74" s="1"/>
  <c r="AB21" i="71"/>
  <c r="E21" i="74"/>
  <c r="AC21" i="71"/>
  <c r="C21" i="74" s="1"/>
  <c r="G21" i="74" s="1"/>
  <c r="P21" i="71"/>
  <c r="F51" i="74"/>
  <c r="X21" i="71"/>
  <c r="F21" i="74" s="1"/>
  <c r="O21" i="71"/>
  <c r="U21" i="71"/>
  <c r="D20" i="74"/>
  <c r="AA20" i="71"/>
  <c r="F50" i="74"/>
  <c r="U20" i="71"/>
  <c r="X20" i="71"/>
  <c r="F20" i="74" s="1"/>
  <c r="AL20" i="71"/>
  <c r="C50" i="74" s="1"/>
  <c r="G50" i="74" s="1"/>
  <c r="O20" i="71"/>
  <c r="P20" i="71"/>
  <c r="AB20" i="71"/>
  <c r="E20" i="74"/>
  <c r="AC20" i="71"/>
  <c r="C20" i="74" s="1"/>
  <c r="G20" i="74" s="1"/>
  <c r="D19" i="74"/>
  <c r="AA19" i="71"/>
  <c r="P19" i="71"/>
  <c r="AL19" i="71"/>
  <c r="C49" i="74" s="1"/>
  <c r="AC19" i="71"/>
  <c r="C19" i="74" s="1"/>
  <c r="AB19" i="71"/>
  <c r="O19" i="71"/>
  <c r="U19" i="71"/>
  <c r="F49" i="74"/>
  <c r="X19" i="71"/>
  <c r="F19" i="74" s="1"/>
  <c r="E19" i="74"/>
  <c r="D18" i="74"/>
  <c r="AA18" i="71"/>
  <c r="E18" i="74"/>
  <c r="AB18" i="71"/>
  <c r="AL18" i="71"/>
  <c r="C48" i="74" s="1"/>
  <c r="G48" i="74" s="1"/>
  <c r="X18" i="71"/>
  <c r="F18" i="74" s="1"/>
  <c r="F48" i="74"/>
  <c r="U18" i="71"/>
  <c r="AC18" i="71"/>
  <c r="C18" i="74" s="1"/>
  <c r="G18" i="74" s="1"/>
  <c r="P18" i="71"/>
  <c r="O18" i="71"/>
  <c r="D17" i="74"/>
  <c r="AA17" i="71"/>
  <c r="X17" i="71"/>
  <c r="F17" i="74" s="1"/>
  <c r="O17" i="71"/>
  <c r="P17" i="71"/>
  <c r="AB17" i="71"/>
  <c r="AL17" i="71"/>
  <c r="C47" i="74" s="1"/>
  <c r="G47" i="74" s="1"/>
  <c r="E17" i="74"/>
  <c r="F47" i="74"/>
  <c r="AC17" i="71"/>
  <c r="C17" i="74" s="1"/>
  <c r="U17" i="71"/>
  <c r="AA16" i="71"/>
  <c r="D16" i="74"/>
  <c r="AL16" i="71"/>
  <c r="C46" i="74" s="1"/>
  <c r="F46" i="74"/>
  <c r="E16" i="74"/>
  <c r="U16" i="71"/>
  <c r="X16" i="71"/>
  <c r="F16" i="74" s="1"/>
  <c r="P16" i="71"/>
  <c r="O16" i="71"/>
  <c r="AC16" i="71"/>
  <c r="C16" i="74" s="1"/>
  <c r="AB16" i="71"/>
  <c r="E45" i="74"/>
  <c r="AL15" i="71"/>
  <c r="C45" i="74" s="1"/>
  <c r="X15" i="71"/>
  <c r="F15" i="74" s="1"/>
  <c r="AA15" i="71"/>
  <c r="AC15" i="71"/>
  <c r="C15" i="74" s="1"/>
  <c r="G15" i="74" s="1"/>
  <c r="D15" i="74"/>
  <c r="O15" i="71"/>
  <c r="P15" i="71"/>
  <c r="E15" i="74"/>
  <c r="F45" i="74"/>
  <c r="D14" i="74"/>
  <c r="AA14" i="71"/>
  <c r="F44" i="74"/>
  <c r="E14" i="74"/>
  <c r="AC14" i="71"/>
  <c r="C14" i="74" s="1"/>
  <c r="G14" i="74" s="1"/>
  <c r="AB14" i="71"/>
  <c r="AL14" i="71"/>
  <c r="C44" i="74" s="1"/>
  <c r="G44" i="74" s="1"/>
  <c r="O14" i="71"/>
  <c r="P14" i="71"/>
  <c r="U14" i="71"/>
  <c r="X14" i="71"/>
  <c r="F14" i="74" s="1"/>
  <c r="AA13" i="71"/>
  <c r="D13" i="74"/>
  <c r="AL13" i="71"/>
  <c r="C43" i="74" s="1"/>
  <c r="AC13" i="71"/>
  <c r="C13" i="74" s="1"/>
  <c r="O13" i="71"/>
  <c r="AB13" i="71"/>
  <c r="E13" i="74"/>
  <c r="P13" i="71"/>
  <c r="F43" i="74"/>
  <c r="U13" i="71"/>
  <c r="X13" i="71"/>
  <c r="F13" i="74" s="1"/>
  <c r="D12" i="74"/>
  <c r="AA12" i="71"/>
  <c r="U12" i="71"/>
  <c r="X12" i="71"/>
  <c r="F12" i="74" s="1"/>
  <c r="AB12" i="71"/>
  <c r="AC12" i="71"/>
  <c r="C12" i="74" s="1"/>
  <c r="G12" i="74" s="1"/>
  <c r="AL12" i="71"/>
  <c r="C42" i="74" s="1"/>
  <c r="G42" i="74" s="1"/>
  <c r="E12" i="74"/>
  <c r="O12" i="71"/>
  <c r="F42" i="74"/>
  <c r="P12" i="71"/>
  <c r="AA11" i="71"/>
  <c r="D11" i="74"/>
  <c r="E11" i="74"/>
  <c r="O11" i="71"/>
  <c r="P11" i="71"/>
  <c r="U11" i="71"/>
  <c r="X11" i="71"/>
  <c r="F11" i="74" s="1"/>
  <c r="AB11" i="71"/>
  <c r="AC11" i="71"/>
  <c r="C11" i="74" s="1"/>
  <c r="G11" i="74" s="1"/>
  <c r="F41" i="74"/>
  <c r="AL11" i="71"/>
  <c r="C41" i="74" s="1"/>
  <c r="AA10" i="71"/>
  <c r="D10" i="74"/>
  <c r="X10" i="71"/>
  <c r="F10" i="74" s="1"/>
  <c r="F40" i="74"/>
  <c r="AB10" i="71"/>
  <c r="AC10" i="71"/>
  <c r="C10" i="74" s="1"/>
  <c r="G10" i="74" s="1"/>
  <c r="P10" i="71"/>
  <c r="O10" i="71"/>
  <c r="AL10" i="71"/>
  <c r="C40" i="74" s="1"/>
  <c r="G40" i="74" s="1"/>
  <c r="U10" i="71"/>
  <c r="E10" i="74"/>
  <c r="AA9" i="71"/>
  <c r="D9" i="74"/>
  <c r="P9" i="71"/>
  <c r="F39" i="74"/>
  <c r="AB9" i="71"/>
  <c r="U9" i="71"/>
  <c r="O9" i="71"/>
  <c r="AL9" i="71"/>
  <c r="C39" i="74" s="1"/>
  <c r="G39" i="74" s="1"/>
  <c r="E9" i="74"/>
  <c r="X9" i="71"/>
  <c r="F9" i="74" s="1"/>
  <c r="AC9" i="71"/>
  <c r="C9" i="74" s="1"/>
  <c r="G9" i="74" s="1"/>
  <c r="AA8" i="71"/>
  <c r="D8" i="74"/>
  <c r="F38" i="74"/>
  <c r="AB8" i="71"/>
  <c r="AC8" i="71"/>
  <c r="C8" i="74" s="1"/>
  <c r="G8" i="74" s="1"/>
  <c r="AL8" i="71"/>
  <c r="C38" i="74" s="1"/>
  <c r="G38" i="74" s="1"/>
  <c r="O8" i="71"/>
  <c r="P8" i="71"/>
  <c r="X8" i="71"/>
  <c r="F8" i="74" s="1"/>
  <c r="U8" i="71"/>
  <c r="E8" i="74"/>
  <c r="AA7" i="71"/>
  <c r="D7" i="74"/>
  <c r="AL7" i="71"/>
  <c r="C37" i="74" s="1"/>
  <c r="G37" i="74" s="1"/>
  <c r="AC7" i="71"/>
  <c r="C7" i="74" s="1"/>
  <c r="AB7" i="71"/>
  <c r="E7" i="74"/>
  <c r="U7" i="71"/>
  <c r="F37" i="74"/>
  <c r="P7" i="71"/>
  <c r="O7" i="71"/>
  <c r="X7" i="71"/>
  <c r="F7" i="74" s="1"/>
  <c r="D6" i="74"/>
  <c r="AA6" i="71"/>
  <c r="P6" i="71"/>
  <c r="AB6" i="71"/>
  <c r="O6" i="71"/>
  <c r="U6" i="71"/>
  <c r="AL6" i="71"/>
  <c r="C36" i="74" s="1"/>
  <c r="X6" i="71"/>
  <c r="F6" i="74" s="1"/>
  <c r="AC6" i="71"/>
  <c r="C6" i="74" s="1"/>
  <c r="G6" i="74" s="1"/>
  <c r="E6" i="74"/>
  <c r="F36" i="74"/>
  <c r="D5" i="74"/>
  <c r="AA5" i="71"/>
  <c r="AB5" i="71"/>
  <c r="E5" i="74"/>
  <c r="F35" i="74"/>
  <c r="O5" i="71"/>
  <c r="P5" i="71"/>
  <c r="X5" i="71"/>
  <c r="F5" i="74" s="1"/>
  <c r="AL5" i="71"/>
  <c r="C35" i="74" s="1"/>
  <c r="G35" i="74" s="1"/>
  <c r="U5" i="71"/>
  <c r="AC5" i="71"/>
  <c r="C5" i="74" s="1"/>
  <c r="D4" i="74"/>
  <c r="AA4" i="71"/>
  <c r="X4" i="71"/>
  <c r="F4" i="74" s="1"/>
  <c r="P4" i="71"/>
  <c r="U4" i="71"/>
  <c r="F34" i="74"/>
  <c r="AL4" i="71"/>
  <c r="AB4" i="71"/>
  <c r="AC4" i="71"/>
  <c r="E4" i="74"/>
  <c r="O4" i="71"/>
  <c r="AI33" i="71"/>
  <c r="D63" i="74" s="1"/>
  <c r="AJ33" i="71"/>
  <c r="E63" i="74" s="1"/>
  <c r="AK33" i="71"/>
  <c r="AK32" i="71"/>
  <c r="F62" i="74" s="1"/>
  <c r="AI32" i="71"/>
  <c r="D62" i="74" s="1"/>
  <c r="AJ32" i="71"/>
  <c r="AJ30" i="71"/>
  <c r="AK30" i="71"/>
  <c r="F60" i="74" s="1"/>
  <c r="AI30" i="71"/>
  <c r="D60" i="74" s="1"/>
  <c r="AK29" i="71"/>
  <c r="F59" i="74" s="1"/>
  <c r="AI29" i="71"/>
  <c r="D59" i="74" s="1"/>
  <c r="AJ29" i="71"/>
  <c r="AJ28" i="71"/>
  <c r="AK28" i="71"/>
  <c r="F58" i="74" s="1"/>
  <c r="AI28" i="71"/>
  <c r="D58" i="74" s="1"/>
  <c r="AI27" i="71"/>
  <c r="D57" i="74" s="1"/>
  <c r="AJ27" i="71"/>
  <c r="AK27" i="71"/>
  <c r="F57" i="74" s="1"/>
  <c r="AI26" i="71"/>
  <c r="D56" i="74" s="1"/>
  <c r="AJ26" i="71"/>
  <c r="AK26" i="71"/>
  <c r="F56" i="74" s="1"/>
  <c r="AK25" i="71"/>
  <c r="F55" i="74" s="1"/>
  <c r="AJ25" i="71"/>
  <c r="AI25" i="71"/>
  <c r="D55" i="74" s="1"/>
  <c r="AJ24" i="71"/>
  <c r="AI24" i="71"/>
  <c r="D54" i="74" s="1"/>
  <c r="AK24" i="71"/>
  <c r="F54" i="74" s="1"/>
  <c r="AI23" i="71"/>
  <c r="D53" i="74" s="1"/>
  <c r="AK23" i="71"/>
  <c r="F53" i="74" s="1"/>
  <c r="AJ23" i="71"/>
  <c r="AJ22" i="71"/>
  <c r="AI22" i="71"/>
  <c r="D52" i="74" s="1"/>
  <c r="AK22" i="71"/>
  <c r="F52" i="74" s="1"/>
  <c r="C8" i="16"/>
  <c r="F8" i="16"/>
  <c r="F7" i="16"/>
  <c r="C7" i="16"/>
  <c r="F4" i="16"/>
  <c r="C4" i="16"/>
  <c r="B4" i="5"/>
  <c r="E11" i="12"/>
  <c r="E8" i="10"/>
  <c r="B42" i="3"/>
  <c r="B43" i="3"/>
  <c r="B10" i="32"/>
  <c r="J10" i="32" s="1"/>
  <c r="B5" i="5"/>
  <c r="B5" i="25"/>
  <c r="F4" i="3"/>
  <c r="B39" i="3" s="1"/>
  <c r="B46" i="3" s="1"/>
  <c r="B38" i="3"/>
  <c r="B45" i="3" s="1"/>
  <c r="AC13" i="82" l="1"/>
  <c r="G6" i="16"/>
  <c r="I6" i="16" s="1"/>
  <c r="H6" i="16"/>
  <c r="G5" i="16"/>
  <c r="I5" i="16" s="1"/>
  <c r="H5" i="16"/>
  <c r="AC28" i="82"/>
  <c r="AC24" i="82"/>
  <c r="AC11" i="82"/>
  <c r="G17" i="74"/>
  <c r="G46" i="74"/>
  <c r="G16" i="74"/>
  <c r="G41" i="74"/>
  <c r="G7" i="74"/>
  <c r="G36" i="74"/>
  <c r="G5" i="74"/>
  <c r="V4" i="81"/>
  <c r="AC4" i="82" s="1"/>
  <c r="AI4" i="82"/>
  <c r="AJ4" i="82"/>
  <c r="C34" i="74"/>
  <c r="G34" i="74" s="1"/>
  <c r="D9" i="76"/>
  <c r="E9" i="76" s="1"/>
  <c r="C4" i="74"/>
  <c r="G4" i="74" s="1"/>
  <c r="G8" i="16"/>
  <c r="I8" i="16" s="1"/>
  <c r="H8" i="16"/>
  <c r="G7" i="16"/>
  <c r="I7" i="16" s="1"/>
  <c r="H7" i="16"/>
  <c r="G4" i="16"/>
  <c r="I4" i="16" s="1"/>
  <c r="H4" i="16"/>
  <c r="B48" i="3"/>
  <c r="B7" i="5"/>
  <c r="B9" i="5"/>
  <c r="D8" i="10"/>
  <c r="D11" i="12"/>
  <c r="F11" i="12" s="1"/>
  <c r="C9" i="16"/>
  <c r="F8" i="33"/>
  <c r="D8" i="48"/>
  <c r="E8" i="48"/>
  <c r="D8" i="64"/>
  <c r="E8" i="64"/>
  <c r="B6" i="1"/>
  <c r="B6" i="5"/>
  <c r="B5" i="1"/>
  <c r="G33" i="74"/>
  <c r="G29" i="74"/>
  <c r="G28" i="74"/>
  <c r="B8" i="5"/>
  <c r="G26" i="74"/>
  <c r="G25" i="74"/>
  <c r="G23" i="74"/>
  <c r="G22" i="74"/>
  <c r="G49" i="74"/>
  <c r="G19" i="74"/>
  <c r="D7" i="76"/>
  <c r="E7" i="76" s="1"/>
  <c r="G45" i="74"/>
  <c r="G43" i="74"/>
  <c r="G13" i="74"/>
  <c r="D6" i="76"/>
  <c r="E6" i="76" s="1"/>
  <c r="D5" i="76"/>
  <c r="E5" i="76" s="1"/>
  <c r="E62" i="74"/>
  <c r="AL32" i="71"/>
  <c r="E60" i="74"/>
  <c r="AL30" i="71"/>
  <c r="C60" i="74" s="1"/>
  <c r="G60" i="74" s="1"/>
  <c r="E59" i="74"/>
  <c r="AL29" i="71"/>
  <c r="C59" i="74" s="1"/>
  <c r="G59" i="74" s="1"/>
  <c r="E58" i="74"/>
  <c r="AL28" i="71"/>
  <c r="C58" i="74" s="1"/>
  <c r="G58" i="74" s="1"/>
  <c r="E57" i="74"/>
  <c r="AL27" i="71"/>
  <c r="C57" i="74" s="1"/>
  <c r="G57" i="74" s="1"/>
  <c r="E56" i="74"/>
  <c r="AL26" i="71"/>
  <c r="C56" i="74" s="1"/>
  <c r="G56" i="74" s="1"/>
  <c r="E55" i="74"/>
  <c r="AL25" i="71"/>
  <c r="C55" i="74" s="1"/>
  <c r="G55" i="74" s="1"/>
  <c r="E54" i="74"/>
  <c r="AL24" i="71"/>
  <c r="C54" i="74" s="1"/>
  <c r="G54" i="74" s="1"/>
  <c r="E53" i="74"/>
  <c r="AL23" i="71"/>
  <c r="C53" i="74" s="1"/>
  <c r="G53" i="74" s="1"/>
  <c r="E52" i="74"/>
  <c r="AL22" i="71"/>
  <c r="C52" i="74" s="1"/>
  <c r="G52" i="74" s="1"/>
  <c r="F8" i="10" l="1"/>
  <c r="G8" i="10"/>
  <c r="G9" i="16"/>
  <c r="I9" i="16" s="1"/>
  <c r="H9" i="16"/>
  <c r="H8" i="33"/>
  <c r="I8" i="33"/>
  <c r="J8" i="33"/>
  <c r="K8" i="33"/>
  <c r="C62" i="74"/>
  <c r="G62" i="74" s="1"/>
  <c r="D10" i="76"/>
  <c r="E10" i="7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ممیزی پروژه</author>
  </authors>
  <commentList>
    <comment ref="D9" authorId="0" shapeId="0" xr:uid="{00000000-0006-0000-0600-000001000000}">
      <text>
        <r>
          <rPr>
            <sz val="11"/>
            <color theme="1"/>
            <rFont val="Calibri"/>
            <family val="2"/>
            <charset val="1"/>
          </rPr>
          <t>v39
افزودن منبع فعلی بدون تغییر تعریف نظری</t>
        </r>
      </text>
    </comment>
    <comment ref="G9" authorId="0" shapeId="0" xr:uid="{00000000-0006-0000-0600-000002000000}">
      <text>
        <r>
          <rPr>
            <sz val="11"/>
            <color theme="1"/>
            <rFont val="Calibri"/>
            <family val="2"/>
            <charset val="1"/>
          </rPr>
          <t>v39
تعریف کنترل محاسبات v39</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ممیزی پروژه</author>
  </authors>
  <commentList>
    <comment ref="A1" authorId="0" shapeId="0" xr:uid="{00000000-0006-0000-0700-000001000000}">
      <text>
        <r>
          <rPr>
            <sz val="11"/>
            <color theme="1"/>
            <rFont val="Calibri"/>
            <family val="2"/>
            <charset val="1"/>
          </rPr>
          <t>v39
نمایش نسخه جاری</t>
        </r>
      </text>
    </comment>
    <comment ref="D7" authorId="0" shapeId="0" xr:uid="{00000000-0006-0000-0700-000002000000}">
      <text>
        <r>
          <rPr>
            <sz val="11"/>
            <color theme="1"/>
            <rFont val="Calibri"/>
            <family val="2"/>
            <charset val="1"/>
          </rPr>
          <t>v39
تفکیک ساختار کرسی از رویداد خروج</t>
        </r>
      </text>
    </comment>
    <comment ref="F7" authorId="0" shapeId="0" xr:uid="{00000000-0006-0000-0700-000003000000}">
      <text>
        <r>
          <rPr>
            <sz val="11"/>
            <color theme="1"/>
            <rFont val="Calibri"/>
            <family val="2"/>
            <charset val="1"/>
          </rPr>
          <t>v39
وب سایت رسمی شاهد تاریخ دار خروج نیست</t>
        </r>
      </text>
    </comment>
    <comment ref="G7" authorId="0" shapeId="0" xr:uid="{00000000-0006-0000-0700-000004000000}">
      <text>
        <r>
          <rPr>
            <sz val="11"/>
            <color theme="1"/>
            <rFont val="Calibri"/>
            <family val="2"/>
            <charset val="1"/>
          </rPr>
          <t>v39
دقت در معنای تاریخ موثر</t>
        </r>
      </text>
    </comment>
    <comment ref="A14" authorId="0" shapeId="0" xr:uid="{00000000-0006-0000-0700-000005000000}">
      <text>
        <r>
          <rPr>
            <sz val="11"/>
            <color theme="1"/>
            <rFont val="Calibri"/>
            <family val="2"/>
            <charset val="1"/>
          </rPr>
          <t>v39
ثبت گپ واقعی باقی مانده؛ نه اعلام بسته شدن بدون شاهد</t>
        </r>
      </text>
    </comment>
    <comment ref="B14" authorId="0" shapeId="0" xr:uid="{00000000-0006-0000-0700-000006000000}">
      <text>
        <r>
          <rPr>
            <sz val="11"/>
            <color theme="1"/>
            <rFont val="Calibri"/>
            <family val="2"/>
            <charset val="1"/>
          </rPr>
          <t>v39
ثبت گپ واقعی باقی مانده؛ نه اعلام بسته شدن بدون شاهد</t>
        </r>
      </text>
    </comment>
    <comment ref="C14" authorId="0" shapeId="0" xr:uid="{00000000-0006-0000-0700-000007000000}">
      <text>
        <r>
          <rPr>
            <sz val="11"/>
            <color theme="1"/>
            <rFont val="Calibri"/>
            <family val="2"/>
            <charset val="1"/>
          </rPr>
          <t>v39
ثبت گپ واقعی باقی مانده؛ نه اعلام بسته شدن بدون شاهد</t>
        </r>
      </text>
    </comment>
    <comment ref="D14" authorId="0" shapeId="0" xr:uid="{00000000-0006-0000-0700-000008000000}">
      <text>
        <r>
          <rPr>
            <sz val="11"/>
            <color theme="1"/>
            <rFont val="Calibri"/>
            <family val="2"/>
            <charset val="1"/>
          </rPr>
          <t>v39
ثبت گپ واقعی باقی مانده؛ نه اعلام بسته شدن بدون شاهد</t>
        </r>
      </text>
    </comment>
    <comment ref="E14" authorId="0" shapeId="0" xr:uid="{00000000-0006-0000-0700-000009000000}">
      <text>
        <r>
          <rPr>
            <sz val="11"/>
            <color theme="1"/>
            <rFont val="Calibri"/>
            <family val="2"/>
            <charset val="1"/>
          </rPr>
          <t>v39
ثبت گپ واقعی باقی مانده؛ نه اعلام بسته شدن بدون شاهد</t>
        </r>
      </text>
    </comment>
    <comment ref="F14" authorId="0" shapeId="0" xr:uid="{00000000-0006-0000-0700-00000A000000}">
      <text>
        <r>
          <rPr>
            <sz val="11"/>
            <color theme="1"/>
            <rFont val="Calibri"/>
            <family val="2"/>
            <charset val="1"/>
          </rPr>
          <t>v39
ثبت گپ واقعی باقی مانده؛ نه اعلام بسته شدن بدون شاهد</t>
        </r>
      </text>
    </comment>
    <comment ref="G14" authorId="0" shapeId="0" xr:uid="{00000000-0006-0000-0700-00000B000000}">
      <text>
        <r>
          <rPr>
            <sz val="11"/>
            <color theme="1"/>
            <rFont val="Calibri"/>
            <family val="2"/>
            <charset val="1"/>
          </rPr>
          <t>v39
ثبت گپ واقعی باقی مانده؛ نه اعلام بسته شدن بدون شاهد</t>
        </r>
      </text>
    </comment>
    <comment ref="H14" authorId="0" shapeId="0" xr:uid="{00000000-0006-0000-0700-00000C000000}">
      <text>
        <r>
          <rPr>
            <sz val="11"/>
            <color theme="1"/>
            <rFont val="Calibri"/>
            <family val="2"/>
            <charset val="1"/>
          </rPr>
          <t>v39
ثبت گپ واقعی باقی مانده؛ نه اعلام بسته شدن بدون شاهد</t>
        </r>
      </text>
    </comment>
    <comment ref="A15" authorId="0" shapeId="0" xr:uid="{00000000-0006-0000-0700-00000D000000}">
      <text>
        <r>
          <rPr>
            <sz val="11"/>
            <color theme="1"/>
            <rFont val="Calibri"/>
            <family val="2"/>
            <charset val="1"/>
          </rPr>
          <t>v39
ثبت گپ واقعی باقی مانده؛ نه اعلام بسته شدن بدون شاهد</t>
        </r>
      </text>
    </comment>
    <comment ref="B15" authorId="0" shapeId="0" xr:uid="{00000000-0006-0000-0700-00000E000000}">
      <text>
        <r>
          <rPr>
            <sz val="11"/>
            <color theme="1"/>
            <rFont val="Calibri"/>
            <family val="2"/>
            <charset val="1"/>
          </rPr>
          <t>v39
ثبت گپ واقعی باقی مانده؛ نه اعلام بسته شدن بدون شاهد</t>
        </r>
      </text>
    </comment>
    <comment ref="C15" authorId="0" shapeId="0" xr:uid="{00000000-0006-0000-0700-00000F000000}">
      <text>
        <r>
          <rPr>
            <sz val="11"/>
            <color theme="1"/>
            <rFont val="Calibri"/>
            <family val="2"/>
            <charset val="1"/>
          </rPr>
          <t>v39
ثبت گپ واقعی باقی مانده؛ نه اعلام بسته شدن بدون شاهد</t>
        </r>
      </text>
    </comment>
    <comment ref="D15" authorId="0" shapeId="0" xr:uid="{00000000-0006-0000-0700-000010000000}">
      <text>
        <r>
          <rPr>
            <sz val="11"/>
            <color theme="1"/>
            <rFont val="Calibri"/>
            <family val="2"/>
            <charset val="1"/>
          </rPr>
          <t>v39
ثبت گپ واقعی باقی مانده؛ نه اعلام بسته شدن بدون شاهد</t>
        </r>
      </text>
    </comment>
    <comment ref="E15" authorId="0" shapeId="0" xr:uid="{00000000-0006-0000-0700-000011000000}">
      <text>
        <r>
          <rPr>
            <sz val="11"/>
            <color theme="1"/>
            <rFont val="Calibri"/>
            <family val="2"/>
            <charset val="1"/>
          </rPr>
          <t>v39
ثبت گپ واقعی باقی مانده؛ نه اعلام بسته شدن بدون شاهد</t>
        </r>
      </text>
    </comment>
    <comment ref="F15" authorId="0" shapeId="0" xr:uid="{00000000-0006-0000-0700-000012000000}">
      <text>
        <r>
          <rPr>
            <sz val="11"/>
            <color theme="1"/>
            <rFont val="Calibri"/>
            <family val="2"/>
            <charset val="1"/>
          </rPr>
          <t>v39
ثبت گپ واقعی باقی مانده؛ نه اعلام بسته شدن بدون شاهد</t>
        </r>
      </text>
    </comment>
    <comment ref="G15" authorId="0" shapeId="0" xr:uid="{00000000-0006-0000-0700-000013000000}">
      <text>
        <r>
          <rPr>
            <sz val="11"/>
            <color theme="1"/>
            <rFont val="Calibri"/>
            <family val="2"/>
            <charset val="1"/>
          </rPr>
          <t>v39
ثبت گپ واقعی باقی مانده؛ نه اعلام بسته شدن بدون شاهد</t>
        </r>
      </text>
    </comment>
    <comment ref="H15" authorId="0" shapeId="0" xr:uid="{00000000-0006-0000-0700-000014000000}">
      <text>
        <r>
          <rPr>
            <sz val="11"/>
            <color theme="1"/>
            <rFont val="Calibri"/>
            <family val="2"/>
            <charset val="1"/>
          </rPr>
          <t>v39
ثبت گپ واقعی باقی مانده؛ نه اعلام بسته شدن بدون شاهد</t>
        </r>
      </text>
    </comment>
    <comment ref="A16" authorId="0" shapeId="0" xr:uid="{00000000-0006-0000-0700-000015000000}">
      <text>
        <r>
          <rPr>
            <sz val="11"/>
            <color theme="1"/>
            <rFont val="Calibri"/>
            <family val="2"/>
            <charset val="1"/>
          </rPr>
          <t>v39
ثبت گپ واقعی باقی مانده؛ نه اعلام بسته شدن بدون شاهد</t>
        </r>
      </text>
    </comment>
    <comment ref="B16" authorId="0" shapeId="0" xr:uid="{00000000-0006-0000-0700-000016000000}">
      <text>
        <r>
          <rPr>
            <sz val="11"/>
            <color theme="1"/>
            <rFont val="Calibri"/>
            <family val="2"/>
            <charset val="1"/>
          </rPr>
          <t>v39
ثبت گپ واقعی باقی مانده؛ نه اعلام بسته شدن بدون شاهد</t>
        </r>
      </text>
    </comment>
    <comment ref="C16" authorId="0" shapeId="0" xr:uid="{00000000-0006-0000-0700-000017000000}">
      <text>
        <r>
          <rPr>
            <sz val="11"/>
            <color theme="1"/>
            <rFont val="Calibri"/>
            <family val="2"/>
            <charset val="1"/>
          </rPr>
          <t>v39
ثبت گپ واقعی باقی مانده؛ نه اعلام بسته شدن بدون شاهد</t>
        </r>
      </text>
    </comment>
    <comment ref="D16" authorId="0" shapeId="0" xr:uid="{00000000-0006-0000-0700-000018000000}">
      <text>
        <r>
          <rPr>
            <sz val="11"/>
            <color theme="1"/>
            <rFont val="Calibri"/>
            <family val="2"/>
            <charset val="1"/>
          </rPr>
          <t>v39
ثبت گپ واقعی باقی مانده؛ نه اعلام بسته شدن بدون شاهد</t>
        </r>
      </text>
    </comment>
    <comment ref="E16" authorId="0" shapeId="0" xr:uid="{00000000-0006-0000-0700-000019000000}">
      <text>
        <r>
          <rPr>
            <sz val="11"/>
            <color theme="1"/>
            <rFont val="Calibri"/>
            <family val="2"/>
            <charset val="1"/>
          </rPr>
          <t>v39
ثبت گپ واقعی باقی مانده؛ نه اعلام بسته شدن بدون شاهد</t>
        </r>
      </text>
    </comment>
    <comment ref="F16" authorId="0" shapeId="0" xr:uid="{00000000-0006-0000-0700-00001A000000}">
      <text>
        <r>
          <rPr>
            <sz val="11"/>
            <color theme="1"/>
            <rFont val="Calibri"/>
            <family val="2"/>
            <charset val="1"/>
          </rPr>
          <t>v39
ثبت گپ واقعی باقی مانده؛ نه اعلام بسته شدن بدون شاهد</t>
        </r>
      </text>
    </comment>
    <comment ref="G16" authorId="0" shapeId="0" xr:uid="{00000000-0006-0000-0700-00001B000000}">
      <text>
        <r>
          <rPr>
            <sz val="11"/>
            <color theme="1"/>
            <rFont val="Calibri"/>
            <family val="2"/>
            <charset val="1"/>
          </rPr>
          <t>v39
ثبت گپ واقعی باقی مانده؛ نه اعلام بسته شدن بدون شاهد</t>
        </r>
      </text>
    </comment>
    <comment ref="H16" authorId="0" shapeId="0" xr:uid="{00000000-0006-0000-0700-00001C000000}">
      <text>
        <r>
          <rPr>
            <sz val="11"/>
            <color theme="1"/>
            <rFont val="Calibri"/>
            <family val="2"/>
            <charset val="1"/>
          </rPr>
          <t>v39
ثبت گپ واقعی باقی مانده؛ نه اعلام بسته شدن بدون شاهد</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ممیزی پروژه</author>
  </authors>
  <commentList>
    <comment ref="A2" authorId="0" shapeId="0" xr:uid="{00000000-0006-0000-0800-000001000000}">
      <text>
        <r>
          <rPr>
            <sz val="11"/>
            <color theme="1"/>
            <rFont val="Calibri"/>
            <family val="2"/>
            <charset val="1"/>
          </rPr>
          <t>v39
به روزرسانی جمع بندی جاری بر مبنای اجرای واقعی v39</t>
        </r>
      </text>
    </comment>
    <comment ref="C6" authorId="0" shapeId="0" xr:uid="{00000000-0006-0000-0800-000002000000}">
      <text>
        <r>
          <rPr>
            <sz val="11"/>
            <color theme="1"/>
            <rFont val="Calibri"/>
            <family val="2"/>
            <charset val="1"/>
          </rPr>
          <t>v39
به روزرسانی جمع بندی جاری بر مبنای اجرای واقعی v39</t>
        </r>
      </text>
    </comment>
    <comment ref="D6" authorId="0" shapeId="0" xr:uid="{00000000-0006-0000-0800-000003000000}">
      <text>
        <r>
          <rPr>
            <sz val="11"/>
            <color theme="1"/>
            <rFont val="Calibri"/>
            <family val="2"/>
            <charset val="1"/>
          </rPr>
          <t>v39
به روزرسانی جمع بندی جاری بر مبنای اجرای واقعی v39</t>
        </r>
      </text>
    </comment>
    <comment ref="E6" authorId="0" shapeId="0" xr:uid="{00000000-0006-0000-0800-000004000000}">
      <text>
        <r>
          <rPr>
            <sz val="11"/>
            <color theme="1"/>
            <rFont val="Calibri"/>
            <family val="2"/>
            <charset val="1"/>
          </rPr>
          <t>v39
به روزرسانی جمع بندی جاری بر مبنای اجرای واقعی v39</t>
        </r>
      </text>
    </comment>
    <comment ref="G6" authorId="0" shapeId="0" xr:uid="{00000000-0006-0000-0800-000005000000}">
      <text>
        <r>
          <rPr>
            <sz val="11"/>
            <color theme="1"/>
            <rFont val="Calibri"/>
            <family val="2"/>
            <charset val="1"/>
          </rPr>
          <t>v39
به روزرسانی جمع بندی جاری بر مبنای اجرای واقعی v39</t>
        </r>
      </text>
    </comment>
    <comment ref="D11" authorId="0" shapeId="0" xr:uid="{00000000-0006-0000-0800-000006000000}">
      <text>
        <r>
          <rPr>
            <sz val="11"/>
            <color theme="1"/>
            <rFont val="Calibri"/>
            <family val="2"/>
            <charset val="1"/>
          </rPr>
          <t>v39
به روزرسانی جمع بندی جاری بر مبنای اجرای واقعی v39</t>
        </r>
      </text>
    </comment>
    <comment ref="C16" authorId="0" shapeId="0" xr:uid="{00000000-0006-0000-0800-000007000000}">
      <text>
        <r>
          <rPr>
            <sz val="11"/>
            <color theme="1"/>
            <rFont val="Calibri"/>
            <family val="2"/>
            <charset val="1"/>
          </rPr>
          <t>v39
به روزرسانی جمع بندی جاری بر مبنای اجرای واقعی v39</t>
        </r>
      </text>
    </comment>
    <comment ref="D16" authorId="0" shapeId="0" xr:uid="{00000000-0006-0000-0800-000008000000}">
      <text>
        <r>
          <rPr>
            <sz val="11"/>
            <color theme="1"/>
            <rFont val="Calibri"/>
            <family val="2"/>
            <charset val="1"/>
          </rPr>
          <t>v39
به روزرسانی جمع بندی جاری بر مبنای اجرای واقعی v39</t>
        </r>
      </text>
    </comment>
    <comment ref="E16" authorId="0" shapeId="0" xr:uid="{00000000-0006-0000-0800-000009000000}">
      <text>
        <r>
          <rPr>
            <sz val="11"/>
            <color theme="1"/>
            <rFont val="Calibri"/>
            <family val="2"/>
            <charset val="1"/>
          </rPr>
          <t>v39
به روزرسانی جمع بندی جاری بر مبنای اجرای واقعی v39</t>
        </r>
      </text>
    </comment>
    <comment ref="H16" authorId="0" shapeId="0" xr:uid="{00000000-0006-0000-0800-00000A000000}">
      <text>
        <r>
          <rPr>
            <sz val="11"/>
            <color theme="1"/>
            <rFont val="Calibri"/>
            <family val="2"/>
            <charset val="1"/>
          </rPr>
          <t>v39
به روزرسانی جمع بندی جاری بر مبنای اجرای واقعی v39</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ممیزی پروژه</author>
  </authors>
  <commentList>
    <comment ref="D8" authorId="0" shapeId="0" xr:uid="{00000000-0006-0000-0900-000001000000}">
      <text>
        <r>
          <rPr>
            <sz val="11"/>
            <color theme="1"/>
            <rFont val="Calibri"/>
            <family val="2"/>
            <charset val="1"/>
          </rPr>
          <t>v39
همگام سازی CR1A با پوشش محافظه کارانه؛ فرمول مرجع واحد</t>
        </r>
      </text>
    </comment>
    <comment ref="E8" authorId="0" shapeId="0" xr:uid="{00000000-0006-0000-0900-000002000000}">
      <text>
        <r>
          <rPr>
            <sz val="11"/>
            <color theme="1"/>
            <rFont val="Calibri"/>
            <family val="2"/>
            <charset val="1"/>
          </rPr>
          <t>v39
همگام سازی CR1A با پوشش محافظه کارانه؛ فرمول مرجع واحد</t>
        </r>
      </text>
    </comment>
    <comment ref="M8" authorId="0" shapeId="0" xr:uid="{00000000-0006-0000-0900-000003000000}">
      <text>
        <r>
          <rPr>
            <sz val="11"/>
            <color theme="1"/>
            <rFont val="Calibri"/>
            <family val="2"/>
            <charset val="1"/>
          </rPr>
          <t>v39
رفع عدم همگامی CR1A؛ حفظ محدودیت شواهد و کنترل جهت کیفیت</t>
        </r>
      </text>
    </comment>
    <comment ref="O8" authorId="0" shapeId="0" xr:uid="{00000000-0006-0000-0900-000004000000}">
      <text>
        <r>
          <rPr>
            <sz val="11"/>
            <color theme="1"/>
            <rFont val="Calibri"/>
            <family val="2"/>
            <charset val="1"/>
          </rPr>
          <t>v39
رفع عدم همگامی CR1A؛ حفظ محدودیت شواهد و کنترل جهت کیفیت</t>
        </r>
      </text>
    </comment>
    <comment ref="P8" authorId="0" shapeId="0" xr:uid="{00000000-0006-0000-0900-000005000000}">
      <text>
        <r>
          <rPr>
            <sz val="11"/>
            <color theme="1"/>
            <rFont val="Calibri"/>
            <family val="2"/>
            <charset val="1"/>
          </rPr>
          <t>v39
رفع عدم همگامی CR1A؛ حفظ محدودیت شواهد و کنترل جهت کیفیت</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ممیزی پروژه</author>
  </authors>
  <commentList>
    <comment ref="D11" authorId="0" shapeId="0" xr:uid="{00000000-0006-0000-0B00-000001000000}">
      <text>
        <r>
          <rPr>
            <sz val="11"/>
            <color theme="1"/>
            <rFont val="Calibri"/>
            <family val="2"/>
            <charset val="1"/>
          </rPr>
          <t>v39
همگام سازی CR1A با پوشش محافظه کارانه؛ فرمول مرجع واحد</t>
        </r>
      </text>
    </comment>
    <comment ref="E11" authorId="0" shapeId="0" xr:uid="{00000000-0006-0000-0B00-000002000000}">
      <text>
        <r>
          <rPr>
            <sz val="11"/>
            <color theme="1"/>
            <rFont val="Calibri"/>
            <family val="2"/>
            <charset val="1"/>
          </rPr>
          <t>v39
همگام سازی CR1A با پوشش محافظه کارانه؛ فرمول مرجع واحد</t>
        </r>
      </text>
    </comment>
    <comment ref="M11" authorId="0" shapeId="0" xr:uid="{00000000-0006-0000-0B00-000003000000}">
      <text>
        <r>
          <rPr>
            <sz val="11"/>
            <color theme="1"/>
            <rFont val="Calibri"/>
            <family val="2"/>
            <charset val="1"/>
          </rPr>
          <t>v39
رفع عدم همگامی CR1A؛ حفظ محدودیت شواهد و کنترل جهت کیفیت</t>
        </r>
      </text>
    </comment>
    <comment ref="N11" authorId="0" shapeId="0" xr:uid="{00000000-0006-0000-0B00-000004000000}">
      <text>
        <r>
          <rPr>
            <sz val="11"/>
            <color theme="1"/>
            <rFont val="Calibri"/>
            <family val="2"/>
            <charset val="1"/>
          </rPr>
          <t>v39
رفع عدم همگامی CR1A؛ حفظ محدودیت شواهد و کنترل جهت کیفیت</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I4" authorId="0" shapeId="0" xr:uid="{00000000-0006-0000-0E00-000001000000}">
      <text>
        <r>
          <rPr>
            <sz val="11"/>
            <color theme="1"/>
            <rFont val="Calibri"/>
            <family val="2"/>
            <charset val="1"/>
          </rPr>
          <t>نرخ گردش فردی = صورت گردش فردی ÷ مخرج گردش فردی. فقط کرسی های قابل مقایسه وارد مخرج می شوند.</t>
        </r>
      </text>
    </comment>
    <comment ref="L4" authorId="0" shapeId="0" xr:uid="{00000000-0006-0000-0E00-000002000000}">
      <text>
        <r>
          <rPr>
            <sz val="11"/>
            <color theme="1"/>
            <rFont val="Calibri"/>
            <family val="2"/>
            <charset val="1"/>
          </rPr>
          <t>نرخ تغییر نماینده = تعداد کرسی های شخص حقوقی ثابت با نماینده جدید ÷ تعداد کرسی های شخص حقوقی ثابت و قابل مقایسه.</t>
        </r>
      </text>
    </comment>
    <comment ref="O4" authorId="0" shapeId="0" xr:uid="{00000000-0006-0000-0E00-000003000000}">
      <text>
        <r>
          <rPr>
            <sz val="11"/>
            <color theme="1"/>
            <rFont val="Calibri"/>
            <family val="2"/>
            <charset val="1"/>
          </rPr>
          <t>نرخ تغییر شخص حقوقی = تعداد کرسی های قابل مقایسه با شخص حقوقی جدید ÷ کل کرسی های قابل مقایسه.</t>
        </r>
      </text>
    </comment>
    <comment ref="R4" authorId="0" shapeId="0" xr:uid="{00000000-0006-0000-0E00-000004000000}">
      <text>
        <r>
          <rPr>
            <sz val="11"/>
            <color theme="1"/>
            <rFont val="Calibri"/>
            <family val="2"/>
            <charset val="1"/>
          </rPr>
          <t>سهم اعضای جدید = افراد فعال ۱۴۰۴ که در ۱۴۰۳ حضور نداشتند ÷ افراد فعال ۱۴۰۴.</t>
        </r>
      </text>
    </comment>
    <comment ref="U4" authorId="0" shapeId="0" xr:uid="{00000000-0006-0000-0E00-000005000000}">
      <text>
        <r>
          <rPr>
            <sz val="11"/>
            <color theme="1"/>
            <rFont val="Calibri"/>
            <family val="2"/>
            <charset val="1"/>
          </rPr>
          <t>نرخ ثبات = کرسی های دارای شخص حقیقی ثابت ÷ کرسی های شخص حقیقی قابل مقایسه.</t>
        </r>
      </text>
    </comment>
    <comment ref="I5" authorId="0" shapeId="0" xr:uid="{00000000-0006-0000-0E00-000006000000}">
      <text>
        <r>
          <rPr>
            <sz val="11"/>
            <color theme="1"/>
            <rFont val="Calibri"/>
            <family val="2"/>
            <charset val="1"/>
          </rPr>
          <t>نرخ گردش فردی = صورت گردش فردی ÷ مخرج گردش فردی. فقط کرسی های قابل مقایسه وارد مخرج می شوند.</t>
        </r>
      </text>
    </comment>
    <comment ref="L5" authorId="0" shapeId="0" xr:uid="{00000000-0006-0000-0E00-000007000000}">
      <text>
        <r>
          <rPr>
            <sz val="11"/>
            <color theme="1"/>
            <rFont val="Calibri"/>
            <family val="2"/>
            <charset val="1"/>
          </rPr>
          <t>نرخ تغییر نماینده = تعداد کرسی های شخص حقوقی ثابت با نماینده جدید ÷ تعداد کرسی های شخص حقوقی ثابت و قابل مقایسه.</t>
        </r>
      </text>
    </comment>
    <comment ref="O5" authorId="0" shapeId="0" xr:uid="{00000000-0006-0000-0E00-000008000000}">
      <text>
        <r>
          <rPr>
            <sz val="11"/>
            <color theme="1"/>
            <rFont val="Calibri"/>
            <family val="2"/>
            <charset val="1"/>
          </rPr>
          <t>نرخ تغییر شخص حقوقی = تعداد کرسی های قابل مقایسه با شخص حقوقی جدید ÷ کل کرسی های قابل مقایسه.</t>
        </r>
      </text>
    </comment>
    <comment ref="R5" authorId="0" shapeId="0" xr:uid="{00000000-0006-0000-0E00-000009000000}">
      <text>
        <r>
          <rPr>
            <sz val="11"/>
            <color theme="1"/>
            <rFont val="Calibri"/>
            <family val="2"/>
            <charset val="1"/>
          </rPr>
          <t>سهم اعضای جدید = افراد فعال ۱۴۰۴ که در ۱۴۰۳ حضور نداشتند ÷ افراد فعال ۱۴۰۴.</t>
        </r>
      </text>
    </comment>
    <comment ref="U5" authorId="0" shapeId="0" xr:uid="{00000000-0006-0000-0E00-00000A000000}">
      <text>
        <r>
          <rPr>
            <sz val="11"/>
            <color theme="1"/>
            <rFont val="Calibri"/>
            <family val="2"/>
            <charset val="1"/>
          </rPr>
          <t>نرخ ثبات = کرسی های دارای شخص حقیقی ثابت ÷ کرسی های شخص حقیقی قابل مقایسه.</t>
        </r>
      </text>
    </comment>
    <comment ref="I6" authorId="0" shapeId="0" xr:uid="{00000000-0006-0000-0E00-00000B000000}">
      <text>
        <r>
          <rPr>
            <sz val="11"/>
            <color theme="1"/>
            <rFont val="Calibri"/>
            <family val="2"/>
            <charset val="1"/>
          </rPr>
          <t>نرخ گردش فردی = صورت گردش فردی ÷ مخرج گردش فردی. فقط کرسی های قابل مقایسه وارد مخرج می شوند.</t>
        </r>
      </text>
    </comment>
    <comment ref="L6" authorId="0" shapeId="0" xr:uid="{00000000-0006-0000-0E00-00000C000000}">
      <text>
        <r>
          <rPr>
            <sz val="11"/>
            <color theme="1"/>
            <rFont val="Calibri"/>
            <family val="2"/>
            <charset val="1"/>
          </rPr>
          <t>نرخ تغییر نماینده = تعداد کرسی های شخص حقوقی ثابت با نماینده جدید ÷ تعداد کرسی های شخص حقوقی ثابت و قابل مقایسه.</t>
        </r>
      </text>
    </comment>
    <comment ref="O6" authorId="0" shapeId="0" xr:uid="{00000000-0006-0000-0E00-00000D000000}">
      <text>
        <r>
          <rPr>
            <sz val="11"/>
            <color theme="1"/>
            <rFont val="Calibri"/>
            <family val="2"/>
            <charset val="1"/>
          </rPr>
          <t>نرخ تغییر شخص حقوقی = تعداد کرسی های قابل مقایسه با شخص حقوقی جدید ÷ کل کرسی های قابل مقایسه.</t>
        </r>
      </text>
    </comment>
    <comment ref="R6" authorId="0" shapeId="0" xr:uid="{00000000-0006-0000-0E00-00000E000000}">
      <text>
        <r>
          <rPr>
            <sz val="11"/>
            <color theme="1"/>
            <rFont val="Calibri"/>
            <family val="2"/>
            <charset val="1"/>
          </rPr>
          <t>سهم اعضای جدید = افراد فعال ۱۴۰۴ که در ۱۴۰۳ حضور نداشتند ÷ افراد فعال ۱۴۰۴.</t>
        </r>
      </text>
    </comment>
    <comment ref="U6" authorId="0" shapeId="0" xr:uid="{00000000-0006-0000-0E00-00000F000000}">
      <text>
        <r>
          <rPr>
            <sz val="11"/>
            <color theme="1"/>
            <rFont val="Calibri"/>
            <family val="2"/>
            <charset val="1"/>
          </rPr>
          <t>نرخ ثبات = کرسی های دارای شخص حقیقی ثابت ÷ کرسی های شخص حقیقی قابل مقایسه.</t>
        </r>
      </text>
    </comment>
    <comment ref="I7" authorId="0" shapeId="0" xr:uid="{00000000-0006-0000-0E00-000010000000}">
      <text>
        <r>
          <rPr>
            <sz val="11"/>
            <color theme="1"/>
            <rFont val="Calibri"/>
            <family val="2"/>
            <charset val="1"/>
          </rPr>
          <t>نرخ گردش فردی = صورت گردش فردی ÷ مخرج گردش فردی. فقط کرسی های قابل مقایسه وارد مخرج می شوند.</t>
        </r>
      </text>
    </comment>
    <comment ref="L7" authorId="0" shapeId="0" xr:uid="{00000000-0006-0000-0E00-000011000000}">
      <text>
        <r>
          <rPr>
            <sz val="11"/>
            <color theme="1"/>
            <rFont val="Calibri"/>
            <family val="2"/>
            <charset val="1"/>
          </rPr>
          <t>نرخ تغییر نماینده = تعداد کرسی های شخص حقوقی ثابت با نماینده جدید ÷ تعداد کرسی های شخص حقوقی ثابت و قابل مقایسه.</t>
        </r>
      </text>
    </comment>
    <comment ref="O7" authorId="0" shapeId="0" xr:uid="{00000000-0006-0000-0E00-000012000000}">
      <text>
        <r>
          <rPr>
            <sz val="11"/>
            <color theme="1"/>
            <rFont val="Calibri"/>
            <family val="2"/>
            <charset val="1"/>
          </rPr>
          <t>نرخ تغییر شخص حقوقی = تعداد کرسی های قابل مقایسه با شخص حقوقی جدید ÷ کل کرسی های قابل مقایسه.</t>
        </r>
      </text>
    </comment>
    <comment ref="R7" authorId="0" shapeId="0" xr:uid="{00000000-0006-0000-0E00-000013000000}">
      <text>
        <r>
          <rPr>
            <sz val="11"/>
            <color theme="1"/>
            <rFont val="Calibri"/>
            <family val="2"/>
            <charset val="1"/>
          </rPr>
          <t>سهم اعضای جدید = افراد فعال ۱۴۰۴ که در ۱۴۰۳ حضور نداشتند ÷ افراد فعال ۱۴۰۴.</t>
        </r>
      </text>
    </comment>
    <comment ref="U7" authorId="0" shapeId="0" xr:uid="{00000000-0006-0000-0E00-000014000000}">
      <text>
        <r>
          <rPr>
            <sz val="11"/>
            <color theme="1"/>
            <rFont val="Calibri"/>
            <family val="2"/>
            <charset val="1"/>
          </rPr>
          <t>نرخ ثبات = کرسی های دارای شخص حقیقی ثابت ÷ کرسی های شخص حقیقی قابل مقایسه.</t>
        </r>
      </text>
    </comment>
    <comment ref="I8" authorId="0" shapeId="0" xr:uid="{00000000-0006-0000-0E00-000015000000}">
      <text>
        <r>
          <rPr>
            <sz val="11"/>
            <color theme="1"/>
            <rFont val="Calibri"/>
            <family val="2"/>
            <charset val="1"/>
          </rPr>
          <t>نرخ گردش فردی = صورت گردش فردی ÷ مخرج گردش فردی. فقط کرسی های قابل مقایسه وارد مخرج می شوند.</t>
        </r>
      </text>
    </comment>
    <comment ref="L8" authorId="0" shapeId="0" xr:uid="{00000000-0006-0000-0E00-000016000000}">
      <text>
        <r>
          <rPr>
            <sz val="11"/>
            <color theme="1"/>
            <rFont val="Calibri"/>
            <family val="2"/>
            <charset val="1"/>
          </rPr>
          <t>نرخ تغییر نماینده = تعداد کرسی های شخص حقوقی ثابت با نماینده جدید ÷ تعداد کرسی های شخص حقوقی ثابت و قابل مقایسه.</t>
        </r>
      </text>
    </comment>
    <comment ref="O8" authorId="0" shapeId="0" xr:uid="{00000000-0006-0000-0E00-000017000000}">
      <text>
        <r>
          <rPr>
            <sz val="11"/>
            <color theme="1"/>
            <rFont val="Calibri"/>
            <family val="2"/>
            <charset val="1"/>
          </rPr>
          <t>نرخ تغییر شخص حقوقی = تعداد کرسی های قابل مقایسه با شخص حقوقی جدید ÷ کل کرسی های قابل مقایسه.</t>
        </r>
      </text>
    </comment>
    <comment ref="R8" authorId="0" shapeId="0" xr:uid="{00000000-0006-0000-0E00-000018000000}">
      <text>
        <r>
          <rPr>
            <sz val="11"/>
            <color theme="1"/>
            <rFont val="Calibri"/>
            <family val="2"/>
            <charset val="1"/>
          </rPr>
          <t>سهم اعضای جدید = افراد فعال ۱۴۰۴ که در ۱۴۰۳ حضور نداشتند ÷ افراد فعال ۱۴۰۴.</t>
        </r>
      </text>
    </comment>
    <comment ref="U8" authorId="0" shapeId="0" xr:uid="{00000000-0006-0000-0E00-000019000000}">
      <text>
        <r>
          <rPr>
            <sz val="11"/>
            <color theme="1"/>
            <rFont val="Calibri"/>
            <family val="2"/>
            <charset val="1"/>
          </rPr>
          <t>نرخ ثبات = کرسی های دارای شخص حقیقی ثابت ÷ کرسی های شخص حقیقی قابل مقایسه.</t>
        </r>
      </text>
    </comment>
    <comment ref="I9" authorId="0" shapeId="0" xr:uid="{00000000-0006-0000-0E00-00001A000000}">
      <text>
        <r>
          <rPr>
            <sz val="11"/>
            <color theme="1"/>
            <rFont val="Calibri"/>
            <family val="2"/>
            <charset val="1"/>
          </rPr>
          <t>نرخ گردش فردی = صورت گردش فردی ÷ مخرج گردش فردی. فقط کرسی های قابل مقایسه وارد مخرج می شوند.</t>
        </r>
      </text>
    </comment>
    <comment ref="L9" authorId="0" shapeId="0" xr:uid="{00000000-0006-0000-0E00-00001B000000}">
      <text>
        <r>
          <rPr>
            <sz val="11"/>
            <color theme="1"/>
            <rFont val="Calibri"/>
            <family val="2"/>
            <charset val="1"/>
          </rPr>
          <t>نرخ تغییر نماینده = تعداد کرسی های شخص حقوقی ثابت با نماینده جدید ÷ تعداد کرسی های شخص حقوقی ثابت و قابل مقایسه.</t>
        </r>
      </text>
    </comment>
    <comment ref="O9" authorId="0" shapeId="0" xr:uid="{00000000-0006-0000-0E00-00001C000000}">
      <text>
        <r>
          <rPr>
            <sz val="11"/>
            <color theme="1"/>
            <rFont val="Calibri"/>
            <family val="2"/>
            <charset val="1"/>
          </rPr>
          <t>نرخ تغییر شخص حقوقی = تعداد کرسی های قابل مقایسه با شخص حقوقی جدید ÷ کل کرسی های قابل مقایسه.</t>
        </r>
      </text>
    </comment>
    <comment ref="R9" authorId="0" shapeId="0" xr:uid="{00000000-0006-0000-0E00-00001D000000}">
      <text>
        <r>
          <rPr>
            <sz val="11"/>
            <color theme="1"/>
            <rFont val="Calibri"/>
            <family val="2"/>
            <charset val="1"/>
          </rPr>
          <t>سهم اعضای جدید = افراد فعال ۱۴۰۴ که در ۱۴۰۳ حضور نداشتند ÷ افراد فعال ۱۴۰۴.</t>
        </r>
      </text>
    </comment>
    <comment ref="U9" authorId="0" shapeId="0" xr:uid="{00000000-0006-0000-0E00-00001E000000}">
      <text>
        <r>
          <rPr>
            <sz val="11"/>
            <color theme="1"/>
            <rFont val="Calibri"/>
            <family val="2"/>
            <charset val="1"/>
          </rPr>
          <t>نرخ ثبات = کرسی های دارای شخص حقیقی ثابت ÷ کرسی های شخص حقیقی قابل مقایسه.</t>
        </r>
      </text>
    </comment>
    <comment ref="I10" authorId="0" shapeId="0" xr:uid="{00000000-0006-0000-0E00-00001F000000}">
      <text>
        <r>
          <rPr>
            <sz val="11"/>
            <color theme="1"/>
            <rFont val="Calibri"/>
            <family val="2"/>
            <charset val="1"/>
          </rPr>
          <t>نرخ گردش فردی = صورت گردش فردی ÷ مخرج گردش فردی. فقط کرسی های قابل مقایسه وارد مخرج می شوند.</t>
        </r>
      </text>
    </comment>
    <comment ref="L10" authorId="0" shapeId="0" xr:uid="{00000000-0006-0000-0E00-000020000000}">
      <text>
        <r>
          <rPr>
            <sz val="11"/>
            <color theme="1"/>
            <rFont val="Calibri"/>
            <family val="2"/>
            <charset val="1"/>
          </rPr>
          <t>نرخ تغییر نماینده = تعداد کرسی های شخص حقوقی ثابت با نماینده جدید ÷ تعداد کرسی های شخص حقوقی ثابت و قابل مقایسه.</t>
        </r>
      </text>
    </comment>
    <comment ref="O10" authorId="0" shapeId="0" xr:uid="{00000000-0006-0000-0E00-000021000000}">
      <text>
        <r>
          <rPr>
            <sz val="11"/>
            <color theme="1"/>
            <rFont val="Calibri"/>
            <family val="2"/>
            <charset val="1"/>
          </rPr>
          <t>نرخ تغییر شخص حقوقی = تعداد کرسی های قابل مقایسه با شخص حقوقی جدید ÷ کل کرسی های قابل مقایسه.</t>
        </r>
      </text>
    </comment>
    <comment ref="R10" authorId="0" shapeId="0" xr:uid="{00000000-0006-0000-0E00-000022000000}">
      <text>
        <r>
          <rPr>
            <sz val="11"/>
            <color theme="1"/>
            <rFont val="Calibri"/>
            <family val="2"/>
            <charset val="1"/>
          </rPr>
          <t>سهم اعضای جدید = افراد فعال ۱۴۰۴ که در ۱۴۰۳ حضور نداشتند ÷ افراد فعال ۱۴۰۴.</t>
        </r>
      </text>
    </comment>
    <comment ref="U10" authorId="0" shapeId="0" xr:uid="{00000000-0006-0000-0E00-000023000000}">
      <text>
        <r>
          <rPr>
            <sz val="11"/>
            <color theme="1"/>
            <rFont val="Calibri"/>
            <family val="2"/>
            <charset val="1"/>
          </rPr>
          <t>نرخ ثبات = کرسی های دارای شخص حقیقی ثابت ÷ کرسی های شخص حقیقی قابل مقایسه.</t>
        </r>
      </text>
    </comment>
    <comment ref="I11" authorId="0" shapeId="0" xr:uid="{00000000-0006-0000-0E00-000024000000}">
      <text>
        <r>
          <rPr>
            <sz val="11"/>
            <color theme="1"/>
            <rFont val="Calibri"/>
            <family val="2"/>
            <charset val="1"/>
          </rPr>
          <t>نرخ گردش فردی = صورت گردش فردی ÷ مخرج گردش فردی. فقط کرسی های قابل مقایسه وارد مخرج می شوند.</t>
        </r>
      </text>
    </comment>
    <comment ref="L11" authorId="0" shapeId="0" xr:uid="{00000000-0006-0000-0E00-000025000000}">
      <text>
        <r>
          <rPr>
            <sz val="11"/>
            <color theme="1"/>
            <rFont val="Calibri"/>
            <family val="2"/>
            <charset val="1"/>
          </rPr>
          <t>نرخ تغییر نماینده = تعداد کرسی های شخص حقوقی ثابت با نماینده جدید ÷ تعداد کرسی های شخص حقوقی ثابت و قابل مقایسه.</t>
        </r>
      </text>
    </comment>
    <comment ref="O11" authorId="0" shapeId="0" xr:uid="{00000000-0006-0000-0E00-000026000000}">
      <text>
        <r>
          <rPr>
            <sz val="11"/>
            <color theme="1"/>
            <rFont val="Calibri"/>
            <family val="2"/>
            <charset val="1"/>
          </rPr>
          <t>نرخ تغییر شخص حقوقی = تعداد کرسی های قابل مقایسه با شخص حقوقی جدید ÷ کل کرسی های قابل مقایسه.</t>
        </r>
      </text>
    </comment>
    <comment ref="R11" authorId="0" shapeId="0" xr:uid="{00000000-0006-0000-0E00-000027000000}">
      <text>
        <r>
          <rPr>
            <sz val="11"/>
            <color theme="1"/>
            <rFont val="Calibri"/>
            <family val="2"/>
            <charset val="1"/>
          </rPr>
          <t>سهم اعضای جدید = افراد فعال ۱۴۰۴ که در ۱۴۰۳ حضور نداشتند ÷ افراد فعال ۱۴۰۴.</t>
        </r>
      </text>
    </comment>
    <comment ref="U11" authorId="0" shapeId="0" xr:uid="{00000000-0006-0000-0E00-000028000000}">
      <text>
        <r>
          <rPr>
            <sz val="11"/>
            <color theme="1"/>
            <rFont val="Calibri"/>
            <family val="2"/>
            <charset val="1"/>
          </rPr>
          <t>نرخ ثبات = کرسی های دارای شخص حقیقی ثابت ÷ کرسی های شخص حقیقی قابل مقایسه.</t>
        </r>
      </text>
    </comment>
    <comment ref="I12" authorId="0" shapeId="0" xr:uid="{00000000-0006-0000-0E00-000029000000}">
      <text>
        <r>
          <rPr>
            <sz val="11"/>
            <color theme="1"/>
            <rFont val="Calibri"/>
            <family val="2"/>
            <charset val="1"/>
          </rPr>
          <t>نرخ گردش فردی = صورت گردش فردی ÷ مخرج گردش فردی. فقط کرسی های قابل مقایسه وارد مخرج می شوند.</t>
        </r>
      </text>
    </comment>
    <comment ref="L12" authorId="0" shapeId="0" xr:uid="{00000000-0006-0000-0E00-00002A000000}">
      <text>
        <r>
          <rPr>
            <sz val="11"/>
            <color theme="1"/>
            <rFont val="Calibri"/>
            <family val="2"/>
            <charset val="1"/>
          </rPr>
          <t>نرخ تغییر نماینده = تعداد کرسی های شخص حقوقی ثابت با نماینده جدید ÷ تعداد کرسی های شخص حقوقی ثابت و قابل مقایسه.</t>
        </r>
      </text>
    </comment>
    <comment ref="O12" authorId="0" shapeId="0" xr:uid="{00000000-0006-0000-0E00-00002B000000}">
      <text>
        <r>
          <rPr>
            <sz val="11"/>
            <color theme="1"/>
            <rFont val="Calibri"/>
            <family val="2"/>
            <charset val="1"/>
          </rPr>
          <t>نرخ تغییر شخص حقوقی = تعداد کرسی های قابل مقایسه با شخص حقوقی جدید ÷ کل کرسی های قابل مقایسه.</t>
        </r>
      </text>
    </comment>
    <comment ref="R12" authorId="0" shapeId="0" xr:uid="{00000000-0006-0000-0E00-00002C000000}">
      <text>
        <r>
          <rPr>
            <sz val="11"/>
            <color theme="1"/>
            <rFont val="Calibri"/>
            <family val="2"/>
            <charset val="1"/>
          </rPr>
          <t>سهم اعضای جدید = افراد فعال ۱۴۰۴ که در ۱۴۰۳ حضور نداشتند ÷ افراد فعال ۱۴۰۴.</t>
        </r>
      </text>
    </comment>
    <comment ref="U12" authorId="0" shapeId="0" xr:uid="{00000000-0006-0000-0E00-00002D000000}">
      <text>
        <r>
          <rPr>
            <sz val="11"/>
            <color theme="1"/>
            <rFont val="Calibri"/>
            <family val="2"/>
            <charset val="1"/>
          </rPr>
          <t>نرخ ثبات = کرسی های دارای شخص حقیقی ثابت ÷ کرسی های شخص حقیقی قابل مقایسه.</t>
        </r>
      </text>
    </comment>
    <comment ref="I13" authorId="0" shapeId="0" xr:uid="{00000000-0006-0000-0E00-00002E000000}">
      <text>
        <r>
          <rPr>
            <sz val="11"/>
            <color theme="1"/>
            <rFont val="Calibri"/>
            <family val="2"/>
            <charset val="1"/>
          </rPr>
          <t>نرخ گردش فردی = صورت گردش فردی ÷ مخرج گردش فردی. فقط کرسی های قابل مقایسه وارد مخرج می شوند.</t>
        </r>
      </text>
    </comment>
    <comment ref="L13" authorId="0" shapeId="0" xr:uid="{00000000-0006-0000-0E00-00002F000000}">
      <text>
        <r>
          <rPr>
            <sz val="11"/>
            <color theme="1"/>
            <rFont val="Calibri"/>
            <family val="2"/>
            <charset val="1"/>
          </rPr>
          <t>نرخ تغییر نماینده = تعداد کرسی های شخص حقوقی ثابت با نماینده جدید ÷ تعداد کرسی های شخص حقوقی ثابت و قابل مقایسه.</t>
        </r>
      </text>
    </comment>
    <comment ref="O13" authorId="0" shapeId="0" xr:uid="{00000000-0006-0000-0E00-000030000000}">
      <text>
        <r>
          <rPr>
            <sz val="11"/>
            <color theme="1"/>
            <rFont val="Calibri"/>
            <family val="2"/>
            <charset val="1"/>
          </rPr>
          <t>نرخ تغییر شخص حقوقی = تعداد کرسی های قابل مقایسه با شخص حقوقی جدید ÷ کل کرسی های قابل مقایسه.</t>
        </r>
      </text>
    </comment>
    <comment ref="R13" authorId="0" shapeId="0" xr:uid="{00000000-0006-0000-0E00-000031000000}">
      <text>
        <r>
          <rPr>
            <sz val="11"/>
            <color theme="1"/>
            <rFont val="Calibri"/>
            <family val="2"/>
            <charset val="1"/>
          </rPr>
          <t>سهم اعضای جدید = افراد فعال ۱۴۰۴ که در ۱۴۰۳ حضور نداشتند ÷ افراد فعال ۱۴۰۴.</t>
        </r>
      </text>
    </comment>
    <comment ref="U13" authorId="0" shapeId="0" xr:uid="{00000000-0006-0000-0E00-000032000000}">
      <text>
        <r>
          <rPr>
            <sz val="11"/>
            <color theme="1"/>
            <rFont val="Calibri"/>
            <family val="2"/>
            <charset val="1"/>
          </rPr>
          <t>نرخ ثبات = کرسی های دارای شخص حقیقی ثابت ÷ کرسی های شخص حقیقی قابل مقایسه.</t>
        </r>
      </text>
    </comment>
    <comment ref="I14" authorId="0" shapeId="0" xr:uid="{00000000-0006-0000-0E00-000033000000}">
      <text>
        <r>
          <rPr>
            <sz val="11"/>
            <color theme="1"/>
            <rFont val="Calibri"/>
            <family val="2"/>
            <charset val="1"/>
          </rPr>
          <t>نرخ گردش فردی = صورت گردش فردی ÷ مخرج گردش فردی. فقط کرسی های قابل مقایسه وارد مخرج می شوند.</t>
        </r>
      </text>
    </comment>
    <comment ref="L14" authorId="0" shapeId="0" xr:uid="{00000000-0006-0000-0E00-000034000000}">
      <text>
        <r>
          <rPr>
            <sz val="11"/>
            <color theme="1"/>
            <rFont val="Calibri"/>
            <family val="2"/>
            <charset val="1"/>
          </rPr>
          <t>نرخ تغییر نماینده = تعداد کرسی های شخص حقوقی ثابت با نماینده جدید ÷ تعداد کرسی های شخص حقوقی ثابت و قابل مقایسه.</t>
        </r>
      </text>
    </comment>
    <comment ref="O14" authorId="0" shapeId="0" xr:uid="{00000000-0006-0000-0E00-000035000000}">
      <text>
        <r>
          <rPr>
            <sz val="11"/>
            <color theme="1"/>
            <rFont val="Calibri"/>
            <family val="2"/>
            <charset val="1"/>
          </rPr>
          <t>نرخ تغییر شخص حقوقی = تعداد کرسی های قابل مقایسه با شخص حقوقی جدید ÷ کل کرسی های قابل مقایسه.</t>
        </r>
      </text>
    </comment>
    <comment ref="R14" authorId="0" shapeId="0" xr:uid="{00000000-0006-0000-0E00-000036000000}">
      <text>
        <r>
          <rPr>
            <sz val="11"/>
            <color theme="1"/>
            <rFont val="Calibri"/>
            <family val="2"/>
            <charset val="1"/>
          </rPr>
          <t>سهم اعضای جدید = افراد فعال ۱۴۰۴ که در ۱۴۰۳ حضور نداشتند ÷ افراد فعال ۱۴۰۴.</t>
        </r>
      </text>
    </comment>
    <comment ref="U14" authorId="0" shapeId="0" xr:uid="{00000000-0006-0000-0E00-000037000000}">
      <text>
        <r>
          <rPr>
            <sz val="11"/>
            <color theme="1"/>
            <rFont val="Calibri"/>
            <family val="2"/>
            <charset val="1"/>
          </rPr>
          <t>نرخ ثبات = کرسی های دارای شخص حقیقی ثابت ÷ کرسی های شخص حقیقی قابل مقایسه.</t>
        </r>
      </text>
    </comment>
    <comment ref="I15" authorId="0" shapeId="0" xr:uid="{00000000-0006-0000-0E00-000038000000}">
      <text>
        <r>
          <rPr>
            <sz val="11"/>
            <color theme="1"/>
            <rFont val="Calibri"/>
            <family val="2"/>
            <charset val="1"/>
          </rPr>
          <t>نرخ گردش فردی = صورت گردش فردی ÷ مخرج گردش فردی. فقط کرسی های قابل مقایسه وارد مخرج می شوند.</t>
        </r>
      </text>
    </comment>
    <comment ref="L15" authorId="0" shapeId="0" xr:uid="{00000000-0006-0000-0E00-000039000000}">
      <text>
        <r>
          <rPr>
            <sz val="11"/>
            <color theme="1"/>
            <rFont val="Calibri"/>
            <family val="2"/>
            <charset val="1"/>
          </rPr>
          <t>نرخ تغییر نماینده = تعداد کرسی های شخص حقوقی ثابت با نماینده جدید ÷ تعداد کرسی های شخص حقوقی ثابت و قابل مقایسه.</t>
        </r>
      </text>
    </comment>
    <comment ref="O15" authorId="0" shapeId="0" xr:uid="{00000000-0006-0000-0E00-00003A000000}">
      <text>
        <r>
          <rPr>
            <sz val="11"/>
            <color theme="1"/>
            <rFont val="Calibri"/>
            <family val="2"/>
            <charset val="1"/>
          </rPr>
          <t>نرخ تغییر شخص حقوقی = تعداد کرسی های قابل مقایسه با شخص حقوقی جدید ÷ کل کرسی های قابل مقایسه.</t>
        </r>
      </text>
    </comment>
    <comment ref="R15" authorId="0" shapeId="0" xr:uid="{00000000-0006-0000-0E00-00003B000000}">
      <text>
        <r>
          <rPr>
            <sz val="11"/>
            <color theme="1"/>
            <rFont val="Calibri"/>
            <family val="2"/>
            <charset val="1"/>
          </rPr>
          <t>سهم اعضای جدید = افراد فعال ۱۴۰۴ که در ۱۴۰۳ حضور نداشتند ÷ افراد فعال ۱۴۰۴.</t>
        </r>
      </text>
    </comment>
    <comment ref="U15" authorId="0" shapeId="0" xr:uid="{00000000-0006-0000-0E00-00003C000000}">
      <text>
        <r>
          <rPr>
            <sz val="11"/>
            <color theme="1"/>
            <rFont val="Calibri"/>
            <family val="2"/>
            <charset val="1"/>
          </rPr>
          <t>نرخ ثبات = کرسی های دارای شخص حقیقی ثابت ÷ کرسی های شخص حقیقی قابل مقایسه.</t>
        </r>
      </text>
    </comment>
    <comment ref="I16" authorId="0" shapeId="0" xr:uid="{00000000-0006-0000-0E00-00003D000000}">
      <text>
        <r>
          <rPr>
            <sz val="11"/>
            <color theme="1"/>
            <rFont val="Calibri"/>
            <family val="2"/>
            <charset val="1"/>
          </rPr>
          <t>نرخ گردش فردی = صورت گردش فردی ÷ مخرج گردش فردی. فقط کرسی های قابل مقایسه وارد مخرج می شوند.</t>
        </r>
      </text>
    </comment>
    <comment ref="L16" authorId="0" shapeId="0" xr:uid="{00000000-0006-0000-0E00-00003E000000}">
      <text>
        <r>
          <rPr>
            <sz val="11"/>
            <color theme="1"/>
            <rFont val="Calibri"/>
            <family val="2"/>
            <charset val="1"/>
          </rPr>
          <t>نرخ تغییر نماینده = تعداد کرسی های شخص حقوقی ثابت با نماینده جدید ÷ تعداد کرسی های شخص حقوقی ثابت و قابل مقایسه.</t>
        </r>
      </text>
    </comment>
    <comment ref="O16" authorId="0" shapeId="0" xr:uid="{00000000-0006-0000-0E00-00003F000000}">
      <text>
        <r>
          <rPr>
            <sz val="11"/>
            <color theme="1"/>
            <rFont val="Calibri"/>
            <family val="2"/>
            <charset val="1"/>
          </rPr>
          <t>نرخ تغییر شخص حقوقی = تعداد کرسی های قابل مقایسه با شخص حقوقی جدید ÷ کل کرسی های قابل مقایسه.</t>
        </r>
      </text>
    </comment>
    <comment ref="R16" authorId="0" shapeId="0" xr:uid="{00000000-0006-0000-0E00-000040000000}">
      <text>
        <r>
          <rPr>
            <sz val="11"/>
            <color theme="1"/>
            <rFont val="Calibri"/>
            <family val="2"/>
            <charset val="1"/>
          </rPr>
          <t>سهم اعضای جدید = افراد فعال ۱۴۰۴ که در ۱۴۰۳ حضور نداشتند ÷ افراد فعال ۱۴۰۴.</t>
        </r>
      </text>
    </comment>
    <comment ref="U16" authorId="0" shapeId="0" xr:uid="{00000000-0006-0000-0E00-000041000000}">
      <text>
        <r>
          <rPr>
            <sz val="11"/>
            <color theme="1"/>
            <rFont val="Calibri"/>
            <family val="2"/>
            <charset val="1"/>
          </rPr>
          <t>نرخ ثبات = کرسی های دارای شخص حقیقی ثابت ÷ کرسی های شخص حقیقی قابل مقایسه.</t>
        </r>
      </text>
    </comment>
    <comment ref="I17" authorId="0" shapeId="0" xr:uid="{00000000-0006-0000-0E00-000042000000}">
      <text>
        <r>
          <rPr>
            <sz val="11"/>
            <color theme="1"/>
            <rFont val="Calibri"/>
            <family val="2"/>
            <charset val="1"/>
          </rPr>
          <t>نرخ گردش فردی = صورت گردش فردی ÷ مخرج گردش فردی. فقط کرسی های قابل مقایسه وارد مخرج می شوند.</t>
        </r>
      </text>
    </comment>
    <comment ref="L17" authorId="0" shapeId="0" xr:uid="{00000000-0006-0000-0E00-000043000000}">
      <text>
        <r>
          <rPr>
            <sz val="11"/>
            <color theme="1"/>
            <rFont val="Calibri"/>
            <family val="2"/>
            <charset val="1"/>
          </rPr>
          <t>نرخ تغییر نماینده = تعداد کرسی های شخص حقوقی ثابت با نماینده جدید ÷ تعداد کرسی های شخص حقوقی ثابت و قابل مقایسه.</t>
        </r>
      </text>
    </comment>
    <comment ref="O17" authorId="0" shapeId="0" xr:uid="{00000000-0006-0000-0E00-000044000000}">
      <text>
        <r>
          <rPr>
            <sz val="11"/>
            <color theme="1"/>
            <rFont val="Calibri"/>
            <family val="2"/>
            <charset val="1"/>
          </rPr>
          <t>نرخ تغییر شخص حقوقی = تعداد کرسی های قابل مقایسه با شخص حقوقی جدید ÷ کل کرسی های قابل مقایسه.</t>
        </r>
      </text>
    </comment>
    <comment ref="R17" authorId="0" shapeId="0" xr:uid="{00000000-0006-0000-0E00-000045000000}">
      <text>
        <r>
          <rPr>
            <sz val="11"/>
            <color theme="1"/>
            <rFont val="Calibri"/>
            <family val="2"/>
            <charset val="1"/>
          </rPr>
          <t>سهم اعضای جدید = افراد فعال ۱۴۰۴ که در ۱۴۰۳ حضور نداشتند ÷ افراد فعال ۱۴۰۴.</t>
        </r>
      </text>
    </comment>
    <comment ref="U17" authorId="0" shapeId="0" xr:uid="{00000000-0006-0000-0E00-000046000000}">
      <text>
        <r>
          <rPr>
            <sz val="11"/>
            <color theme="1"/>
            <rFont val="Calibri"/>
            <family val="2"/>
            <charset val="1"/>
          </rPr>
          <t>نرخ ثبات = کرسی های دارای شخص حقیقی ثابت ÷ کرسی های شخص حقیقی قابل مقایسه.</t>
        </r>
      </text>
    </comment>
    <comment ref="I18" authorId="0" shapeId="0" xr:uid="{00000000-0006-0000-0E00-000047000000}">
      <text>
        <r>
          <rPr>
            <sz val="11"/>
            <color theme="1"/>
            <rFont val="Calibri"/>
            <family val="2"/>
            <charset val="1"/>
          </rPr>
          <t>نرخ گردش فردی = صورت گردش فردی ÷ مخرج گردش فردی. فقط کرسی های قابل مقایسه وارد مخرج می شوند.</t>
        </r>
      </text>
    </comment>
    <comment ref="L18" authorId="0" shapeId="0" xr:uid="{00000000-0006-0000-0E00-000048000000}">
      <text>
        <r>
          <rPr>
            <sz val="11"/>
            <color theme="1"/>
            <rFont val="Calibri"/>
            <family val="2"/>
            <charset val="1"/>
          </rPr>
          <t>نرخ تغییر نماینده = تعداد کرسی های شخص حقوقی ثابت با نماینده جدید ÷ تعداد کرسی های شخص حقوقی ثابت و قابل مقایسه.</t>
        </r>
      </text>
    </comment>
    <comment ref="O18" authorId="0" shapeId="0" xr:uid="{00000000-0006-0000-0E00-000049000000}">
      <text>
        <r>
          <rPr>
            <sz val="11"/>
            <color theme="1"/>
            <rFont val="Calibri"/>
            <family val="2"/>
            <charset val="1"/>
          </rPr>
          <t>نرخ تغییر شخص حقوقی = تعداد کرسی های قابل مقایسه با شخص حقوقی جدید ÷ کل کرسی های قابل مقایسه.</t>
        </r>
      </text>
    </comment>
    <comment ref="R18" authorId="0" shapeId="0" xr:uid="{00000000-0006-0000-0E00-00004A000000}">
      <text>
        <r>
          <rPr>
            <sz val="11"/>
            <color theme="1"/>
            <rFont val="Calibri"/>
            <family val="2"/>
            <charset val="1"/>
          </rPr>
          <t>سهم اعضای جدید = افراد فعال ۱۴۰۴ که در ۱۴۰۳ حضور نداشتند ÷ افراد فعال ۱۴۰۴.</t>
        </r>
      </text>
    </comment>
    <comment ref="U18" authorId="0" shapeId="0" xr:uid="{00000000-0006-0000-0E00-00004B000000}">
      <text>
        <r>
          <rPr>
            <sz val="11"/>
            <color theme="1"/>
            <rFont val="Calibri"/>
            <family val="2"/>
            <charset val="1"/>
          </rPr>
          <t>نرخ ثبات = کرسی های دارای شخص حقیقی ثابت ÷ کرسی های شخص حقیقی قابل مقایسه.</t>
        </r>
      </text>
    </comment>
    <comment ref="I19" authorId="0" shapeId="0" xr:uid="{00000000-0006-0000-0E00-00004C000000}">
      <text>
        <r>
          <rPr>
            <sz val="11"/>
            <color theme="1"/>
            <rFont val="Calibri"/>
            <family val="2"/>
            <charset val="1"/>
          </rPr>
          <t>نرخ گردش فردی = صورت گردش فردی ÷ مخرج گردش فردی. فقط کرسی های قابل مقایسه وارد مخرج می شوند.</t>
        </r>
      </text>
    </comment>
    <comment ref="L19" authorId="0" shapeId="0" xr:uid="{00000000-0006-0000-0E00-00004D000000}">
      <text>
        <r>
          <rPr>
            <sz val="11"/>
            <color theme="1"/>
            <rFont val="Calibri"/>
            <family val="2"/>
            <charset val="1"/>
          </rPr>
          <t>نرخ تغییر نماینده = تعداد کرسی های شخص حقوقی ثابت با نماینده جدید ÷ تعداد کرسی های شخص حقوقی ثابت و قابل مقایسه.</t>
        </r>
      </text>
    </comment>
    <comment ref="O19" authorId="0" shapeId="0" xr:uid="{00000000-0006-0000-0E00-00004E000000}">
      <text>
        <r>
          <rPr>
            <sz val="11"/>
            <color theme="1"/>
            <rFont val="Calibri"/>
            <family val="2"/>
            <charset val="1"/>
          </rPr>
          <t>نرخ تغییر شخص حقوقی = تعداد کرسی های قابل مقایسه با شخص حقوقی جدید ÷ کل کرسی های قابل مقایسه.</t>
        </r>
      </text>
    </comment>
    <comment ref="R19" authorId="0" shapeId="0" xr:uid="{00000000-0006-0000-0E00-00004F000000}">
      <text>
        <r>
          <rPr>
            <sz val="11"/>
            <color theme="1"/>
            <rFont val="Calibri"/>
            <family val="2"/>
            <charset val="1"/>
          </rPr>
          <t>سهم اعضای جدید = افراد فعال ۱۴۰۴ که در ۱۴۰۳ حضور نداشتند ÷ افراد فعال ۱۴۰۴.</t>
        </r>
      </text>
    </comment>
    <comment ref="U19" authorId="0" shapeId="0" xr:uid="{00000000-0006-0000-0E00-000050000000}">
      <text>
        <r>
          <rPr>
            <sz val="11"/>
            <color theme="1"/>
            <rFont val="Calibri"/>
            <family val="2"/>
            <charset val="1"/>
          </rPr>
          <t>نرخ ثبات = کرسی های دارای شخص حقیقی ثابت ÷ کرسی های شخص حقیقی قابل مقایسه.</t>
        </r>
      </text>
    </comment>
    <comment ref="I20" authorId="0" shapeId="0" xr:uid="{00000000-0006-0000-0E00-000051000000}">
      <text>
        <r>
          <rPr>
            <sz val="11"/>
            <color theme="1"/>
            <rFont val="Calibri"/>
            <family val="2"/>
            <charset val="1"/>
          </rPr>
          <t>نرخ گردش فردی = صورت گردش فردی ÷ مخرج گردش فردی. فقط کرسی های قابل مقایسه وارد مخرج می شوند.</t>
        </r>
      </text>
    </comment>
    <comment ref="L20" authorId="0" shapeId="0" xr:uid="{00000000-0006-0000-0E00-000052000000}">
      <text>
        <r>
          <rPr>
            <sz val="11"/>
            <color theme="1"/>
            <rFont val="Calibri"/>
            <family val="2"/>
            <charset val="1"/>
          </rPr>
          <t>نرخ تغییر نماینده = تعداد کرسی های شخص حقوقی ثابت با نماینده جدید ÷ تعداد کرسی های شخص حقوقی ثابت و قابل مقایسه.</t>
        </r>
      </text>
    </comment>
    <comment ref="O20" authorId="0" shapeId="0" xr:uid="{00000000-0006-0000-0E00-000053000000}">
      <text>
        <r>
          <rPr>
            <sz val="11"/>
            <color theme="1"/>
            <rFont val="Calibri"/>
            <family val="2"/>
            <charset val="1"/>
          </rPr>
          <t>نرخ تغییر شخص حقوقی = تعداد کرسی های قابل مقایسه با شخص حقوقی جدید ÷ کل کرسی های قابل مقایسه.</t>
        </r>
      </text>
    </comment>
    <comment ref="R20" authorId="0" shapeId="0" xr:uid="{00000000-0006-0000-0E00-000054000000}">
      <text>
        <r>
          <rPr>
            <sz val="11"/>
            <color theme="1"/>
            <rFont val="Calibri"/>
            <family val="2"/>
            <charset val="1"/>
          </rPr>
          <t>سهم اعضای جدید = افراد فعال ۱۴۰۴ که در ۱۴۰۳ حضور نداشتند ÷ افراد فعال ۱۴۰۴.</t>
        </r>
      </text>
    </comment>
    <comment ref="U20" authorId="0" shapeId="0" xr:uid="{00000000-0006-0000-0E00-000055000000}">
      <text>
        <r>
          <rPr>
            <sz val="11"/>
            <color theme="1"/>
            <rFont val="Calibri"/>
            <family val="2"/>
            <charset val="1"/>
          </rPr>
          <t>نرخ ثبات = کرسی های دارای شخص حقیقی ثابت ÷ کرسی های شخص حقیقی قابل مقایسه.</t>
        </r>
      </text>
    </comment>
    <comment ref="I21" authorId="0" shapeId="0" xr:uid="{00000000-0006-0000-0E00-000056000000}">
      <text>
        <r>
          <rPr>
            <sz val="11"/>
            <color theme="1"/>
            <rFont val="Calibri"/>
            <family val="2"/>
            <charset val="1"/>
          </rPr>
          <t>نرخ گردش فردی = صورت گردش فردی ÷ مخرج گردش فردی. فقط کرسی های قابل مقایسه وارد مخرج می شوند.</t>
        </r>
      </text>
    </comment>
    <comment ref="L21" authorId="0" shapeId="0" xr:uid="{00000000-0006-0000-0E00-000057000000}">
      <text>
        <r>
          <rPr>
            <sz val="11"/>
            <color theme="1"/>
            <rFont val="Calibri"/>
            <family val="2"/>
            <charset val="1"/>
          </rPr>
          <t>نرخ تغییر نماینده = تعداد کرسی های شخص حقوقی ثابت با نماینده جدید ÷ تعداد کرسی های شخص حقوقی ثابت و قابل مقایسه.</t>
        </r>
      </text>
    </comment>
    <comment ref="O21" authorId="0" shapeId="0" xr:uid="{00000000-0006-0000-0E00-000058000000}">
      <text>
        <r>
          <rPr>
            <sz val="11"/>
            <color theme="1"/>
            <rFont val="Calibri"/>
            <family val="2"/>
            <charset val="1"/>
          </rPr>
          <t>نرخ تغییر شخص حقوقی = تعداد کرسی های قابل مقایسه با شخص حقوقی جدید ÷ کل کرسی های قابل مقایسه.</t>
        </r>
      </text>
    </comment>
    <comment ref="R21" authorId="0" shapeId="0" xr:uid="{00000000-0006-0000-0E00-000059000000}">
      <text>
        <r>
          <rPr>
            <sz val="11"/>
            <color theme="1"/>
            <rFont val="Calibri"/>
            <family val="2"/>
            <charset val="1"/>
          </rPr>
          <t>سهم اعضای جدید = افراد فعال ۱۴۰۴ که در ۱۴۰۳ حضور نداشتند ÷ افراد فعال ۱۴۰۴.</t>
        </r>
      </text>
    </comment>
    <comment ref="U21" authorId="0" shapeId="0" xr:uid="{00000000-0006-0000-0E00-00005A000000}">
      <text>
        <r>
          <rPr>
            <sz val="11"/>
            <color theme="1"/>
            <rFont val="Calibri"/>
            <family val="2"/>
            <charset val="1"/>
          </rPr>
          <t>نرخ ثبات = کرسی های دارای شخص حقیقی ثابت ÷ کرسی های شخص حقیقی قابل مقایسه.</t>
        </r>
      </text>
    </comment>
    <comment ref="I22" authorId="0" shapeId="0" xr:uid="{00000000-0006-0000-0E00-00005B000000}">
      <text>
        <r>
          <rPr>
            <sz val="11"/>
            <color theme="1"/>
            <rFont val="Calibri"/>
            <family val="2"/>
            <charset val="1"/>
          </rPr>
          <t>نرخ گردش فردی = صورت گردش فردی ÷ مخرج گردش فردی. فقط کرسی های قابل مقایسه وارد مخرج می شوند.</t>
        </r>
      </text>
    </comment>
    <comment ref="L22" authorId="0" shapeId="0" xr:uid="{00000000-0006-0000-0E00-00005C000000}">
      <text>
        <r>
          <rPr>
            <sz val="11"/>
            <color theme="1"/>
            <rFont val="Calibri"/>
            <family val="2"/>
            <charset val="1"/>
          </rPr>
          <t>نرخ تغییر نماینده = تعداد کرسی های شخص حقوقی ثابت با نماینده جدید ÷ تعداد کرسی های شخص حقوقی ثابت و قابل مقایسه.</t>
        </r>
      </text>
    </comment>
    <comment ref="O22" authorId="0" shapeId="0" xr:uid="{00000000-0006-0000-0E00-00005D000000}">
      <text>
        <r>
          <rPr>
            <sz val="11"/>
            <color theme="1"/>
            <rFont val="Calibri"/>
            <family val="2"/>
            <charset val="1"/>
          </rPr>
          <t>نرخ تغییر شخص حقوقی = تعداد کرسی های قابل مقایسه با شخص حقوقی جدید ÷ کل کرسی های قابل مقایسه.</t>
        </r>
      </text>
    </comment>
    <comment ref="R22" authorId="0" shapeId="0" xr:uid="{00000000-0006-0000-0E00-00005E000000}">
      <text>
        <r>
          <rPr>
            <sz val="11"/>
            <color theme="1"/>
            <rFont val="Calibri"/>
            <family val="2"/>
            <charset val="1"/>
          </rPr>
          <t>سهم اعضای جدید = افراد فعال ۱۴۰۴ که در ۱۴۰۳ حضور نداشتند ÷ افراد فعال ۱۴۰۴.</t>
        </r>
      </text>
    </comment>
    <comment ref="U22" authorId="0" shapeId="0" xr:uid="{00000000-0006-0000-0E00-00005F000000}">
      <text>
        <r>
          <rPr>
            <sz val="11"/>
            <color theme="1"/>
            <rFont val="Calibri"/>
            <family val="2"/>
            <charset val="1"/>
          </rPr>
          <t>نرخ ثبات = کرسی های دارای شخص حقیقی ثابت ÷ کرسی های شخص حقیقی قابل مقایسه.</t>
        </r>
      </text>
    </comment>
    <comment ref="I23" authorId="0" shapeId="0" xr:uid="{00000000-0006-0000-0E00-000060000000}">
      <text>
        <r>
          <rPr>
            <sz val="11"/>
            <color theme="1"/>
            <rFont val="Calibri"/>
            <family val="2"/>
            <charset val="1"/>
          </rPr>
          <t>نرخ گردش فردی = صورت گردش فردی ÷ مخرج گردش فردی. فقط کرسی های قابل مقایسه وارد مخرج می شوند.</t>
        </r>
      </text>
    </comment>
    <comment ref="L23" authorId="0" shapeId="0" xr:uid="{00000000-0006-0000-0E00-000061000000}">
      <text>
        <r>
          <rPr>
            <sz val="11"/>
            <color theme="1"/>
            <rFont val="Calibri"/>
            <family val="2"/>
            <charset val="1"/>
          </rPr>
          <t>نرخ تغییر نماینده = تعداد کرسی های شخص حقوقی ثابت با نماینده جدید ÷ تعداد کرسی های شخص حقوقی ثابت و قابل مقایسه.</t>
        </r>
      </text>
    </comment>
    <comment ref="O23" authorId="0" shapeId="0" xr:uid="{00000000-0006-0000-0E00-000062000000}">
      <text>
        <r>
          <rPr>
            <sz val="11"/>
            <color theme="1"/>
            <rFont val="Calibri"/>
            <family val="2"/>
            <charset val="1"/>
          </rPr>
          <t>نرخ تغییر شخص حقوقی = تعداد کرسی های قابل مقایسه با شخص حقوقی جدید ÷ کل کرسی های قابل مقایسه.</t>
        </r>
      </text>
    </comment>
    <comment ref="R23" authorId="0" shapeId="0" xr:uid="{00000000-0006-0000-0E00-000063000000}">
      <text>
        <r>
          <rPr>
            <sz val="11"/>
            <color theme="1"/>
            <rFont val="Calibri"/>
            <family val="2"/>
            <charset val="1"/>
          </rPr>
          <t>سهم اعضای جدید = افراد فعال ۱۴۰۴ که در ۱۴۰۳ حضور نداشتند ÷ افراد فعال ۱۴۰۴.</t>
        </r>
      </text>
    </comment>
    <comment ref="U23" authorId="0" shapeId="0" xr:uid="{00000000-0006-0000-0E00-000064000000}">
      <text>
        <r>
          <rPr>
            <sz val="11"/>
            <color theme="1"/>
            <rFont val="Calibri"/>
            <family val="2"/>
            <charset val="1"/>
          </rPr>
          <t>نرخ ثبات = کرسی های دارای شخص حقیقی ثابت ÷ کرسی های شخص حقیقی قابل مقایسه.</t>
        </r>
      </text>
    </comment>
    <comment ref="I24" authorId="0" shapeId="0" xr:uid="{00000000-0006-0000-0E00-000065000000}">
      <text>
        <r>
          <rPr>
            <sz val="11"/>
            <color theme="1"/>
            <rFont val="Calibri"/>
            <family val="2"/>
            <charset val="1"/>
          </rPr>
          <t>نرخ گردش فردی = صورت گردش فردی ÷ مخرج گردش فردی. فقط کرسی های قابل مقایسه وارد مخرج می شوند.</t>
        </r>
      </text>
    </comment>
    <comment ref="L24" authorId="0" shapeId="0" xr:uid="{00000000-0006-0000-0E00-000066000000}">
      <text>
        <r>
          <rPr>
            <sz val="11"/>
            <color theme="1"/>
            <rFont val="Calibri"/>
            <family val="2"/>
            <charset val="1"/>
          </rPr>
          <t>نرخ تغییر نماینده = تعداد کرسی های شخص حقوقی ثابت با نماینده جدید ÷ تعداد کرسی های شخص حقوقی ثابت و قابل مقایسه.</t>
        </r>
      </text>
    </comment>
    <comment ref="O24" authorId="0" shapeId="0" xr:uid="{00000000-0006-0000-0E00-000067000000}">
      <text>
        <r>
          <rPr>
            <sz val="11"/>
            <color theme="1"/>
            <rFont val="Calibri"/>
            <family val="2"/>
            <charset val="1"/>
          </rPr>
          <t>نرخ تغییر شخص حقوقی = تعداد کرسی های قابل مقایسه با شخص حقوقی جدید ÷ کل کرسی های قابل مقایسه.</t>
        </r>
      </text>
    </comment>
    <comment ref="R24" authorId="0" shapeId="0" xr:uid="{00000000-0006-0000-0E00-000068000000}">
      <text>
        <r>
          <rPr>
            <sz val="11"/>
            <color theme="1"/>
            <rFont val="Calibri"/>
            <family val="2"/>
            <charset val="1"/>
          </rPr>
          <t>سهم اعضای جدید = افراد فعال ۱۴۰۴ که در ۱۴۰۳ حضور نداشتند ÷ افراد فعال ۱۴۰۴.</t>
        </r>
      </text>
    </comment>
    <comment ref="U24" authorId="0" shapeId="0" xr:uid="{00000000-0006-0000-0E00-000069000000}">
      <text>
        <r>
          <rPr>
            <sz val="11"/>
            <color theme="1"/>
            <rFont val="Calibri"/>
            <family val="2"/>
            <charset val="1"/>
          </rPr>
          <t>نرخ ثبات = کرسی های دارای شخص حقیقی ثابت ÷ کرسی های شخص حقیقی قابل مقایسه.</t>
        </r>
      </text>
    </comment>
    <comment ref="I25" authorId="0" shapeId="0" xr:uid="{00000000-0006-0000-0E00-00006A000000}">
      <text>
        <r>
          <rPr>
            <sz val="11"/>
            <color theme="1"/>
            <rFont val="Calibri"/>
            <family val="2"/>
            <charset val="1"/>
          </rPr>
          <t>نرخ گردش فردی = صورت گردش فردی ÷ مخرج گردش فردی. فقط کرسی های قابل مقایسه وارد مخرج می شوند.</t>
        </r>
      </text>
    </comment>
    <comment ref="L25" authorId="0" shapeId="0" xr:uid="{00000000-0006-0000-0E00-00006B000000}">
      <text>
        <r>
          <rPr>
            <sz val="11"/>
            <color theme="1"/>
            <rFont val="Calibri"/>
            <family val="2"/>
            <charset val="1"/>
          </rPr>
          <t>نرخ تغییر نماینده = تعداد کرسی های شخص حقوقی ثابت با نماینده جدید ÷ تعداد کرسی های شخص حقوقی ثابت و قابل مقایسه.</t>
        </r>
      </text>
    </comment>
    <comment ref="O25" authorId="0" shapeId="0" xr:uid="{00000000-0006-0000-0E00-00006C000000}">
      <text>
        <r>
          <rPr>
            <sz val="11"/>
            <color theme="1"/>
            <rFont val="Calibri"/>
            <family val="2"/>
            <charset val="1"/>
          </rPr>
          <t>نرخ تغییر شخص حقوقی = تعداد کرسی های قابل مقایسه با شخص حقوقی جدید ÷ کل کرسی های قابل مقایسه.</t>
        </r>
      </text>
    </comment>
    <comment ref="R25" authorId="0" shapeId="0" xr:uid="{00000000-0006-0000-0E00-00006D000000}">
      <text>
        <r>
          <rPr>
            <sz val="11"/>
            <color theme="1"/>
            <rFont val="Calibri"/>
            <family val="2"/>
            <charset val="1"/>
          </rPr>
          <t>سهم اعضای جدید = افراد فعال ۱۴۰۴ که در ۱۴۰۳ حضور نداشتند ÷ افراد فعال ۱۴۰۴.</t>
        </r>
      </text>
    </comment>
    <comment ref="U25" authorId="0" shapeId="0" xr:uid="{00000000-0006-0000-0E00-00006E000000}">
      <text>
        <r>
          <rPr>
            <sz val="11"/>
            <color theme="1"/>
            <rFont val="Calibri"/>
            <family val="2"/>
            <charset val="1"/>
          </rPr>
          <t>نرخ ثبات = کرسی های دارای شخص حقیقی ثابت ÷ کرسی های شخص حقیقی قابل مقایسه.</t>
        </r>
      </text>
    </comment>
    <comment ref="I26" authorId="0" shapeId="0" xr:uid="{00000000-0006-0000-0E00-00006F000000}">
      <text>
        <r>
          <rPr>
            <sz val="11"/>
            <color theme="1"/>
            <rFont val="Calibri"/>
            <family val="2"/>
            <charset val="1"/>
          </rPr>
          <t>نرخ گردش فردی = صورت گردش فردی ÷ مخرج گردش فردی. فقط کرسی های قابل مقایسه وارد مخرج می شوند.</t>
        </r>
      </text>
    </comment>
    <comment ref="L26" authorId="0" shapeId="0" xr:uid="{00000000-0006-0000-0E00-000070000000}">
      <text>
        <r>
          <rPr>
            <sz val="11"/>
            <color theme="1"/>
            <rFont val="Calibri"/>
            <family val="2"/>
            <charset val="1"/>
          </rPr>
          <t>نرخ تغییر نماینده = تعداد کرسی های شخص حقوقی ثابت با نماینده جدید ÷ تعداد کرسی های شخص حقوقی ثابت و قابل مقایسه.</t>
        </r>
      </text>
    </comment>
    <comment ref="O26" authorId="0" shapeId="0" xr:uid="{00000000-0006-0000-0E00-000071000000}">
      <text>
        <r>
          <rPr>
            <sz val="11"/>
            <color theme="1"/>
            <rFont val="Calibri"/>
            <family val="2"/>
            <charset val="1"/>
          </rPr>
          <t>نرخ تغییر شخص حقوقی = تعداد کرسی های قابل مقایسه با شخص حقوقی جدید ÷ کل کرسی های قابل مقایسه.</t>
        </r>
      </text>
    </comment>
    <comment ref="R26" authorId="0" shapeId="0" xr:uid="{00000000-0006-0000-0E00-000072000000}">
      <text>
        <r>
          <rPr>
            <sz val="11"/>
            <color theme="1"/>
            <rFont val="Calibri"/>
            <family val="2"/>
            <charset val="1"/>
          </rPr>
          <t>سهم اعضای جدید = افراد فعال ۱۴۰۴ که در ۱۴۰۳ حضور نداشتند ÷ افراد فعال ۱۴۰۴.</t>
        </r>
      </text>
    </comment>
    <comment ref="U26" authorId="0" shapeId="0" xr:uid="{00000000-0006-0000-0E00-000073000000}">
      <text>
        <r>
          <rPr>
            <sz val="11"/>
            <color theme="1"/>
            <rFont val="Calibri"/>
            <family val="2"/>
            <charset val="1"/>
          </rPr>
          <t>نرخ ثبات = کرسی های دارای شخص حقیقی ثابت ÷ کرسی های شخص حقیقی قابل مقایسه.</t>
        </r>
      </text>
    </comment>
    <comment ref="I27" authorId="0" shapeId="0" xr:uid="{00000000-0006-0000-0E00-000074000000}">
      <text>
        <r>
          <rPr>
            <sz val="11"/>
            <color theme="1"/>
            <rFont val="Calibri"/>
            <family val="2"/>
            <charset val="1"/>
          </rPr>
          <t>نرخ گردش فردی = صورت گردش فردی ÷ مخرج گردش فردی. فقط کرسی های قابل مقایسه وارد مخرج می شوند.</t>
        </r>
      </text>
    </comment>
    <comment ref="L27" authorId="0" shapeId="0" xr:uid="{00000000-0006-0000-0E00-000075000000}">
      <text>
        <r>
          <rPr>
            <sz val="11"/>
            <color theme="1"/>
            <rFont val="Calibri"/>
            <family val="2"/>
            <charset val="1"/>
          </rPr>
          <t>نرخ تغییر نماینده = تعداد کرسی های شخص حقوقی ثابت با نماینده جدید ÷ تعداد کرسی های شخص حقوقی ثابت و قابل مقایسه.</t>
        </r>
      </text>
    </comment>
    <comment ref="O27" authorId="0" shapeId="0" xr:uid="{00000000-0006-0000-0E00-000076000000}">
      <text>
        <r>
          <rPr>
            <sz val="11"/>
            <color theme="1"/>
            <rFont val="Calibri"/>
            <family val="2"/>
            <charset val="1"/>
          </rPr>
          <t>نرخ تغییر شخص حقوقی = تعداد کرسی های قابل مقایسه با شخص حقوقی جدید ÷ کل کرسی های قابل مقایسه.</t>
        </r>
      </text>
    </comment>
    <comment ref="R27" authorId="0" shapeId="0" xr:uid="{00000000-0006-0000-0E00-000077000000}">
      <text>
        <r>
          <rPr>
            <sz val="11"/>
            <color theme="1"/>
            <rFont val="Calibri"/>
            <family val="2"/>
            <charset val="1"/>
          </rPr>
          <t>سهم اعضای جدید = افراد فعال ۱۴۰۴ که در ۱۴۰۳ حضور نداشتند ÷ افراد فعال ۱۴۰۴.</t>
        </r>
      </text>
    </comment>
    <comment ref="U27" authorId="0" shapeId="0" xr:uid="{00000000-0006-0000-0E00-000078000000}">
      <text>
        <r>
          <rPr>
            <sz val="11"/>
            <color theme="1"/>
            <rFont val="Calibri"/>
            <family val="2"/>
            <charset val="1"/>
          </rPr>
          <t>نرخ ثبات = کرسی های دارای شخص حقیقی ثابت ÷ کرسی های شخص حقیقی قابل مقایسه.</t>
        </r>
      </text>
    </comment>
    <comment ref="I28" authorId="0" shapeId="0" xr:uid="{00000000-0006-0000-0E00-000079000000}">
      <text>
        <r>
          <rPr>
            <sz val="11"/>
            <color theme="1"/>
            <rFont val="Calibri"/>
            <family val="2"/>
            <charset val="1"/>
          </rPr>
          <t>نرخ گردش فردی = صورت گردش فردی ÷ مخرج گردش فردی. فقط کرسی های قابل مقایسه وارد مخرج می شوند.</t>
        </r>
      </text>
    </comment>
    <comment ref="L28" authorId="0" shapeId="0" xr:uid="{00000000-0006-0000-0E00-00007A000000}">
      <text>
        <r>
          <rPr>
            <sz val="11"/>
            <color theme="1"/>
            <rFont val="Calibri"/>
            <family val="2"/>
            <charset val="1"/>
          </rPr>
          <t>نرخ تغییر نماینده = تعداد کرسی های شخص حقوقی ثابت با نماینده جدید ÷ تعداد کرسی های شخص حقوقی ثابت و قابل مقایسه.</t>
        </r>
      </text>
    </comment>
    <comment ref="O28" authorId="0" shapeId="0" xr:uid="{00000000-0006-0000-0E00-00007B000000}">
      <text>
        <r>
          <rPr>
            <sz val="11"/>
            <color theme="1"/>
            <rFont val="Calibri"/>
            <family val="2"/>
            <charset val="1"/>
          </rPr>
          <t>نرخ تغییر شخص حقوقی = تعداد کرسی های قابل مقایسه با شخص حقوقی جدید ÷ کل کرسی های قابل مقایسه.</t>
        </r>
      </text>
    </comment>
    <comment ref="R28" authorId="0" shapeId="0" xr:uid="{00000000-0006-0000-0E00-00007C000000}">
      <text>
        <r>
          <rPr>
            <sz val="11"/>
            <color theme="1"/>
            <rFont val="Calibri"/>
            <family val="2"/>
            <charset val="1"/>
          </rPr>
          <t>سهم اعضای جدید = افراد فعال ۱۴۰۴ که در ۱۴۰۳ حضور نداشتند ÷ افراد فعال ۱۴۰۴.</t>
        </r>
      </text>
    </comment>
    <comment ref="U28" authorId="0" shapeId="0" xr:uid="{00000000-0006-0000-0E00-00007D000000}">
      <text>
        <r>
          <rPr>
            <sz val="11"/>
            <color theme="1"/>
            <rFont val="Calibri"/>
            <family val="2"/>
            <charset val="1"/>
          </rPr>
          <t>نرخ ثبات = کرسی های دارای شخص حقیقی ثابت ÷ کرسی های شخص حقیقی قابل مقایسه.</t>
        </r>
      </text>
    </comment>
    <comment ref="I29" authorId="0" shapeId="0" xr:uid="{00000000-0006-0000-0E00-00007E000000}">
      <text>
        <r>
          <rPr>
            <sz val="11"/>
            <color theme="1"/>
            <rFont val="Calibri"/>
            <family val="2"/>
            <charset val="1"/>
          </rPr>
          <t>نرخ گردش فردی = صورت گردش فردی ÷ مخرج گردش فردی. فقط کرسی های قابل مقایسه وارد مخرج می شوند.</t>
        </r>
      </text>
    </comment>
    <comment ref="L29" authorId="0" shapeId="0" xr:uid="{00000000-0006-0000-0E00-00007F000000}">
      <text>
        <r>
          <rPr>
            <sz val="11"/>
            <color theme="1"/>
            <rFont val="Calibri"/>
            <family val="2"/>
            <charset val="1"/>
          </rPr>
          <t>نرخ تغییر نماینده = تعداد کرسی های شخص حقوقی ثابت با نماینده جدید ÷ تعداد کرسی های شخص حقوقی ثابت و قابل مقایسه.</t>
        </r>
      </text>
    </comment>
    <comment ref="O29" authorId="0" shapeId="0" xr:uid="{00000000-0006-0000-0E00-000080000000}">
      <text>
        <r>
          <rPr>
            <sz val="11"/>
            <color theme="1"/>
            <rFont val="Calibri"/>
            <family val="2"/>
            <charset val="1"/>
          </rPr>
          <t>نرخ تغییر شخص حقوقی = تعداد کرسی های قابل مقایسه با شخص حقوقی جدید ÷ کل کرسی های قابل مقایسه.</t>
        </r>
      </text>
    </comment>
    <comment ref="R29" authorId="0" shapeId="0" xr:uid="{00000000-0006-0000-0E00-000081000000}">
      <text>
        <r>
          <rPr>
            <sz val="11"/>
            <color theme="1"/>
            <rFont val="Calibri"/>
            <family val="2"/>
            <charset val="1"/>
          </rPr>
          <t>سهم اعضای جدید = افراد فعال ۱۴۰۴ که در ۱۴۰۳ حضور نداشتند ÷ افراد فعال ۱۴۰۴.</t>
        </r>
      </text>
    </comment>
    <comment ref="U29" authorId="0" shapeId="0" xr:uid="{00000000-0006-0000-0E00-000082000000}">
      <text>
        <r>
          <rPr>
            <sz val="11"/>
            <color theme="1"/>
            <rFont val="Calibri"/>
            <family val="2"/>
            <charset val="1"/>
          </rPr>
          <t>نرخ ثبات = کرسی های دارای شخص حقیقی ثابت ÷ کرسی های شخص حقیقی قابل مقایسه.</t>
        </r>
      </text>
    </comment>
    <comment ref="I30" authorId="0" shapeId="0" xr:uid="{00000000-0006-0000-0E00-000083000000}">
      <text>
        <r>
          <rPr>
            <sz val="11"/>
            <color theme="1"/>
            <rFont val="Calibri"/>
            <family val="2"/>
            <charset val="1"/>
          </rPr>
          <t>نرخ گردش فردی = صورت گردش فردی ÷ مخرج گردش فردی. فقط کرسی های قابل مقایسه وارد مخرج می شوند.</t>
        </r>
      </text>
    </comment>
    <comment ref="L30" authorId="0" shapeId="0" xr:uid="{00000000-0006-0000-0E00-000084000000}">
      <text>
        <r>
          <rPr>
            <sz val="11"/>
            <color theme="1"/>
            <rFont val="Calibri"/>
            <family val="2"/>
            <charset val="1"/>
          </rPr>
          <t>نرخ تغییر نماینده = تعداد کرسی های شخص حقوقی ثابت با نماینده جدید ÷ تعداد کرسی های شخص حقوقی ثابت و قابل مقایسه.</t>
        </r>
      </text>
    </comment>
    <comment ref="O30" authorId="0" shapeId="0" xr:uid="{00000000-0006-0000-0E00-000085000000}">
      <text>
        <r>
          <rPr>
            <sz val="11"/>
            <color theme="1"/>
            <rFont val="Calibri"/>
            <family val="2"/>
            <charset val="1"/>
          </rPr>
          <t>نرخ تغییر شخص حقوقی = تعداد کرسی های قابل مقایسه با شخص حقوقی جدید ÷ کل کرسی های قابل مقایسه.</t>
        </r>
      </text>
    </comment>
    <comment ref="R30" authorId="0" shapeId="0" xr:uid="{00000000-0006-0000-0E00-000086000000}">
      <text>
        <r>
          <rPr>
            <sz val="11"/>
            <color theme="1"/>
            <rFont val="Calibri"/>
            <family val="2"/>
            <charset val="1"/>
          </rPr>
          <t>سهم اعضای جدید = افراد فعال ۱۴۰۴ که در ۱۴۰۳ حضور نداشتند ÷ افراد فعال ۱۴۰۴.</t>
        </r>
      </text>
    </comment>
    <comment ref="U30" authorId="0" shapeId="0" xr:uid="{00000000-0006-0000-0E00-000087000000}">
      <text>
        <r>
          <rPr>
            <sz val="11"/>
            <color theme="1"/>
            <rFont val="Calibri"/>
            <family val="2"/>
            <charset val="1"/>
          </rPr>
          <t>نرخ ثبات = کرسی های دارای شخص حقیقی ثابت ÷ کرسی های شخص حقیقی قابل مقایسه.</t>
        </r>
      </text>
    </comment>
    <comment ref="I31" authorId="0" shapeId="0" xr:uid="{00000000-0006-0000-0E00-000088000000}">
      <text>
        <r>
          <rPr>
            <sz val="11"/>
            <color theme="1"/>
            <rFont val="Calibri"/>
            <family val="2"/>
            <charset val="1"/>
          </rPr>
          <t>نرخ گردش فردی = صورت گردش فردی ÷ مخرج گردش فردی. فقط کرسی های قابل مقایسه وارد مخرج می شوند.</t>
        </r>
      </text>
    </comment>
    <comment ref="L31" authorId="0" shapeId="0" xr:uid="{00000000-0006-0000-0E00-000089000000}">
      <text>
        <r>
          <rPr>
            <sz val="11"/>
            <color theme="1"/>
            <rFont val="Calibri"/>
            <family val="2"/>
            <charset val="1"/>
          </rPr>
          <t>نرخ تغییر نماینده = تعداد کرسی های شخص حقوقی ثابت با نماینده جدید ÷ تعداد کرسی های شخص حقوقی ثابت و قابل مقایسه.</t>
        </r>
      </text>
    </comment>
    <comment ref="O31" authorId="0" shapeId="0" xr:uid="{00000000-0006-0000-0E00-00008A000000}">
      <text>
        <r>
          <rPr>
            <sz val="11"/>
            <color theme="1"/>
            <rFont val="Calibri"/>
            <family val="2"/>
            <charset val="1"/>
          </rPr>
          <t>نرخ تغییر شخص حقوقی = تعداد کرسی های قابل مقایسه با شخص حقوقی جدید ÷ کل کرسی های قابل مقایسه.</t>
        </r>
      </text>
    </comment>
    <comment ref="R31" authorId="0" shapeId="0" xr:uid="{00000000-0006-0000-0E00-00008B000000}">
      <text>
        <r>
          <rPr>
            <sz val="11"/>
            <color theme="1"/>
            <rFont val="Calibri"/>
            <family val="2"/>
            <charset val="1"/>
          </rPr>
          <t>سهم اعضای جدید = افراد فعال ۱۴۰۴ که در ۱۴۰۳ حضور نداشتند ÷ افراد فعال ۱۴۰۴.</t>
        </r>
      </text>
    </comment>
    <comment ref="U31" authorId="0" shapeId="0" xr:uid="{00000000-0006-0000-0E00-00008C000000}">
      <text>
        <r>
          <rPr>
            <sz val="11"/>
            <color theme="1"/>
            <rFont val="Calibri"/>
            <family val="2"/>
            <charset val="1"/>
          </rPr>
          <t>نرخ ثبات = کرسی های دارای شخص حقیقی ثابت ÷ کرسی های شخص حقیقی قابل مقایسه.</t>
        </r>
      </text>
    </comment>
    <comment ref="I32" authorId="0" shapeId="0" xr:uid="{00000000-0006-0000-0E00-00008D000000}">
      <text>
        <r>
          <rPr>
            <sz val="11"/>
            <color theme="1"/>
            <rFont val="Calibri"/>
            <family val="2"/>
            <charset val="1"/>
          </rPr>
          <t>نرخ گردش فردی = صورت گردش فردی ÷ مخرج گردش فردی. فقط کرسی های قابل مقایسه وارد مخرج می شوند.</t>
        </r>
      </text>
    </comment>
    <comment ref="L32" authorId="0" shapeId="0" xr:uid="{00000000-0006-0000-0E00-00008E000000}">
      <text>
        <r>
          <rPr>
            <sz val="11"/>
            <color theme="1"/>
            <rFont val="Calibri"/>
            <family val="2"/>
            <charset val="1"/>
          </rPr>
          <t>نرخ تغییر نماینده = تعداد کرسی های شخص حقوقی ثابت با نماینده جدید ÷ تعداد کرسی های شخص حقوقی ثابت و قابل مقایسه.</t>
        </r>
      </text>
    </comment>
    <comment ref="O32" authorId="0" shapeId="0" xr:uid="{00000000-0006-0000-0E00-00008F000000}">
      <text>
        <r>
          <rPr>
            <sz val="11"/>
            <color theme="1"/>
            <rFont val="Calibri"/>
            <family val="2"/>
            <charset val="1"/>
          </rPr>
          <t>نرخ تغییر شخص حقوقی = تعداد کرسی های قابل مقایسه با شخص حقوقی جدید ÷ کل کرسی های قابل مقایسه.</t>
        </r>
      </text>
    </comment>
    <comment ref="R32" authorId="0" shapeId="0" xr:uid="{00000000-0006-0000-0E00-000090000000}">
      <text>
        <r>
          <rPr>
            <sz val="11"/>
            <color theme="1"/>
            <rFont val="Calibri"/>
            <family val="2"/>
            <charset val="1"/>
          </rPr>
          <t>سهم اعضای جدید = افراد فعال ۱۴۰۴ که در ۱۴۰۳ حضور نداشتند ÷ افراد فعال ۱۴۰۴.</t>
        </r>
      </text>
    </comment>
    <comment ref="U32" authorId="0" shapeId="0" xr:uid="{00000000-0006-0000-0E00-000091000000}">
      <text>
        <r>
          <rPr>
            <sz val="11"/>
            <color theme="1"/>
            <rFont val="Calibri"/>
            <family val="2"/>
            <charset val="1"/>
          </rPr>
          <t>نرخ ثبات = کرسی های دارای شخص حقیقی ثابت ÷ کرسی های شخص حقیقی قابل مقایسه.</t>
        </r>
      </text>
    </comment>
    <comment ref="I33" authorId="0" shapeId="0" xr:uid="{00000000-0006-0000-0E00-000092000000}">
      <text>
        <r>
          <rPr>
            <sz val="11"/>
            <color theme="1"/>
            <rFont val="Calibri"/>
            <family val="2"/>
            <charset val="1"/>
          </rPr>
          <t>نرخ گردش فردی = صورت گردش فردی ÷ مخرج گردش فردی. فقط کرسی های قابل مقایسه وارد مخرج می شوند.</t>
        </r>
      </text>
    </comment>
    <comment ref="L33" authorId="0" shapeId="0" xr:uid="{00000000-0006-0000-0E00-000093000000}">
      <text>
        <r>
          <rPr>
            <sz val="11"/>
            <color theme="1"/>
            <rFont val="Calibri"/>
            <family val="2"/>
            <charset val="1"/>
          </rPr>
          <t>نرخ تغییر نماینده = تعداد کرسی های شخص حقوقی ثابت با نماینده جدید ÷ تعداد کرسی های شخص حقوقی ثابت و قابل مقایسه.</t>
        </r>
      </text>
    </comment>
    <comment ref="O33" authorId="0" shapeId="0" xr:uid="{00000000-0006-0000-0E00-000094000000}">
      <text>
        <r>
          <rPr>
            <sz val="11"/>
            <color theme="1"/>
            <rFont val="Calibri"/>
            <family val="2"/>
            <charset val="1"/>
          </rPr>
          <t>نرخ تغییر شخص حقوقی = تعداد کرسی های قابل مقایسه با شخص حقوقی جدید ÷ کل کرسی های قابل مقایسه.</t>
        </r>
      </text>
    </comment>
    <comment ref="R33" authorId="0" shapeId="0" xr:uid="{00000000-0006-0000-0E00-000095000000}">
      <text>
        <r>
          <rPr>
            <sz val="11"/>
            <color theme="1"/>
            <rFont val="Calibri"/>
            <family val="2"/>
            <charset val="1"/>
          </rPr>
          <t>سهم اعضای جدید = افراد فعال ۱۴۰۴ که در ۱۴۰۳ حضور نداشتند ÷ افراد فعال ۱۴۰۴.</t>
        </r>
      </text>
    </comment>
    <comment ref="U33" authorId="0" shapeId="0" xr:uid="{00000000-0006-0000-0E00-000096000000}">
      <text>
        <r>
          <rPr>
            <sz val="11"/>
            <color theme="1"/>
            <rFont val="Calibri"/>
            <family val="2"/>
            <charset val="1"/>
          </rPr>
          <t>نرخ ثبات = کرسی های دارای شخص حقیقی ثابت ÷ کرسی های شخص حقیقی قابل مقایسه.</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ممیزی پروژه</author>
  </authors>
  <commentList>
    <comment ref="A9" authorId="0" shapeId="0" xr:uid="{00000000-0006-0000-0F00-000001000000}">
      <text>
        <r>
          <rPr>
            <sz val="11"/>
            <color theme="1"/>
            <rFont val="Calibri"/>
            <family val="2"/>
            <charset val="1"/>
          </rPr>
          <t>v39
تفکیک CR1A از مخرج مختص گردش نمایندگان</t>
        </r>
      </text>
    </comment>
    <comment ref="B9" authorId="0" shapeId="0" xr:uid="{00000000-0006-0000-0F00-000002000000}">
      <text>
        <r>
          <rPr>
            <sz val="11"/>
            <color theme="1"/>
            <rFont val="Calibri"/>
            <family val="2"/>
            <charset val="1"/>
          </rPr>
          <t>v39
پوشش CR1A روی تمام ۳۰ شرکت؛ داده نامشخص یا متعارض صفر نیست</t>
        </r>
      </text>
    </comment>
    <comment ref="C9" authorId="0" shapeId="0" xr:uid="{00000000-0006-0000-0F00-000003000000}">
      <text>
        <r>
          <rPr>
            <sz val="11"/>
            <color theme="1"/>
            <rFont val="Calibri"/>
            <family val="2"/>
            <charset val="1"/>
          </rPr>
          <t>v39
پوشش CR1A روی تمام ۳۰ شرکت؛ داده نامشخص یا متعارض صفر نیست</t>
        </r>
      </text>
    </comment>
    <comment ref="E9" authorId="0" shapeId="0" xr:uid="{00000000-0006-0000-0F00-000004000000}">
      <text>
        <r>
          <rPr>
            <sz val="11"/>
            <color theme="1"/>
            <rFont val="Calibri"/>
            <family val="2"/>
            <charset val="1"/>
          </rPr>
          <t>v39
پوشش CR1A روی تمام ۳۰ شرکت؛ داده نامشخص یا متعارض صفر نیست</t>
        </r>
      </text>
    </comment>
    <comment ref="F9" authorId="0" shapeId="0" xr:uid="{00000000-0006-0000-0F00-000005000000}">
      <text>
        <r>
          <rPr>
            <sz val="11"/>
            <color theme="1"/>
            <rFont val="Calibri"/>
            <family val="2"/>
            <charset val="1"/>
          </rPr>
          <t>v39
پوشش CR1A روی تمام ۳۰ شرکت؛ داده نامشخص یا متعارض صفر نیست</t>
        </r>
      </text>
    </comment>
    <comment ref="K9" authorId="0" shapeId="0" xr:uid="{00000000-0006-0000-0F00-000006000000}">
      <text>
        <r>
          <rPr>
            <sz val="11"/>
            <color theme="1"/>
            <rFont val="Calibri"/>
            <family val="2"/>
            <charset val="1"/>
          </rPr>
          <t>v39
حذف ادعای قدیمی و ناسازگار پوشش ۳۰ از ۳۰ برای CR1A</t>
        </r>
      </text>
    </comment>
    <comment ref="L9" authorId="0" shapeId="0" xr:uid="{00000000-0006-0000-0F00-000007000000}">
      <text>
        <r>
          <rPr>
            <sz val="11"/>
            <color theme="1"/>
            <rFont val="Calibri"/>
            <family val="2"/>
            <charset val="1"/>
          </rPr>
          <t>v39
مخرج تغییر رئیس مستقل از قابلیت اعمال REF08 است</t>
        </r>
      </text>
    </comment>
    <comment ref="M9" authorId="0" shapeId="0" xr:uid="{00000000-0006-0000-0F00-000008000000}">
      <text>
        <r>
          <rPr>
            <sz val="11"/>
            <color theme="1"/>
            <rFont val="Calibri"/>
            <family val="2"/>
            <charset val="1"/>
          </rPr>
          <t>v39
ردیابی منبع محاسبه</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ممیزی پروژه</author>
  </authors>
  <commentList>
    <comment ref="G12" authorId="0" shapeId="0" xr:uid="{00000000-0006-0000-1300-000001000000}">
      <text>
        <r>
          <rPr>
            <sz val="11"/>
            <color theme="1"/>
            <rFont val="Calibri"/>
            <family val="2"/>
            <charset val="1"/>
          </rPr>
          <t>v39
پوشش مقطعی قدیمی نباید پوشش تغییر رئیس تفسیر شود</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ممیزی پروژه</author>
  </authors>
  <commentList>
    <comment ref="A4" authorId="0" shapeId="0" xr:uid="{00000000-0006-0000-1600-000001000000}">
      <text>
        <r>
          <rPr>
            <sz val="11"/>
            <color theme="1"/>
            <rFont val="Calibri"/>
            <family val="2"/>
            <charset val="1"/>
          </rPr>
          <t>v39
واژه تاییدشده نباید صرفا از وجود عدد نتیجه گرفته شود</t>
        </r>
      </text>
    </comment>
    <comment ref="B4" authorId="0" shapeId="0" xr:uid="{00000000-0006-0000-1600-000002000000}">
      <text>
        <r>
          <rPr>
            <sz val="11"/>
            <color theme="1"/>
            <rFont val="Calibri"/>
            <family val="2"/>
            <charset val="1"/>
          </rPr>
          <t>v39
وتجارت همچنان نیازمند بررسی سند خروج است</t>
        </r>
      </text>
    </comment>
    <comment ref="A12" authorId="0" shapeId="0" xr:uid="{00000000-0006-0000-1600-000003000000}">
      <text>
        <r>
          <rPr>
            <sz val="11"/>
            <color theme="1"/>
            <rFont val="Calibri"/>
            <family val="2"/>
            <charset val="1"/>
          </rPr>
          <t>v39
ثبت دامنه واقعی اجرای v39</t>
        </r>
      </text>
    </comment>
    <comment ref="B12" authorId="0" shapeId="0" xr:uid="{00000000-0006-0000-1600-000004000000}">
      <text>
        <r>
          <rPr>
            <sz val="11"/>
            <color theme="1"/>
            <rFont val="Calibri"/>
            <family val="2"/>
            <charset val="1"/>
          </rPr>
          <t>v39
ثبت دامنه واقعی اجرای v39</t>
        </r>
      </text>
    </comment>
    <comment ref="C12" authorId="0" shapeId="0" xr:uid="{00000000-0006-0000-1600-000005000000}">
      <text>
        <r>
          <rPr>
            <sz val="11"/>
            <color theme="1"/>
            <rFont val="Calibri"/>
            <family val="2"/>
            <charset val="1"/>
          </rPr>
          <t>v39
ثبت دامنه واقعی اجرای v39</t>
        </r>
      </text>
    </comment>
    <comment ref="D12" authorId="0" shapeId="0" xr:uid="{00000000-0006-0000-1600-000006000000}">
      <text>
        <r>
          <rPr>
            <sz val="11"/>
            <color theme="1"/>
            <rFont val="Calibri"/>
            <family val="2"/>
            <charset val="1"/>
          </rPr>
          <t>v39
ثبت دامنه واقعی اجرای v39</t>
        </r>
      </text>
    </comment>
    <comment ref="A13" authorId="0" shapeId="0" xr:uid="{00000000-0006-0000-1600-000007000000}">
      <text>
        <r>
          <rPr>
            <sz val="11"/>
            <color theme="1"/>
            <rFont val="Calibri"/>
            <family val="2"/>
            <charset val="1"/>
          </rPr>
          <t>v39
ثبت دامنه واقعی اجرای v39</t>
        </r>
      </text>
    </comment>
    <comment ref="B13" authorId="0" shapeId="0" xr:uid="{00000000-0006-0000-1600-000008000000}">
      <text>
        <r>
          <rPr>
            <sz val="11"/>
            <color theme="1"/>
            <rFont val="Calibri"/>
            <family val="2"/>
            <charset val="1"/>
          </rPr>
          <t>v39
ثبت دامنه واقعی اجرای v39</t>
        </r>
      </text>
    </comment>
    <comment ref="C13" authorId="0" shapeId="0" xr:uid="{00000000-0006-0000-1600-000009000000}">
      <text>
        <r>
          <rPr>
            <sz val="11"/>
            <color theme="1"/>
            <rFont val="Calibri"/>
            <family val="2"/>
            <charset val="1"/>
          </rPr>
          <t>v39
ثبت دامنه واقعی اجرای v39</t>
        </r>
      </text>
    </comment>
    <comment ref="D13" authorId="0" shapeId="0" xr:uid="{00000000-0006-0000-1600-00000A000000}">
      <text>
        <r>
          <rPr>
            <sz val="11"/>
            <color theme="1"/>
            <rFont val="Calibri"/>
            <family val="2"/>
            <charset val="1"/>
          </rPr>
          <t>v39
ثبت دامنه واقعی اجرای v39</t>
        </r>
      </text>
    </comment>
    <comment ref="A14" authorId="0" shapeId="0" xr:uid="{00000000-0006-0000-1600-00000B000000}">
      <text>
        <r>
          <rPr>
            <sz val="11"/>
            <color theme="1"/>
            <rFont val="Calibri"/>
            <family val="2"/>
            <charset val="1"/>
          </rPr>
          <t>v39
ثبت دامنه واقعی اجرای v39</t>
        </r>
      </text>
    </comment>
    <comment ref="B14" authorId="0" shapeId="0" xr:uid="{00000000-0006-0000-1600-00000C000000}">
      <text>
        <r>
          <rPr>
            <sz val="11"/>
            <color theme="1"/>
            <rFont val="Calibri"/>
            <family val="2"/>
            <charset val="1"/>
          </rPr>
          <t>v39
ثبت دامنه واقعی اجرای v39</t>
        </r>
      </text>
    </comment>
    <comment ref="C14" authorId="0" shapeId="0" xr:uid="{00000000-0006-0000-1600-00000D000000}">
      <text>
        <r>
          <rPr>
            <sz val="11"/>
            <color theme="1"/>
            <rFont val="Calibri"/>
            <family val="2"/>
            <charset val="1"/>
          </rPr>
          <t>v39
ثبت دامنه واقعی اجرای v39</t>
        </r>
      </text>
    </comment>
    <comment ref="D14" authorId="0" shapeId="0" xr:uid="{00000000-0006-0000-1600-00000E000000}">
      <text>
        <r>
          <rPr>
            <sz val="11"/>
            <color theme="1"/>
            <rFont val="Calibri"/>
            <family val="2"/>
            <charset val="1"/>
          </rPr>
          <t>v39
ثبت دامنه واقعی اجرای v39</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ممیزی پروژه</author>
  </authors>
  <commentList>
    <comment ref="B5" authorId="0" shapeId="0" xr:uid="{00000000-0006-0000-1800-000001000000}">
      <text>
        <r>
          <rPr>
            <sz val="11"/>
            <color theme="1"/>
            <rFont val="Calibri"/>
            <family val="2"/>
            <charset val="1"/>
          </rPr>
          <t>v39
بازنویسی کنترل یکتایی با COUNTIF تجمعی و SUM؛ بدون فرمول آرایه ای و با همان نتیجه ۳۰ شرکت</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ممیزی پروژه</author>
  </authors>
  <commentList>
    <comment ref="D8" authorId="0" shapeId="0" xr:uid="{00000000-0006-0000-1B00-000001000000}">
      <text>
        <r>
          <rPr>
            <sz val="11"/>
            <color theme="1"/>
            <rFont val="Calibri"/>
            <family val="2"/>
            <charset val="1"/>
          </rPr>
          <t>v39
رفع عدم همگامی CR1A؛ حفظ محدودیت شواهد و کنترل جهت کیفیت</t>
        </r>
      </text>
    </comment>
    <comment ref="G8" authorId="0" shapeId="0" xr:uid="{00000000-0006-0000-1B00-000002000000}">
      <text>
        <r>
          <rPr>
            <sz val="11"/>
            <color theme="1"/>
            <rFont val="Calibri"/>
            <family val="2"/>
            <charset val="1"/>
          </rPr>
          <t>v39
رفع عدم همگامی CR1A؛ حفظ محدودیت شواهد و کنترل جهت کیفیت</t>
        </r>
      </text>
    </comment>
    <comment ref="H8" authorId="0" shapeId="0" xr:uid="{00000000-0006-0000-1B00-000003000000}">
      <text>
        <r>
          <rPr>
            <sz val="11"/>
            <color theme="1"/>
            <rFont val="Calibri"/>
            <family val="2"/>
            <charset val="1"/>
          </rPr>
          <t>v39
رفع عدم همگامی CR1A؛ حفظ محدودیت شواهد و کنترل جهت کیفیت</t>
        </r>
      </text>
    </comment>
    <comment ref="I8" authorId="0" shapeId="0" xr:uid="{00000000-0006-0000-1B00-000004000000}">
      <text>
        <r>
          <rPr>
            <sz val="11"/>
            <color theme="1"/>
            <rFont val="Calibri"/>
            <family val="2"/>
            <charset val="1"/>
          </rPr>
          <t>v39
رفع عدم همگامی CR1A؛ حفظ محدودیت شواهد و کنترل جهت کیفیت</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ممیزی پروژه</author>
  </authors>
  <commentList>
    <comment ref="H10" authorId="0" shapeId="0" xr:uid="{00000000-0006-0000-1C00-000001000000}">
      <text>
        <r>
          <rPr>
            <sz val="11"/>
            <color theme="1"/>
            <rFont val="Calibri"/>
            <family val="2"/>
            <charset val="1"/>
          </rPr>
          <t>v39
رفع عدم همگامی CR1A؛ حفظ محدودیت شواهد و کنترل جهت کیفیت</t>
        </r>
      </text>
    </comment>
    <comment ref="I10" authorId="0" shapeId="0" xr:uid="{00000000-0006-0000-1C00-000002000000}">
      <text>
        <r>
          <rPr>
            <sz val="11"/>
            <color theme="1"/>
            <rFont val="Calibri"/>
            <family val="2"/>
            <charset val="1"/>
          </rPr>
          <t>v39
رفع عدم همگامی CR1A؛ حفظ محدودیت شواهد و کنترل جهت کیفیت</t>
        </r>
      </text>
    </comment>
    <comment ref="J10" authorId="0" shapeId="0" xr:uid="{00000000-0006-0000-1C00-000003000000}">
      <text>
        <r>
          <rPr>
            <sz val="11"/>
            <color theme="1"/>
            <rFont val="Calibri"/>
            <family val="2"/>
            <charset val="1"/>
          </rPr>
          <t>v39
رفع عدم همگامی CR1A؛ حفظ محدودیت شواهد و کنترل جهت کیفیت</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ممیزی پروژه</author>
  </authors>
  <commentList>
    <comment ref="B10" authorId="0" shapeId="0" xr:uid="{00000000-0006-0000-1F00-000001000000}">
      <text>
        <r>
          <rPr>
            <sz val="11"/>
            <color theme="1"/>
            <rFont val="Calibri"/>
            <family val="2"/>
            <charset val="1"/>
          </rPr>
          <t>v39
دلایل نبود داده CR1A از ممیزی ردیفی v39؛ صفر واقعی جدا</t>
        </r>
      </text>
    </comment>
    <comment ref="D10" authorId="0" shapeId="0" xr:uid="{00000000-0006-0000-1F00-000002000000}">
      <text>
        <r>
          <rPr>
            <sz val="11"/>
            <color theme="1"/>
            <rFont val="Calibri"/>
            <family val="2"/>
            <charset val="1"/>
          </rPr>
          <t>v39
دلایل نبود داده CR1A از ممیزی ردیفی v39؛ صفر واقعی جدا</t>
        </r>
      </text>
    </comment>
    <comment ref="F10" authorId="0" shapeId="0" xr:uid="{00000000-0006-0000-1F00-000003000000}">
      <text>
        <r>
          <rPr>
            <sz val="11"/>
            <color theme="1"/>
            <rFont val="Calibri"/>
            <family val="2"/>
            <charset val="1"/>
          </rPr>
          <t>v39
دلایل نبود داده CR1A از ممیزی ردیفی v39؛ صفر واقعی جدا</t>
        </r>
      </text>
    </comment>
    <comment ref="G10" authorId="0" shapeId="0" xr:uid="{00000000-0006-0000-1F00-000004000000}">
      <text>
        <r>
          <rPr>
            <sz val="11"/>
            <color theme="1"/>
            <rFont val="Calibri"/>
            <family val="2"/>
            <charset val="1"/>
          </rPr>
          <t>v39
دلایل نبود داده CR1A از ممیزی ردیفی v39؛ صفر واقعی جدا</t>
        </r>
      </text>
    </comment>
    <comment ref="I10" authorId="0" shapeId="0" xr:uid="{00000000-0006-0000-1F00-000005000000}">
      <text>
        <r>
          <rPr>
            <sz val="11"/>
            <color theme="1"/>
            <rFont val="Calibri"/>
            <family val="2"/>
            <charset val="1"/>
          </rPr>
          <t>v39
دلایل نبود داده CR1A از ممیزی ردیفی v39؛ صفر واقعی جدا</t>
        </r>
      </text>
    </comment>
    <comment ref="K10" authorId="0" shapeId="0" xr:uid="{00000000-0006-0000-1F00-000006000000}">
      <text>
        <r>
          <rPr>
            <sz val="11"/>
            <color theme="1"/>
            <rFont val="Calibri"/>
            <family val="2"/>
            <charset val="1"/>
          </rPr>
          <t>v39
شفاف سازی طبقات بدون تبدیل فقدان به صفر</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ممیزی پروژه</author>
  </authors>
  <commentList>
    <comment ref="A2" authorId="0" shapeId="0" xr:uid="{00000000-0006-0000-2000-000001000000}">
      <text>
        <r>
          <rPr>
            <sz val="11"/>
            <color theme="1"/>
            <rFont val="Calibri"/>
            <family val="2"/>
            <charset val="1"/>
          </rPr>
          <t>v39
تفکیک ممیزی تاریخی از اصلاح فعلی و نمایش علت فقدان محاسبه</t>
        </r>
      </text>
    </comment>
    <comment ref="M3" authorId="0" shapeId="0" xr:uid="{00000000-0006-0000-2000-000002000000}">
      <text>
        <r>
          <rPr>
            <sz val="11"/>
            <color theme="1"/>
            <rFont val="Calibri"/>
            <family val="2"/>
            <charset val="1"/>
          </rPr>
          <t>v39
افزودن پرچم صریح برای اعداد تاریخی بازیابی نشده</t>
        </r>
      </text>
    </comment>
    <comment ref="D4" authorId="0" shapeId="0" xr:uid="{00000000-0006-0000-2000-000003000000}">
      <text>
        <r>
          <rPr>
            <sz val="11"/>
            <color theme="1"/>
            <rFont val="Calibri"/>
            <family val="2"/>
            <charset val="1"/>
          </rPr>
          <t>v39
در v38 ستون B برخلاف سرستون دارای عنوان متنی است؛ تا بازیابی عدد تاریخی، محاسبه نامعتبر خالی و علامت گذاری می شود. عدد حدسی جایگزین نشد.</t>
        </r>
      </text>
    </comment>
    <comment ref="E4" authorId="0" shapeId="0" xr:uid="{00000000-0006-0000-2000-000004000000}">
      <text>
        <r>
          <rPr>
            <sz val="11"/>
            <color theme="1"/>
            <rFont val="Calibri"/>
            <family val="2"/>
            <charset val="1"/>
          </rPr>
          <t>v39
در v38 ستون B برخلاف سرستون دارای عنوان متنی است؛ تا بازیابی عدد تاریخی، محاسبه نامعتبر خالی و علامت گذاری می شود. عدد حدسی جایگزین نشد.</t>
        </r>
      </text>
    </comment>
    <comment ref="J4" authorId="0" shapeId="0" xr:uid="{00000000-0006-0000-2000-000005000000}">
      <text>
        <r>
          <rPr>
            <sz val="11"/>
            <color theme="1"/>
            <rFont val="Calibri"/>
            <family val="2"/>
            <charset val="1"/>
          </rPr>
          <t>v39
در v38 ستون B برخلاف سرستون دارای عنوان متنی است؛ تا بازیابی عدد تاریخی، محاسبه نامعتبر خالی و علامت گذاری می شود. عدد حدسی جایگزین نشد.</t>
        </r>
      </text>
    </comment>
    <comment ref="M4" authorId="0" shapeId="0" xr:uid="{00000000-0006-0000-2000-000006000000}">
      <text>
        <r>
          <rPr>
            <sz val="11"/>
            <color theme="1"/>
            <rFont val="Calibri"/>
            <family val="2"/>
            <charset val="1"/>
          </rPr>
          <t>v39
خطای طرح داده ورودی گزارش شد؛ فرمول های محافظت شده جایگزین خطای VALUE شدند.</t>
        </r>
      </text>
    </comment>
    <comment ref="D5" authorId="0" shapeId="0" xr:uid="{00000000-0006-0000-2000-000007000000}">
      <text>
        <r>
          <rPr>
            <sz val="11"/>
            <color theme="1"/>
            <rFont val="Calibri"/>
            <family val="2"/>
            <charset val="1"/>
          </rPr>
          <t>v39
در v38 ستون B برخلاف سرستون دارای عنوان متنی است؛ تا بازیابی عدد تاریخی، محاسبه نامعتبر خالی و علامت گذاری می شود. عدد حدسی جایگزین نشد.</t>
        </r>
      </text>
    </comment>
    <comment ref="E5" authorId="0" shapeId="0" xr:uid="{00000000-0006-0000-2000-000008000000}">
      <text>
        <r>
          <rPr>
            <sz val="11"/>
            <color theme="1"/>
            <rFont val="Calibri"/>
            <family val="2"/>
            <charset val="1"/>
          </rPr>
          <t>v39
در v38 ستون B برخلاف سرستون دارای عنوان متنی است؛ تا بازیابی عدد تاریخی، محاسبه نامعتبر خالی و علامت گذاری می شود. عدد حدسی جایگزین نشد.</t>
        </r>
      </text>
    </comment>
    <comment ref="J5" authorId="0" shapeId="0" xr:uid="{00000000-0006-0000-2000-000009000000}">
      <text>
        <r>
          <rPr>
            <sz val="11"/>
            <color theme="1"/>
            <rFont val="Calibri"/>
            <family val="2"/>
            <charset val="1"/>
          </rPr>
          <t>v39
در v38 ستون B برخلاف سرستون دارای عنوان متنی است؛ تا بازیابی عدد تاریخی، محاسبه نامعتبر خالی و علامت گذاری می شود. عدد حدسی جایگزین نشد.</t>
        </r>
      </text>
    </comment>
    <comment ref="M5" authorId="0" shapeId="0" xr:uid="{00000000-0006-0000-2000-00000A000000}">
      <text>
        <r>
          <rPr>
            <sz val="11"/>
            <color theme="1"/>
            <rFont val="Calibri"/>
            <family val="2"/>
            <charset val="1"/>
          </rPr>
          <t>v39
خطای طرح داده ورودی گزارش شد؛ فرمول های محافظت شده جایگزین خطای VALUE شدند.</t>
        </r>
      </text>
    </comment>
    <comment ref="D6" authorId="0" shapeId="0" xr:uid="{00000000-0006-0000-2000-00000B000000}">
      <text>
        <r>
          <rPr>
            <sz val="11"/>
            <color theme="1"/>
            <rFont val="Calibri"/>
            <family val="2"/>
            <charset val="1"/>
          </rPr>
          <t>v39
در v38 ستون B برخلاف سرستون دارای عنوان متنی است؛ تا بازیابی عدد تاریخی، محاسبه نامعتبر خالی و علامت گذاری می شود. عدد حدسی جایگزین نشد.</t>
        </r>
      </text>
    </comment>
    <comment ref="E6" authorId="0" shapeId="0" xr:uid="{00000000-0006-0000-2000-00000C000000}">
      <text>
        <r>
          <rPr>
            <sz val="11"/>
            <color theme="1"/>
            <rFont val="Calibri"/>
            <family val="2"/>
            <charset val="1"/>
          </rPr>
          <t>v39
در v38 ستون B برخلاف سرستون دارای عنوان متنی است؛ تا بازیابی عدد تاریخی، محاسبه نامعتبر خالی و علامت گذاری می شود. عدد حدسی جایگزین نشد.</t>
        </r>
      </text>
    </comment>
    <comment ref="J6" authorId="0" shapeId="0" xr:uid="{00000000-0006-0000-2000-00000D000000}">
      <text>
        <r>
          <rPr>
            <sz val="11"/>
            <color theme="1"/>
            <rFont val="Calibri"/>
            <family val="2"/>
            <charset val="1"/>
          </rPr>
          <t>v39
در v38 ستون B برخلاف سرستون دارای عنوان متنی است؛ تا بازیابی عدد تاریخی، محاسبه نامعتبر خالی و علامت گذاری می شود. عدد حدسی جایگزین نشد.</t>
        </r>
      </text>
    </comment>
    <comment ref="M6" authorId="0" shapeId="0" xr:uid="{00000000-0006-0000-2000-00000E000000}">
      <text>
        <r>
          <rPr>
            <sz val="11"/>
            <color theme="1"/>
            <rFont val="Calibri"/>
            <family val="2"/>
            <charset val="1"/>
          </rPr>
          <t>v39
خطای طرح داده ورودی گزارش شد؛ فرمول های محافظت شده جایگزین خطای VALUE شدند.</t>
        </r>
      </text>
    </comment>
    <comment ref="D7" authorId="0" shapeId="0" xr:uid="{00000000-0006-0000-2000-00000F000000}">
      <text>
        <r>
          <rPr>
            <sz val="11"/>
            <color theme="1"/>
            <rFont val="Calibri"/>
            <family val="2"/>
            <charset val="1"/>
          </rPr>
          <t>v39
در v38 ستون B برخلاف سرستون دارای عنوان متنی است؛ تا بازیابی عدد تاریخی، محاسبه نامعتبر خالی و علامت گذاری می شود. عدد حدسی جایگزین نشد.</t>
        </r>
      </text>
    </comment>
    <comment ref="E7" authorId="0" shapeId="0" xr:uid="{00000000-0006-0000-2000-000010000000}">
      <text>
        <r>
          <rPr>
            <sz val="11"/>
            <color theme="1"/>
            <rFont val="Calibri"/>
            <family val="2"/>
            <charset val="1"/>
          </rPr>
          <t>v39
در v38 ستون B برخلاف سرستون دارای عنوان متنی است؛ تا بازیابی عدد تاریخی، محاسبه نامعتبر خالی و علامت گذاری می شود. عدد حدسی جایگزین نشد.</t>
        </r>
      </text>
    </comment>
    <comment ref="J7" authorId="0" shapeId="0" xr:uid="{00000000-0006-0000-2000-000011000000}">
      <text>
        <r>
          <rPr>
            <sz val="11"/>
            <color theme="1"/>
            <rFont val="Calibri"/>
            <family val="2"/>
            <charset val="1"/>
          </rPr>
          <t>v39
در v38 ستون B برخلاف سرستون دارای عنوان متنی است؛ تا بازیابی عدد تاریخی، محاسبه نامعتبر خالی و علامت گذاری می شود. عدد حدسی جایگزین نشد.</t>
        </r>
      </text>
    </comment>
    <comment ref="M7" authorId="0" shapeId="0" xr:uid="{00000000-0006-0000-2000-000012000000}">
      <text>
        <r>
          <rPr>
            <sz val="11"/>
            <color theme="1"/>
            <rFont val="Calibri"/>
            <family val="2"/>
            <charset val="1"/>
          </rPr>
          <t>v39
خطای طرح داده ورودی گزارش شد؛ فرمول های محافظت شده جایگزین خطای VALUE شدند.</t>
        </r>
      </text>
    </comment>
    <comment ref="D8" authorId="0" shapeId="0" xr:uid="{00000000-0006-0000-2000-000013000000}">
      <text>
        <r>
          <rPr>
            <sz val="11"/>
            <color theme="1"/>
            <rFont val="Calibri"/>
            <family val="2"/>
            <charset val="1"/>
          </rPr>
          <t>v39
در v38 ستون B برخلاف سرستون دارای عنوان متنی است؛ تا بازیابی عدد تاریخی، محاسبه نامعتبر خالی و علامت گذاری می شود. عدد حدسی جایگزین نشد.</t>
        </r>
      </text>
    </comment>
    <comment ref="E8" authorId="0" shapeId="0" xr:uid="{00000000-0006-0000-2000-000014000000}">
      <text>
        <r>
          <rPr>
            <sz val="11"/>
            <color theme="1"/>
            <rFont val="Calibri"/>
            <family val="2"/>
            <charset val="1"/>
          </rPr>
          <t>v39
در v38 ستون B برخلاف سرستون دارای عنوان متنی است؛ تا بازیابی عدد تاریخی، محاسبه نامعتبر خالی و علامت گذاری می شود. عدد حدسی جایگزین نشد.</t>
        </r>
      </text>
    </comment>
    <comment ref="F8" authorId="0" shapeId="0" xr:uid="{00000000-0006-0000-2000-000015000000}">
      <text>
        <r>
          <rPr>
            <sz val="11"/>
            <color theme="1"/>
            <rFont val="Calibri"/>
            <family val="2"/>
            <charset val="1"/>
          </rPr>
          <t>v39
همگام سازی CR1A با پوشش محافظه کارانه؛ فرمول مرجع واحد</t>
        </r>
      </text>
    </comment>
    <comment ref="G8" authorId="0" shapeId="0" xr:uid="{00000000-0006-0000-2000-000016000000}">
      <text>
        <r>
          <rPr>
            <sz val="11"/>
            <color theme="1"/>
            <rFont val="Calibri"/>
            <family val="2"/>
            <charset val="1"/>
          </rPr>
          <t>v39
همگام سازی CR1A با پوشش محافظه کارانه؛ فرمول مرجع واحد</t>
        </r>
      </text>
    </comment>
    <comment ref="J8" authorId="0" shapeId="0" xr:uid="{00000000-0006-0000-2000-000017000000}">
      <text>
        <r>
          <rPr>
            <sz val="11"/>
            <color theme="1"/>
            <rFont val="Calibri"/>
            <family val="2"/>
            <charset val="1"/>
          </rPr>
          <t>v39
در v38 ستون B برخلاف سرستون دارای عنوان متنی است؛ تا بازیابی عدد تاریخی، محاسبه نامعتبر خالی و علامت گذاری می شود. عدد حدسی جایگزین نشد.</t>
        </r>
      </text>
    </comment>
    <comment ref="L8" authorId="0" shapeId="0" xr:uid="{00000000-0006-0000-2000-000018000000}">
      <text>
        <r>
          <rPr>
            <sz val="11"/>
            <color theme="1"/>
            <rFont val="Calibri"/>
            <family val="2"/>
            <charset val="1"/>
          </rPr>
          <t>v39
رفع عدم همگامی CR1A؛ حفظ محدودیت شواهد و کنترل جهت کیفیت</t>
        </r>
      </text>
    </comment>
    <comment ref="M8" authorId="0" shapeId="0" xr:uid="{00000000-0006-0000-2000-000019000000}">
      <text>
        <r>
          <rPr>
            <sz val="11"/>
            <color theme="1"/>
            <rFont val="Calibri"/>
            <family val="2"/>
            <charset val="1"/>
          </rPr>
          <t>v39
خطای طرح داده ورودی گزارش شد؛ فرمول های محافظت شده جایگزین خطای VALUE شدند.</t>
        </r>
      </text>
    </comment>
    <comment ref="D9" authorId="0" shapeId="0" xr:uid="{00000000-0006-0000-2000-00001A000000}">
      <text>
        <r>
          <rPr>
            <sz val="11"/>
            <color theme="1"/>
            <rFont val="Calibri"/>
            <family val="2"/>
            <charset val="1"/>
          </rPr>
          <t>v39
در v38 ستون B برخلاف سرستون دارای عنوان متنی است؛ تا بازیابی عدد تاریخی، محاسبه نامعتبر خالی و علامت گذاری می شود. عدد حدسی جایگزین نشد.</t>
        </r>
      </text>
    </comment>
    <comment ref="E9" authorId="0" shapeId="0" xr:uid="{00000000-0006-0000-2000-00001B000000}">
      <text>
        <r>
          <rPr>
            <sz val="11"/>
            <color theme="1"/>
            <rFont val="Calibri"/>
            <family val="2"/>
            <charset val="1"/>
          </rPr>
          <t>v39
در v38 ستون B برخلاف سرستون دارای عنوان متنی است؛ تا بازیابی عدد تاریخی، محاسبه نامعتبر خالی و علامت گذاری می شود. عدد حدسی جایگزین نشد.</t>
        </r>
      </text>
    </comment>
    <comment ref="J9" authorId="0" shapeId="0" xr:uid="{00000000-0006-0000-2000-00001C000000}">
      <text>
        <r>
          <rPr>
            <sz val="11"/>
            <color theme="1"/>
            <rFont val="Calibri"/>
            <family val="2"/>
            <charset val="1"/>
          </rPr>
          <t>v39
در v38 ستون B برخلاف سرستون دارای عنوان متنی است؛ تا بازیابی عدد تاریخی، محاسبه نامعتبر خالی و علامت گذاری می شود. عدد حدسی جایگزین نشد.</t>
        </r>
      </text>
    </comment>
    <comment ref="M9" authorId="0" shapeId="0" xr:uid="{00000000-0006-0000-2000-00001D000000}">
      <text>
        <r>
          <rPr>
            <sz val="11"/>
            <color theme="1"/>
            <rFont val="Calibri"/>
            <family val="2"/>
            <charset val="1"/>
          </rPr>
          <t>v39
خطای طرح داده ورودی گزارش شد؛ فرمول های محافظت شده جایگزین خطای VALUE شدند.</t>
        </r>
      </text>
    </comment>
    <comment ref="D10" authorId="0" shapeId="0" xr:uid="{00000000-0006-0000-2000-00001E000000}">
      <text>
        <r>
          <rPr>
            <sz val="11"/>
            <color theme="1"/>
            <rFont val="Calibri"/>
            <family val="2"/>
            <charset val="1"/>
          </rPr>
          <t>v39
در v38 ستون B برخلاف سرستون دارای عنوان متنی است؛ تا بازیابی عدد تاریخی، محاسبه نامعتبر خالی و علامت گذاری می شود. عدد حدسی جایگزین نشد.</t>
        </r>
      </text>
    </comment>
    <comment ref="E10" authorId="0" shapeId="0" xr:uid="{00000000-0006-0000-2000-00001F000000}">
      <text>
        <r>
          <rPr>
            <sz val="11"/>
            <color theme="1"/>
            <rFont val="Calibri"/>
            <family val="2"/>
            <charset val="1"/>
          </rPr>
          <t>v39
در v38 ستون B برخلاف سرستون دارای عنوان متنی است؛ تا بازیابی عدد تاریخی، محاسبه نامعتبر خالی و علامت گذاری می شود. عدد حدسی جایگزین نشد.</t>
        </r>
      </text>
    </comment>
    <comment ref="J10" authorId="0" shapeId="0" xr:uid="{00000000-0006-0000-2000-000020000000}">
      <text>
        <r>
          <rPr>
            <sz val="11"/>
            <color theme="1"/>
            <rFont val="Calibri"/>
            <family val="2"/>
            <charset val="1"/>
          </rPr>
          <t>v39
در v38 ستون B برخلاف سرستون دارای عنوان متنی است؛ تا بازیابی عدد تاریخی، محاسبه نامعتبر خالی و علامت گذاری می شود. عدد حدسی جایگزین نشد.</t>
        </r>
      </text>
    </comment>
    <comment ref="M10" authorId="0" shapeId="0" xr:uid="{00000000-0006-0000-2000-000021000000}">
      <text>
        <r>
          <rPr>
            <sz val="11"/>
            <color theme="1"/>
            <rFont val="Calibri"/>
            <family val="2"/>
            <charset val="1"/>
          </rPr>
          <t>v39
خطای طرح داده ورودی گزارش شد؛ فرمول های محافظت شده جایگزین خطای VALUE شدند.</t>
        </r>
      </text>
    </comment>
    <comment ref="D11" authorId="0" shapeId="0" xr:uid="{00000000-0006-0000-2000-000022000000}">
      <text>
        <r>
          <rPr>
            <sz val="11"/>
            <color theme="1"/>
            <rFont val="Calibri"/>
            <family val="2"/>
            <charset val="1"/>
          </rPr>
          <t>v39
در v38 ستون B برخلاف سرستون دارای عنوان متنی است؛ تا بازیابی عدد تاریخی، محاسبه نامعتبر خالی و علامت گذاری می شود. عدد حدسی جایگزین نشد.</t>
        </r>
      </text>
    </comment>
    <comment ref="E11" authorId="0" shapeId="0" xr:uid="{00000000-0006-0000-2000-000023000000}">
      <text>
        <r>
          <rPr>
            <sz val="11"/>
            <color theme="1"/>
            <rFont val="Calibri"/>
            <family val="2"/>
            <charset val="1"/>
          </rPr>
          <t>v39
در v38 ستون B برخلاف سرستون دارای عنوان متنی است؛ تا بازیابی عدد تاریخی، محاسبه نامعتبر خالی و علامت گذاری می شود. عدد حدسی جایگزین نشد.</t>
        </r>
      </text>
    </comment>
    <comment ref="J11" authorId="0" shapeId="0" xr:uid="{00000000-0006-0000-2000-000024000000}">
      <text>
        <r>
          <rPr>
            <sz val="11"/>
            <color theme="1"/>
            <rFont val="Calibri"/>
            <family val="2"/>
            <charset val="1"/>
          </rPr>
          <t>v39
در v38 ستون B برخلاف سرستون دارای عنوان متنی است؛ تا بازیابی عدد تاریخی، محاسبه نامعتبر خالی و علامت گذاری می شود. عدد حدسی جایگزین نشد.</t>
        </r>
      </text>
    </comment>
    <comment ref="M11" authorId="0" shapeId="0" xr:uid="{00000000-0006-0000-2000-000025000000}">
      <text>
        <r>
          <rPr>
            <sz val="11"/>
            <color theme="1"/>
            <rFont val="Calibri"/>
            <family val="2"/>
            <charset val="1"/>
          </rPr>
          <t>v39
خطای طرح داده ورودی گزارش شد؛ فرمول های محافظت شده جایگزین خطای VALUE شدند.</t>
        </r>
      </text>
    </comment>
    <comment ref="D12" authorId="0" shapeId="0" xr:uid="{00000000-0006-0000-2000-000026000000}">
      <text>
        <r>
          <rPr>
            <sz val="11"/>
            <color theme="1"/>
            <rFont val="Calibri"/>
            <family val="2"/>
            <charset val="1"/>
          </rPr>
          <t>v39
در v38 ستون B برخلاف سرستون دارای عنوان متنی است؛ تا بازیابی عدد تاریخی، محاسبه نامعتبر خالی و علامت گذاری می شود. عدد حدسی جایگزین نشد.</t>
        </r>
      </text>
    </comment>
    <comment ref="E12" authorId="0" shapeId="0" xr:uid="{00000000-0006-0000-2000-000027000000}">
      <text>
        <r>
          <rPr>
            <sz val="11"/>
            <color theme="1"/>
            <rFont val="Calibri"/>
            <family val="2"/>
            <charset val="1"/>
          </rPr>
          <t>v39
در v38 ستون B برخلاف سرستون دارای عنوان متنی است؛ تا بازیابی عدد تاریخی، محاسبه نامعتبر خالی و علامت گذاری می شود. عدد حدسی جایگزین نشد.</t>
        </r>
      </text>
    </comment>
    <comment ref="J12" authorId="0" shapeId="0" xr:uid="{00000000-0006-0000-2000-000028000000}">
      <text>
        <r>
          <rPr>
            <sz val="11"/>
            <color theme="1"/>
            <rFont val="Calibri"/>
            <family val="2"/>
            <charset val="1"/>
          </rPr>
          <t>v39
در v38 ستون B برخلاف سرستون دارای عنوان متنی است؛ تا بازیابی عدد تاریخی، محاسبه نامعتبر خالی و علامت گذاری می شود. عدد حدسی جایگزین نشد.</t>
        </r>
      </text>
    </comment>
    <comment ref="M12" authorId="0" shapeId="0" xr:uid="{00000000-0006-0000-2000-000029000000}">
      <text>
        <r>
          <rPr>
            <sz val="11"/>
            <color theme="1"/>
            <rFont val="Calibri"/>
            <family val="2"/>
            <charset val="1"/>
          </rPr>
          <t>v39
خطای طرح داده ورودی گزارش شد؛ فرمول های محافظت شده جایگزین خطای VALUE شدند.</t>
        </r>
      </text>
    </comment>
    <comment ref="D13" authorId="0" shapeId="0" xr:uid="{00000000-0006-0000-2000-00002A000000}">
      <text>
        <r>
          <rPr>
            <sz val="11"/>
            <color theme="1"/>
            <rFont val="Calibri"/>
            <family val="2"/>
            <charset val="1"/>
          </rPr>
          <t>v39
در v38 ستون B برخلاف سرستون دارای عنوان متنی است؛ تا بازیابی عدد تاریخی، محاسبه نامعتبر خالی و علامت گذاری می شود. عدد حدسی جایگزین نشد.</t>
        </r>
      </text>
    </comment>
    <comment ref="E13" authorId="0" shapeId="0" xr:uid="{00000000-0006-0000-2000-00002B000000}">
      <text>
        <r>
          <rPr>
            <sz val="11"/>
            <color theme="1"/>
            <rFont val="Calibri"/>
            <family val="2"/>
            <charset val="1"/>
          </rPr>
          <t>v39
در v38 ستون B برخلاف سرستون دارای عنوان متنی است؛ تا بازیابی عدد تاریخی، محاسبه نامعتبر خالی و علامت گذاری می شود. عدد حدسی جایگزین نشد.</t>
        </r>
      </text>
    </comment>
    <comment ref="J13" authorId="0" shapeId="0" xr:uid="{00000000-0006-0000-2000-00002C000000}">
      <text>
        <r>
          <rPr>
            <sz val="11"/>
            <color theme="1"/>
            <rFont val="Calibri"/>
            <family val="2"/>
            <charset val="1"/>
          </rPr>
          <t>v39
در v38 ستون B برخلاف سرستون دارای عنوان متنی است؛ تا بازیابی عدد تاریخی، محاسبه نامعتبر خالی و علامت گذاری می شود. عدد حدسی جایگزین نشد.</t>
        </r>
      </text>
    </comment>
    <comment ref="M13" authorId="0" shapeId="0" xr:uid="{00000000-0006-0000-2000-00002D000000}">
      <text>
        <r>
          <rPr>
            <sz val="11"/>
            <color theme="1"/>
            <rFont val="Calibri"/>
            <family val="2"/>
            <charset val="1"/>
          </rPr>
          <t>v39
خطای طرح داده ورودی گزارش شد؛ فرمول های محافظت شده جایگزین خطای VALUE شدند.</t>
        </r>
      </text>
    </comment>
    <comment ref="D14" authorId="0" shapeId="0" xr:uid="{00000000-0006-0000-2000-00002E000000}">
      <text>
        <r>
          <rPr>
            <sz val="11"/>
            <color theme="1"/>
            <rFont val="Calibri"/>
            <family val="2"/>
            <charset val="1"/>
          </rPr>
          <t>v39
در v38 ستون B برخلاف سرستون دارای عنوان متنی است؛ تا بازیابی عدد تاریخی، محاسبه نامعتبر خالی و علامت گذاری می شود. عدد حدسی جایگزین نشد.</t>
        </r>
      </text>
    </comment>
    <comment ref="E14" authorId="0" shapeId="0" xr:uid="{00000000-0006-0000-2000-00002F000000}">
      <text>
        <r>
          <rPr>
            <sz val="11"/>
            <color theme="1"/>
            <rFont val="Calibri"/>
            <family val="2"/>
            <charset val="1"/>
          </rPr>
          <t>v39
در v38 ستون B برخلاف سرستون دارای عنوان متنی است؛ تا بازیابی عدد تاریخی، محاسبه نامعتبر خالی و علامت گذاری می شود. عدد حدسی جایگزین نشد.</t>
        </r>
      </text>
    </comment>
    <comment ref="J14" authorId="0" shapeId="0" xr:uid="{00000000-0006-0000-2000-000030000000}">
      <text>
        <r>
          <rPr>
            <sz val="11"/>
            <color theme="1"/>
            <rFont val="Calibri"/>
            <family val="2"/>
            <charset val="1"/>
          </rPr>
          <t>v39
در v38 ستون B برخلاف سرستون دارای عنوان متنی است؛ تا بازیابی عدد تاریخی، محاسبه نامعتبر خالی و علامت گذاری می شود. عدد حدسی جایگزین نشد.</t>
        </r>
      </text>
    </comment>
    <comment ref="M14" authorId="0" shapeId="0" xr:uid="{00000000-0006-0000-2000-000031000000}">
      <text>
        <r>
          <rPr>
            <sz val="11"/>
            <color theme="1"/>
            <rFont val="Calibri"/>
            <family val="2"/>
            <charset val="1"/>
          </rPr>
          <t>v39
خطای طرح داده ورودی گزارش شد؛ فرمول های محافظت شده جایگزین خطای VALUE شدند.</t>
        </r>
      </text>
    </comment>
    <comment ref="D15" authorId="0" shapeId="0" xr:uid="{00000000-0006-0000-2000-000032000000}">
      <text>
        <r>
          <rPr>
            <sz val="11"/>
            <color theme="1"/>
            <rFont val="Calibri"/>
            <family val="2"/>
            <charset val="1"/>
          </rPr>
          <t>v39
در v38 ستون B برخلاف سرستون دارای عنوان متنی است؛ تا بازیابی عدد تاریخی، محاسبه نامعتبر خالی و علامت گذاری می شود. عدد حدسی جایگزین نشد.</t>
        </r>
      </text>
    </comment>
    <comment ref="E15" authorId="0" shapeId="0" xr:uid="{00000000-0006-0000-2000-000033000000}">
      <text>
        <r>
          <rPr>
            <sz val="11"/>
            <color theme="1"/>
            <rFont val="Calibri"/>
            <family val="2"/>
            <charset val="1"/>
          </rPr>
          <t>v39
در v38 ستون B برخلاف سرستون دارای عنوان متنی است؛ تا بازیابی عدد تاریخی، محاسبه نامعتبر خالی و علامت گذاری می شود. عدد حدسی جایگزین نشد.</t>
        </r>
      </text>
    </comment>
    <comment ref="J15" authorId="0" shapeId="0" xr:uid="{00000000-0006-0000-2000-000034000000}">
      <text>
        <r>
          <rPr>
            <sz val="11"/>
            <color theme="1"/>
            <rFont val="Calibri"/>
            <family val="2"/>
            <charset val="1"/>
          </rPr>
          <t>v39
در v38 ستون B برخلاف سرستون دارای عنوان متنی است؛ تا بازیابی عدد تاریخی، محاسبه نامعتبر خالی و علامت گذاری می شود. عدد حدسی جایگزین نشد.</t>
        </r>
      </text>
    </comment>
    <comment ref="M15" authorId="0" shapeId="0" xr:uid="{00000000-0006-0000-2000-000035000000}">
      <text>
        <r>
          <rPr>
            <sz val="11"/>
            <color theme="1"/>
            <rFont val="Calibri"/>
            <family val="2"/>
            <charset val="1"/>
          </rPr>
          <t>v39
خطای طرح داده ورودی گزارش شد؛ فرمول های محافظت شده جایگزین خطای VALUE شدند.</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ممیزی پروژه</author>
  </authors>
  <commentList>
    <comment ref="D7" authorId="0" shapeId="0" xr:uid="{00000000-0006-0000-2900-000001000000}">
      <text>
        <r>
          <rPr>
            <sz val="11"/>
            <color theme="1"/>
            <rFont val="Calibri"/>
            <family val="2"/>
            <charset val="1"/>
          </rPr>
          <t>v39
همگام سازی وضعیت جاری C04؛ مقادیر تاریخی در Changes v39 محفوظ اند</t>
        </r>
      </text>
    </comment>
    <comment ref="E7" authorId="0" shapeId="0" xr:uid="{00000000-0006-0000-2900-000002000000}">
      <text>
        <r>
          <rPr>
            <sz val="11"/>
            <color theme="1"/>
            <rFont val="Calibri"/>
            <family val="2"/>
            <charset val="1"/>
          </rPr>
          <t>v39
ثبت حل جزئی تعارض CR1A</t>
        </r>
      </text>
    </comment>
    <comment ref="G7" authorId="0" shapeId="0" xr:uid="{00000000-0006-0000-2900-000003000000}">
      <text>
        <r>
          <rPr>
            <sz val="11"/>
            <color theme="1"/>
            <rFont val="Calibri"/>
            <family val="2"/>
            <charset val="1"/>
          </rPr>
          <t>v39
بازمحاسبه انجام شد اما تعارض باقی مانده بسته نشد</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ممیزی پروژه</author>
  </authors>
  <commentList>
    <comment ref="A18" authorId="0" shapeId="0" xr:uid="{00000000-0006-0000-2A00-000001000000}">
      <text>
        <r>
          <rPr>
            <sz val="11"/>
            <color theme="1"/>
            <rFont val="Calibri"/>
            <family val="2"/>
            <charset val="1"/>
          </rPr>
          <t>v39
اجرای اصلاح محاسباتی با گپ سندی مستقل</t>
        </r>
      </text>
    </comment>
    <comment ref="B18" authorId="0" shapeId="0" xr:uid="{00000000-0006-0000-2A00-000002000000}">
      <text>
        <r>
          <rPr>
            <sz val="11"/>
            <color theme="1"/>
            <rFont val="Calibri"/>
            <family val="2"/>
            <charset val="1"/>
          </rPr>
          <t>v39
اجرای اصلاح محاسباتی با گپ سندی مستقل</t>
        </r>
      </text>
    </comment>
    <comment ref="C18" authorId="0" shapeId="0" xr:uid="{00000000-0006-0000-2A00-000003000000}">
      <text>
        <r>
          <rPr>
            <sz val="11"/>
            <color theme="1"/>
            <rFont val="Calibri"/>
            <family val="2"/>
            <charset val="1"/>
          </rPr>
          <t>v39
اجرای اصلاح محاسباتی با گپ سندی مستقل</t>
        </r>
      </text>
    </comment>
    <comment ref="D18" authorId="0" shapeId="0" xr:uid="{00000000-0006-0000-2A00-000004000000}">
      <text>
        <r>
          <rPr>
            <sz val="11"/>
            <color theme="1"/>
            <rFont val="Calibri"/>
            <family val="2"/>
            <charset val="1"/>
          </rPr>
          <t>v39
اجرای اصلاح محاسباتی با گپ سندی مستقل</t>
        </r>
      </text>
    </comment>
    <comment ref="E18" authorId="0" shapeId="0" xr:uid="{00000000-0006-0000-2A00-000005000000}">
      <text>
        <r>
          <rPr>
            <sz val="11"/>
            <color theme="1"/>
            <rFont val="Calibri"/>
            <family val="2"/>
            <charset val="1"/>
          </rPr>
          <t>v39
اجرای اصلاح محاسباتی با گپ سندی مستقل</t>
        </r>
      </text>
    </comment>
    <comment ref="A19" authorId="0" shapeId="0" xr:uid="{00000000-0006-0000-2A00-000006000000}">
      <text>
        <r>
          <rPr>
            <sz val="11"/>
            <color theme="1"/>
            <rFont val="Calibri"/>
            <family val="2"/>
            <charset val="1"/>
          </rPr>
          <t>v39
رفع خطای فرمول بدون حدس عدد تاریخی</t>
        </r>
      </text>
    </comment>
    <comment ref="B19" authorId="0" shapeId="0" xr:uid="{00000000-0006-0000-2A00-000007000000}">
      <text>
        <r>
          <rPr>
            <sz val="11"/>
            <color theme="1"/>
            <rFont val="Calibri"/>
            <family val="2"/>
            <charset val="1"/>
          </rPr>
          <t>v39
رفع خطای فرمول بدون حدس عدد تاریخی</t>
        </r>
      </text>
    </comment>
    <comment ref="C19" authorId="0" shapeId="0" xr:uid="{00000000-0006-0000-2A00-000008000000}">
      <text>
        <r>
          <rPr>
            <sz val="11"/>
            <color theme="1"/>
            <rFont val="Calibri"/>
            <family val="2"/>
            <charset val="1"/>
          </rPr>
          <t>v39
رفع خطای فرمول بدون حدس عدد تاریخی</t>
        </r>
      </text>
    </comment>
    <comment ref="D19" authorId="0" shapeId="0" xr:uid="{00000000-0006-0000-2A00-000009000000}">
      <text>
        <r>
          <rPr>
            <sz val="11"/>
            <color theme="1"/>
            <rFont val="Calibri"/>
            <family val="2"/>
            <charset val="1"/>
          </rPr>
          <t>v39
رفع خطای فرمول بدون حدس عدد تاریخی</t>
        </r>
      </text>
    </comment>
    <comment ref="E19" authorId="0" shapeId="0" xr:uid="{00000000-0006-0000-2A00-00000A000000}">
      <text>
        <r>
          <rPr>
            <sz val="11"/>
            <color theme="1"/>
            <rFont val="Calibri"/>
            <family val="2"/>
            <charset val="1"/>
          </rPr>
          <t>v39
رفع خطای فرمول بدون حدس عدد تاریخی</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ممیزی پروژه</author>
  </authors>
  <commentList>
    <comment ref="D8" authorId="0" shapeId="0" xr:uid="{00000000-0006-0000-2F00-000001000000}">
      <text>
        <r>
          <rPr>
            <sz val="11"/>
            <color theme="1"/>
            <rFont val="Calibri"/>
            <family val="2"/>
            <charset val="1"/>
          </rPr>
          <t>v39
همگام سازی پوشش CR1A با منبع محاسباتی واحد</t>
        </r>
      </text>
    </comment>
    <comment ref="E8" authorId="0" shapeId="0" xr:uid="{00000000-0006-0000-2F00-000002000000}">
      <text>
        <r>
          <rPr>
            <sz val="11"/>
            <color theme="1"/>
            <rFont val="Calibri"/>
            <family val="2"/>
            <charset val="1"/>
          </rPr>
          <t>v39
همگام سازی پوشش CR1A با منبع محاسباتی واحد</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ممیزی پروژه</author>
  </authors>
  <commentList>
    <comment ref="D8" authorId="0" shapeId="0" xr:uid="{00000000-0006-0000-3F00-000001000000}">
      <text>
        <r>
          <rPr>
            <sz val="11"/>
            <color theme="1"/>
            <rFont val="Calibri"/>
            <family val="2"/>
            <charset val="1"/>
          </rPr>
          <t>v39
همگام سازی پوشش CR1A با منبع محاسباتی واحد</t>
        </r>
      </text>
    </comment>
    <comment ref="E8" authorId="0" shapeId="0" xr:uid="{00000000-0006-0000-3F00-000002000000}">
      <text>
        <r>
          <rPr>
            <sz val="11"/>
            <color theme="1"/>
            <rFont val="Calibri"/>
            <family val="2"/>
            <charset val="1"/>
          </rPr>
          <t>v39
همگام سازی پوشش CR1A با منبع محاسباتی واحد</t>
        </r>
      </text>
    </comment>
  </commentList>
</comments>
</file>

<file path=xl/sharedStrings.xml><?xml version="1.0" encoding="utf-8"?>
<sst xmlns="http://schemas.openxmlformats.org/spreadsheetml/2006/main" count="30365" uniqueCount="8761">
  <si>
    <t>نتیجه بررسی v39</t>
  </si>
  <si>
    <t>فایل مبنا v38 دست نخورده است. این نسخه تکمیل محاسبات است، نه ادعای تکمیل همه اسناد.</t>
  </si>
  <si>
    <t>موضوع</t>
  </si>
  <si>
    <t>نتیجه</t>
  </si>
  <si>
    <t>توضیح</t>
  </si>
  <si>
    <t>منبع یا روش</t>
  </si>
  <si>
    <t>وضعیت اجرا</t>
  </si>
  <si>
    <t>محاسبات تکمیل؛ اسناد ناقص</t>
  </si>
  <si>
    <t>CR1A بازسازی محاسباتی شد و خروجی ها همگام شدند. سه پرونده سندی هنوز باز هستند.</t>
  </si>
  <si>
    <t>Gap Review v39</t>
  </si>
  <si>
    <t>پوشش عددی تغییر رئیس</t>
  </si>
  <si>
    <t>شامل همه کدهای موجود صفر و یک، حتی فملی که تعارض باز دارد.</t>
  </si>
  <si>
    <t>CR1A v39؛ ستون C</t>
  </si>
  <si>
    <t>پوشش محافظه کارانه</t>
  </si>
  <si>
    <t>بدون تعارض باز ثبت شده؛ تایید مستقل جدید همه منابع نیست. این عدد به جدول استاد منتقل شده است.</t>
  </si>
  <si>
    <t>CR1A v39؛ ستون F</t>
  </si>
  <si>
    <t>موارد خارج از مجموعه محافظه کارانه</t>
  </si>
  <si>
    <t>فملی، رمپنا، وپاسار، حکشتی</t>
  </si>
  <si>
    <t>فملی متعارض است؛ سه شرکت دیگر نامشخص هستند. هیچ کدام صفرگذاری نشده اند.</t>
  </si>
  <si>
    <t>CR1A v39؛ ستون های D و M</t>
  </si>
  <si>
    <t>وتجارت</t>
  </si>
  <si>
    <t>نیازمند سند خروج</t>
  </si>
  <si>
    <t>مقدار قبلی ۲۰ درصد با پرچم بررسی حفظ شد. تفاوت فهرست فارسی و انگلیسی بانک تاریخ خروج را مشخص نمی کند.</t>
  </si>
  <si>
    <t>V39S01؛ V39S02؛ Gap Review v39</t>
  </si>
  <si>
    <t>وپاسار</t>
  </si>
  <si>
    <t>گزارش 1526305 سرنخ تازه</t>
  </si>
  <si>
    <t>فراداده گزارش کنترل های داخلی دوره ۱۴۰۴ پیدا شد؛ متن گزارش و فهرست اعضا دریافت نشد.</t>
  </si>
  <si>
    <t>V39S04؛ target_filings.json</t>
  </si>
  <si>
    <t>حکشتی</t>
  </si>
  <si>
    <t>دو نام تاریخی؛ ترکیب ناقص</t>
  </si>
  <si>
    <t>فهرست انجمن نام مدیرعامل و رئیس را دارد اما نمایندگان پنج کرسی را در دو نقطه تعیین نمی کند.</t>
  </si>
  <si>
    <t>V39S05</t>
  </si>
  <si>
    <t>تغییر داده خام</t>
  </si>
  <si>
    <t>هیچ مقدار خام گردش تغییر نکرد</t>
  </si>
  <si>
    <t>ورودی های عددی و ستون تغییر رئیس در Turnover نهایی عینا حفظ شدند؛ اصلاحات در محاسبات، کنترل ها، پوشش و یادداشت ها است.</t>
  </si>
  <si>
    <t>Changes v39 و کنترل مقایسه خودکار</t>
  </si>
  <si>
    <t>حساسیت جم</t>
  </si>
  <si>
    <t>تاریخ موثر در برابر انتشار</t>
  </si>
  <si>
    <t>کد اصلی تغییر رئیس یک است؛ مبنای انتشار طبق یادداشت v38 می تواند آن را صفر کند. این تفاوت در مدل تجربی باید صریح باشد.</t>
  </si>
  <si>
    <t>CR1A v39؛ ردیف جم</t>
  </si>
  <si>
    <t>جهت CR1A</t>
  </si>
  <si>
    <t>کنترلی؛ خارج شاخص ترکیبی</t>
  </si>
  <si>
    <t>تغییر رئیس به صورت پیش فرض خوب یا بد تفسیر نمی شود.</t>
  </si>
  <si>
    <t>جدول استاد؛ معماری به روز شده</t>
  </si>
  <si>
    <t>فرمول های ورودی تاریخی</t>
  </si>
  <si>
    <t>محافظ عددی و هشدار صریح</t>
  </si>
  <si>
    <t>۳۶ فرمول Audit Coverage بر عنوان متنی تقسیم یا تفریق می کردند. محاسبه نامعتبر تا بازیابی عدد تاریخی خالی است و پرچم دارد.</t>
  </si>
  <si>
    <t>Audit Coverage ستون M؛ Changes v39</t>
  </si>
  <si>
    <t>بازمحاسبه فایل</t>
  </si>
  <si>
    <t>محاسبه و ذخیره نتیجه انجام شد</t>
  </si>
  <si>
    <t>همه فرمول ها بازمحاسبه و مقادیر محاسبه شده در فایل ذخیره شد؛ خطای محاسباتی باقی مانده صفر است. پنج نرخ اصلی نیز مستقل از موتور محاسبات کنترل شدند.</t>
  </si>
  <si>
    <t>QA v39</t>
  </si>
  <si>
    <t>سابقه ممیزی</t>
  </si>
  <si>
    <t>حفظ شده</t>
  </si>
  <si>
    <t>برگه های ممیزی قدیمی تاریخچه پروژه اند. به جز سلول های ثبت شده در Changes v39، ادعای به روز شدن کامل آن برگه ها نداریم.</t>
  </si>
  <si>
    <t>Changes v39</t>
  </si>
  <si>
    <t>محدودیت دسترسی</t>
  </si>
  <si>
    <t>متن اسناد جدید کدال دریافت نشد</t>
  </si>
  <si>
    <t>خطای دسترسی به معنی نبود یا منتشر نشدن سند نیست. فقط متن جستجو و فراداده در دسترس استفاده شد.</t>
  </si>
  <si>
    <t>Sources v39؛ fetch_log.json</t>
  </si>
  <si>
    <t>نتیجه چهار کار در v39</t>
  </si>
  <si>
    <t>تکمیل محاسبات انجام شد؛ سه پرونده سندی هنوز بسته نشده اند. هیچ داده خام حدسی وارد نشده است.</t>
  </si>
  <si>
    <t>یافته تازه یا کنترل انجام شده</t>
  </si>
  <si>
    <t>اثر بر داده</t>
  </si>
  <si>
    <t>چرا هنوز محدودیت دارد</t>
  </si>
  <si>
    <t>سند لازم یا مسیر بعدی</t>
  </si>
  <si>
    <t>منابع</t>
  </si>
  <si>
    <t>CR1A</t>
  </si>
  <si>
    <t>بازمحاسبه انجام شد</t>
  </si>
  <si>
    <t>۳۰ ردیف کنترل شد؛ ۲۷ کد موجود، ۲۶ مورد بدون تعارض باز ثبت شده، سه نامشخص و یک تعارض فملی. هویت رئیس برای هشت شرکت از بازسازی v38 تطبیق داده شد.</t>
  </si>
  <si>
    <t>جدول استاد، معماری و برگه های وابسته با پوشش محافظه کارانه همگام شدند.</t>
  </si>
  <si>
    <t>۲۶ مورد به معنی بازخوانی مستقل همه اسناد در v39 نیست. حساسیت تاریخ انتشار جم حفظ شد.</t>
  </si>
  <si>
    <t>بستن تعارض فملی و تکمیل هویت رئیس در رمپنا، وپاسار و حکشتی؛ این موارد صفر نیستند.</t>
  </si>
  <si>
    <t>CR1A v39؛ V39S10</t>
  </si>
  <si>
    <t>حل جزئی؛ سند خروج پیدا نشد</t>
  </si>
  <si>
    <t>نسخه فارسی رسمی چهار نام و نسخه انگلیسی پنج نام شامل شریفیان دارد. این اختلاف ثبت شد.</t>
  </si>
  <si>
    <t>گردش فردی ۱ از ۵ بدون تغییر و با برچسب نیازمند بررسی باقی ماند؛ تغییر رئیس صفر با محدودیت قبلی.</t>
  </si>
  <si>
    <t>صفحات بدون تاریخ موثر سند خروج نیستند؛ تعارض نسخه اولیه و اصلاحیه در v38 هنوز نیازمند سند است.</t>
  </si>
  <si>
    <t>صورتجلسه خروج یا اعلام رسمی تاریخ پایان عضویت شریفیان و تطبیق با اصلاحیه 1444154.</t>
  </si>
  <si>
    <t>V39S01، V39S02، V39S03، V39S06</t>
  </si>
  <si>
    <t>حل نشد؛ سرنخ تازه ثبت شد</t>
  </si>
  <si>
    <t>در فهرست پروژه گزارش کنترل های داخلی پایان ۱۴۰۴ با ردیابی 1526305 و انتشار ۱۴۰۵/۰۲/۲۷ پیدا شد.</t>
  </si>
  <si>
    <t>هیچ نام یا مقدار گردش از فراداده استخراج نشد؛ داده ۱۴۰۴ همچنان نامشخص است.</t>
  </si>
  <si>
    <t>متن گزارش و نام امضاکنندگان دریافت نشد. اختلاف پایه هفت نفره با پنج نفره نیز حل نشده است.</t>
  </si>
  <si>
    <t>دریافت گزارش 1526305 و بررسی امضاها در کنار گزارش فعالیت، صورتجلسه و تاریخ موثر عضویت؛ یک فهرست فعلی کافی نیست.</t>
  </si>
  <si>
    <t>V39S04، V39S08، V39S09</t>
  </si>
  <si>
    <t>حل نشد؛ شناسایی تاریخی محدود</t>
  </si>
  <si>
    <t>فهرست انجمن در ۱۴۰۳/۱۰/۱۷ نام مدرس خیابانی به عنوان مدیرعامل و علی مسیبی بهروز به عنوان رئیس را دارد.</t>
  </si>
  <si>
    <t>هیچ نماینده ای به کرسی حقوقی منتسب نشد؛ گردش فردی و تغییر رئیس همچنان نامشخص هستند.</t>
  </si>
  <si>
    <t>دو نام تاریخی جایگزین پنج نماینده در دو نقطه مشترک نیست و منبع، صفحه رسمی خود ناشر نیست.</t>
  </si>
  <si>
    <t>صورتجلسه تعیین سمت یا صفحه رسمی تاریخ دار همراه با تطبیق هر نماینده با شخص حقوقی در دو نقطه.</t>
  </si>
  <si>
    <t>V39S05، V39S07، V39S09</t>
  </si>
  <si>
    <t>بازمحاسبه و تفکیک وضعیت CR1A</t>
  </si>
  <si>
    <t>پنجره مشترک ۱۴۰۳/۱۲/۲۹ تا ۱۴۰۴/۱۲/۲۹؛ پوشش عددی با کفایت شواهد یکسان نیست. مقادیر قبلی بدون سند تازه تغییر نکرده اند.</t>
  </si>
  <si>
    <t>شرکت</t>
  </si>
  <si>
    <t>ورودی متنی v38</t>
  </si>
  <si>
    <t>کد عددی موجود</t>
  </si>
  <si>
    <t>وضعیت شواهد</t>
  </si>
  <si>
    <t>ورود به شمارش محافظه کارانه</t>
  </si>
  <si>
    <t>کد قابل استفاده با محدودیت</t>
  </si>
  <si>
    <t>رئیس در مبنا</t>
  </si>
  <si>
    <t>رئیس در پایان</t>
  </si>
  <si>
    <t>روش بررسی</t>
  </si>
  <si>
    <t>ارجاع و ردیابی</t>
  </si>
  <si>
    <t>نشانی منابع</t>
  </si>
  <si>
    <t>حساسیت تاریخ انتشار</t>
  </si>
  <si>
    <t>دلیل فقدان یا تعارض</t>
  </si>
  <si>
    <t>یادداشت</t>
  </si>
  <si>
    <t>کنترل یکتایی</t>
  </si>
  <si>
    <t>فملی</t>
  </si>
  <si>
    <t>NEEDS_REVIEW</t>
  </si>
  <si>
    <t>خیر</t>
  </si>
  <si>
    <t>حفظ پرچم تعارض قبلی؛ بدون حدس درباره نام رئیس یا جهت تغییر.</t>
  </si>
  <si>
    <t>Iran_BSI_v33_Phase4_2K_FinalTurnoverClosure.xlsx | برگه های گردش اشخاص حقیقی، تغییر نماینده، تغییر شخص حقوقی، اعضای جدید، ثبات هیئت و تغییر رئیس</t>
  </si>
  <si>
    <t>برای ردیابی پایه به فایل v33 و Source_IDهای همان فاز مراجعه شود</t>
  </si>
  <si>
    <t>COULD_NOT_VERIFY</t>
  </si>
  <si>
    <t>تعارض تاریخی CR1A در Conflict Log C04 و Audit فرمول ها باقی است. v38 این شرکت را بازسازی نکرده؛ مقدار خام خیر حفظ شد اما از پوشش محافظه کارانه کنار گذاشته شد.</t>
  </si>
  <si>
    <t>تاپیکو</t>
  </si>
  <si>
    <t>V38_CONFIRMED</t>
  </si>
  <si>
    <t>بله</t>
  </si>
  <si>
    <t>جعفر ربیعی</t>
  </si>
  <si>
    <t>محمدمهدی رحمتی</t>
  </si>
  <si>
    <t>مقایسه هویت رئیس در دو نقطه از بازسازی سطح کرسی v38؛ عدم تغییر سایر سمت ها ملاک نیست.</t>
  </si>
  <si>
    <t>Turnover Seat Reconstruction؛ 1311653 / 1477918</t>
  </si>
  <si>
    <t>https://www.codal.ir/Reports/Decision.aspx?LetterSerial=QijK3OnJnjtoOOObOOOYV1GqeqyQ%3d%3d&amp;rt=2&amp;let=19&amp;ct=0&amp;ft=-1
https://www.codal.ir/Reports/Decision.aspx?LetterSerial=Exef5qCkFaU4GYSKSR3wjg%3d%3d&amp;rt=2&amp;let=19&amp;ct=0&amp;ft=-1</t>
  </si>
  <si>
    <t>مبنای این مرحله شواهد مستند در فایل v38 است؛ دریافت مجدد مستقل اسناد کدال در این محیط ممکن نشد.</t>
  </si>
  <si>
    <t>فارس</t>
  </si>
  <si>
    <t>INHERITED_WITH_LIMITATION</t>
  </si>
  <si>
    <t>انتقال کنترل شده مقدار v38؛ تایید مجدد مستقل همه منابع این شرکت در v39 انجام نشده است.</t>
  </si>
  <si>
    <t>Iran_BSI_v33_Phase4_2K_FinalTurnoverClosure.xlsx | برگه های گردش اشخاص حقیقی، تغییر نماینده، تغییر شخص حقوقی، اعضای جدید، ثبات هیئت و تغییر رئیس | تایید تکمیلی در Iran_BSI_v31_Phase4_2I_MaximumMeasureRecovery.xlsx، شواهد خام</t>
  </si>
  <si>
    <t>پذیرش به معنی نبود تعارض باز ثبت شده در فایل است؛ نه تایید مستقل کامل اسناد اولیه.</t>
  </si>
  <si>
    <t>خودرو</t>
  </si>
  <si>
    <t>یوسف الهی شکیب</t>
  </si>
  <si>
    <t>Turnover Seat Reconstruction؛ 1306740 / 1417850</t>
  </si>
  <si>
    <t>https://www.codal.ir/Reports/Decision.aspx?LetterSerial=gVTCoHYs1M0v5mNrsaCDkA%3d%3d&amp;rt=0&amp;let=19&amp;ct=0&amp;ft=-1
https://www.codal.ir/Reports/Decision.aspx?LetterSerial=8qXiOOObOOOscQQQaQQQfIOkx3DWj8Uw1Q%3d%3d&amp;rt=0&amp;let=19&amp;ct=0&amp;ft=-1</t>
  </si>
  <si>
    <t>زاگرس</t>
  </si>
  <si>
    <t>SRC_ZGRS_1404_002 (p.26, FY1403) و SRC_ZGRS_1404_001 (p.26, FY1404) | بازخوانی کامل این فاز؛ بدون دانلود جدید
Iran_BSI_v33_Phase4_2K_FinalTurnoverClosure.xlsx | تطبیق کرسی ها و شواهد خام | SRC_ZGRS_1404_002 و SRC_ZGRS_1404_001، صفحه ۲۶</t>
  </si>
  <si>
    <t>شبندر</t>
  </si>
  <si>
    <t>SRC_SHBN_1404_007 | T19 اصلاحیه | جلسه هیئت مدیره ۱۴۰۳/۱۲/۲۷ | صفحه ۱ | Roster مستقیم ۱۴۰۳
SRC_SHBN_1404_003 | T19 | جلسه هیئت مدیره ۱۴۰۴/۱۰/۱۸ | صفحه ۱ | Roster مستقیم ۱۴۰۴
SRC_SHBN_1404_001 (p.55 56 کمیته حسابرسی، p.82 84 روستر هیئت‌مدیره) | بازخوانی جزئی این فاز با الگوی جستجوی عربی؛ بدون دانلود جدید</t>
  </si>
  <si>
    <t>https://www.codal.ir/Reports/Decision.aspx?LetterSerial=ULk65ZOHpAkFOOObOOOb3pLpblJQ%3d%3d&amp;rt=0&amp;let=19&amp;ct=0&amp;ft=-1
https://www.codal.ir/Reports/Decision.aspx?LetterSerial=kealwqnfPYdWwbR3UB9uZw%3d%3d&amp;rt=0&amp;let=19&amp;ct=0&amp;ft=-1</t>
  </si>
  <si>
    <t>پارس</t>
  </si>
  <si>
    <t>SRC_PARS_1404_008 | T19 | جلسه هیئت مدیره ۱۴۰۴/۰۱/۳۰ | صفحه ۱ | ستون نماینده قبلی برای بازسازی وضعیت نزدیک پایان ۱۴۰۳
SRC_PARS_1404_005 | T19 | جلسه هیئت مدیره ۱۴۰۴/۰۷/۲۶ | صفحه ۱ | آخرین Snapshot تاییدشده پیش از Cutoff ۱۴۰۴ در آرشیو</t>
  </si>
  <si>
    <t>https://www.codal.ir/Reports/Decision.aspx?LetterSerial=sjHofZygVLXICVj8iXL3Aw%3d%3d&amp;rt=0&amp;let=19&amp;ct=0&amp;ft=-1
https://www.codal.ir/Reports/Decision.aspx?LetterSerial=1kqm2T6e5zV5EQQQaQQQKdlIj9HA%3d%3d&amp;rt=0&amp;let=19&amp;ct=0&amp;ft=-1</t>
  </si>
  <si>
    <t>شتران</t>
  </si>
  <si>
    <t>SRC_SHTR_1403_001 | گزارش فعالیت هیئت مدیره | دوره منتهی به ۱۴۰۳/۱۲/۳۰ | PDF صفحه ۱۶، چاپی ۱۴ | Roster مستقیم ۱۴۰۳
SRC_SHTR_1404_002 | گزارش فعالیت هیئت مدیره | دوره منتهی به ۱۴۰۴/۱۲/۲۹ | PDF صفحه ۱۷، چاپی ۱۵ | Roster مستقیم ۱۴۰۴</t>
  </si>
  <si>
    <t>https://www.codal.ir/Reports/Attachment.aspx?LetterSerial=W3P2HVjIaDXFbdMemqSeUA%3d%3d
https://www.codal.ir/Reports/Attachment.aspx?LetterSerial=F0veQQQaQQQX4tai7nAftHYyrDhg%3d%3d</t>
  </si>
  <si>
    <t>CHAIR_WITH_LIMITATION</t>
  </si>
  <si>
    <t>مرتضی ترک‌تبریزی</t>
  </si>
  <si>
    <t>Turnover Seat Reconstruction؛ 1159936 / 1444154</t>
  </si>
  <si>
    <t>https://www.codal.ir/Reports/Decision.aspx?LetterSerial=OqEx%2bg3X3xQQQaQQQ1V8FTa1bU9w%3d%3d&amp;rt=3&amp;let=19&amp;ct=0&amp;ft=-1
https://www.codal.ir/Reports/Decision.aspx?LetterSerial=tL1npzfj3XSDR4oEqs1VIw%3d%3d&amp;rt=3&amp;let=19&amp;ct=0&amp;ft=-1</t>
  </si>
  <si>
    <t>نام ترک تبریزی در هر دو نقطه بازسازی v38 یکسان است؛ ابهام تاریخ خروج شریفیان به صورت مستقل در گردش افراد باقی است. صفحات فارسی و انگلیسی بانک متفاوت اند.</t>
  </si>
  <si>
    <t>رمپنا</t>
  </si>
  <si>
    <t>MISSING</t>
  </si>
  <si>
    <t>SRC_RMPN_1404_011 | افشای نوع ۱۹، جلسه هیئت مدیره ۱۴۰۴/۰۲/۲۱ | بازسازی ۱۴۰۳ | صفحه ۱ | ستون نماینده قبلی برای بازسازی Cutoff ۱۴۰۳ استفاده شد
SRC_RMPN_1404_008 | افشای نوع ۱۹، جلسه هیئت مدیره ۱۴۰۴/۱۰/۲۸ | ۱۴۰۴ | صفحات ۱ و ۲ | آخرین افشای نوع ۱۹ موجود پیش از Cutoff ۱۴۰۴/۱۲/۲۹</t>
  </si>
  <si>
    <t>https://www.codal.ir/Reports/Decision.aspx?LetterSerial=gsard4xmaj4Zi8yOS8AWMA%3d%3d&amp;rt=5&amp;let=19&amp;ct=0&amp;ft=-1
https://www.codal.ir/Reports/Decision.aspx?LetterSerial=4P4QQQaQQQssbMX9ZMuZVciqBKOOObOOOg%3d%3d&amp;rt=5&amp;let=19&amp;ct=0&amp;ft=-1</t>
  </si>
  <si>
    <t>INSUFFICIENT_EVIDENCE</t>
  </si>
  <si>
    <t>داده نامشخص به صفر تبدیل نشد.</t>
  </si>
  <si>
    <t>فخوز</t>
  </si>
  <si>
    <t>SRC_FKHZ_1404_002 | گزارش فعالیت هیئت مدیره منتهی به ۱۴۰۳/۱۲/۳۰ | ۱۴۰۳ | صفحه ۳۴ | روستر کامل ۱۴۰۳
SRC_FKHZ_1404_004 | افشای نوع ۱۹، جلسه هیئت مدیره ۱۴۰۴/۰۵/۲۷ | ۱۴۰۴ | صفحه ۱ | آخرین افشای نوع ۱۹ پیش از Cutoff</t>
  </si>
  <si>
    <t>شستا</t>
  </si>
  <si>
    <t>SRC_SHST_1404_015 | افشای نوع ۱۹ | ۱۴۰۳ | ۱ | Snapshot مبنا برای ۱۴۰۳
SRC_SHST_1404_007 | افشای نوع ۱۹ | ۱۴۰۴ | ۱ | Snapshot مبنا برای ۱۴۰۴</t>
  </si>
  <si>
    <t>https://www.codal.ir/Reports/Decision.aspx?LetterSerial=b8oxHadTuSstqVNc5Bqzjw%3d%3d&amp;rt=2&amp;let=19&amp;ct=0&amp;ft=-1
https://www.codal.ir/Reports/Decision.aspx?LetterSerial=pk2gUF4FVfw9cOOObOOOOR6kSTDg%3d%3d&amp;rt=2&amp;let=19&amp;ct=0&amp;ft=-1</t>
  </si>
  <si>
    <t>شپنا</t>
  </si>
  <si>
    <t>SRC_SHPN_1404_002 | افشای نوع ۱۹ | ۱۴۰۳ | ۱ | Snapshot مبنا برای ۱۴۰۳
SRC_SHPN_1404_004 | افشای نوع ۱۹ | ۱۴۰۴ | ۱ تا ۲ | Snapshot مبنا برای ۱۴۰۴</t>
  </si>
  <si>
    <t>https://www.codal.ir/Reports/Decision.aspx?LetterSerial=BgB1TPEYicGYh74gmrG9mA%3d%3d&amp;rt=0&amp;let=19&amp;ct=0&amp;ft=-1
https://www.codal.ir/Reports/Decision.aspx?LetterSerial=zWRtzdFgEWKY0H4XNrzRzA%3d%3d&amp;rt=0&amp;let=19&amp;ct=0&amp;ft=-1</t>
  </si>
  <si>
    <t>وغدیر</t>
  </si>
  <si>
    <t>SRC_VGHD_1404_002 | افشای نوع ۱۹ | ۱۴۰۳ | ۱ | Snapshot مبنا برای ۱۴۰۳
SRC_VGHD_1404_006 | افشای نوع ۱۹ | ۱۴۰۴ | ۱ | Snapshot مبنا برای ۱۴۰۴</t>
  </si>
  <si>
    <t>https://www.codal.ir/Reports/Decision.aspx?LetterSerial=b9uqvOIQIMvyGYAfsuoWUg%3d%3d&amp;rt=2&amp;let=19&amp;ct=0&amp;ft=-1
https://www.codal.ir/Reports/Decision.aspx?LetterSerial=ytYjZCpQQQaQQQ34BFQkm8DLxX9A%3d%3d&amp;rt=2&amp;let=19&amp;ct=0&amp;ft=-1</t>
  </si>
  <si>
    <t>نوری</t>
  </si>
  <si>
    <t>SRC_NOURI_1403_001 | گزارش فعالیت هیئت مدیره | ۱۴۰۳ | ۳۹ | Snapshot مبنا برای ۱۴۰۳
SRC_NOOR_1404_007 + SRC_NOOR_1404_005 | گزارش فعالیت هیئت مدیره و Cross Check افشای نوع ۱۹ | ۱۴۰۴ | ۴۱ و افشای نوع ۱۹ صفحه ۱ | Snapshot مبنا برای ۱۴۰۴</t>
  </si>
  <si>
    <t>https://www.codal.ir/Reports/Attachment.aspx?LetterSerial=qQQQaQQQXL8Mm5NCUb8eyBSic7hA%3d%3d
https://www.codal.ir/Reports/Attachment.aspx?LetterSerial=lWuukNFzDitnWL7VD4weCA%3d%3d</t>
  </si>
  <si>
    <t>فولاد</t>
  </si>
  <si>
    <t>SRC_FOLD_1403_001 | گزارش فعالیت هیئت مدیره | ۱۴۰۳ | ۴ | Snapshot مبنا برای ۱۴۰۳
SRC_FOLD_1404_002 | گزارش فعالیت هیئت مدیره | ۱۴۰۴ | ۵ و ۳۱ | Snapshot مبنا برای ۱۴۰۴ و تاریخ انتصاب اعضا</t>
  </si>
  <si>
    <t>https://www.codal.ir/Reports/Attachment.aspx?LetterSerial=lIOOObOOOFuv6MQlLw20bmBKF3Cw%3d%3d
https://www.codal.ir/Reports/Attachment.aspx?LetterSerial=DjTPnm9Pa79X4Gv1Zp8FQQQaQQQQ%3d%3d</t>
  </si>
  <si>
    <t>کچاد</t>
  </si>
  <si>
    <t>محمود صلاحی</t>
  </si>
  <si>
    <t>محمدرضا تابش</t>
  </si>
  <si>
    <t>Turnover Seat Reconstruction؛ 1287746 / 1473973</t>
  </si>
  <si>
    <t>https://www.codal.ir/Reports/Decision.aspx?LetterSerial=v9VDr2f0BIJNqKEnWy6Rug%3d%3d&amp;rt=0&amp;let=19&amp;ct=0&amp;ft=-1
https://www.codal.ir/Reports/Decision.aspx?LetterSerial=XPg1kJyBIkadWnCXHnsdKg%3d%3d&amp;rt=0&amp;let=19&amp;ct=0&amp;ft=-1</t>
  </si>
  <si>
    <t>کگل</t>
  </si>
  <si>
    <t>SRC_KGOL_1404_002 | افشای نوع ۱۹ | ۱۴۰۳ | ۱ | Snapshot مبنا برای پایان ۱۴۰۳ و جلوگیری از Look Ahead
SRC_KGOL_1404_004 | افشای نوع ۱۹ | ۱۴۰۴ | ۱ | Snapshot مبنا برای ۱۴۰۴</t>
  </si>
  <si>
    <t>https://www.codal.ir/Reports/Decision.aspx?LetterSerial=V8TQGa6IRAmh3pwzvDL0KQ%3d%3d&amp;rt=0&amp;let=19&amp;ct=0&amp;ft=-1
https://www.codal.ir/Reports/Decision.aspx?LetterSerial=IYIOOObOOO6mh6t3bHqdV5BigMrg%3d%3d&amp;rt=0&amp;let=19&amp;ct=0&amp;ft=-1</t>
  </si>
  <si>
    <t>پارسان</t>
  </si>
  <si>
    <t>V38_HIGH</t>
  </si>
  <si>
    <t>احد امیری</t>
  </si>
  <si>
    <t>Turnover Seat Reconstruction؛ 1288275 / 1443940</t>
  </si>
  <si>
    <t>https://www.codal.ir/Reports/Decision.aspx?LetterSerial=DsOgAmOOObOOOXCBilD6gqB1SIaw%3d%3d&amp;rt=2&amp;let=19&amp;ct=0&amp;ft=-1
https://www.codal.ir/Reports/Decision.aspx?LetterSerial=zNIQQQaQQQIYcl2yMb4DUIPu3s7w%3d%3d&amp;rt=2&amp;let=19&amp;ct=0&amp;ft=-1</t>
  </si>
  <si>
    <t>اخابر</t>
  </si>
  <si>
    <t>SRC_AKHB_1404_002 | گزارش فعالیت هیئت مدیره | ۱۴۰۳ | ۹۳ تا ۹۴ | Snapshot مبنا برای ۱۴۰۳
SRC_AKHB_1404_003 | افشای نوع ۱۹ | ۱۴۰۴ | ۱ | Snapshot اصلی ۱۴۰۴ و تایید نمایندگان
SRC_AKHB_1404_005 | افشای نوع ۱۹ | ۱۴۰۴ | ۱ | کنترل تغییر اشخاص حقوقی در طول سال</t>
  </si>
  <si>
    <t>https://www.codal.ir/Reports/Attachment.aspx?LetterSerial=l18osNfAAH2DvvstKQQQaQQQYuHQ%3d%3d
https://www.codal.ir/Reports/Decision.aspx?LetterSerial=GSIO5iJOn2Ini6eniOOOObOOOopw%3d%3d&amp;rt=5&amp;let=19&amp;ct=0&amp;ft=-1
https://www.codal.ir/Reports/Decision.aspx?LetterSerial=iXcFNxwCjn4aV4ptXi6QQQaQQQjA%3d%3d&amp;rt=5&amp;let=19&amp;ct=0&amp;ft=-1</t>
  </si>
  <si>
    <t>جم</t>
  </si>
  <si>
    <t>متین دیداری</t>
  </si>
  <si>
    <t>محمدسجاد سیاهکارزاده</t>
  </si>
  <si>
    <t>Turnover Seat Reconstruction؛ 1171265 / 1527389</t>
  </si>
  <si>
    <t>https://www.codal.ir/Reports/Decision.aspx?LetterSerial=SZoueUaBHVA%2bs%2bgcP%2bwj4A%3d%3d&amp;rt=0&amp;let=19&amp;ct=0&amp;ft=-1
https://www.codal.ir/Reports/Decision.aspx?LetterSerial=QQQaQQQtpQVpIOOObOOOPhcgQQQaQQQA5ahYjCjA%3d%3d&amp;rt=0&amp;let=19&amp;ct=0&amp;ft=-1</t>
  </si>
  <si>
    <t>طبق یادداشت v38 رویداد ۱۴۰۴/۱۲/۲۵ و انتشار ۱۴۰۵/۰۲/۲۹؛ با مبنای تاریخ انتشار تغییر رئیس می تواند صفر شود. کد اصلی این فایل مبتنی بر تاریخ موثر است.</t>
  </si>
  <si>
    <t>ومعادن</t>
  </si>
  <si>
    <t>SRC_VMDN_1404_002 | گزارش فعالیت هیئت مدیره | ۱۴۰۳ | ۴۰ | Snapshot مبنا برای ۱۴۰۳
SRC_VMDN_1404_001 | گزارش فعالیت هیئت مدیره | ۱۴۰۴ | ۴۳ | Snapshot سال ۱۴۰۴
SRC_VMDN_1404_004 | افشای نوع ۱۹ | ۱۴۰۴ | ۱ | تایید تغییر نماینده فولاد سنگ
SRC_VMDN_1404_003 | افشای نوع ۱۹ | ۱۴۰۴ | ۱ | تایید تغییر نماینده فولاد مبارکه و ریاست</t>
  </si>
  <si>
    <t>https://www.codal.ir/Reports/Attachment.aspx?LetterSerial=AcoEbrF1YWBxnIP9D2INbA%3d%3d
https://www.codal.ir/Reports/Attachment.aspx?LetterSerial=bRnwYafN0uOG5s7eZOOObOOObCPw%3d%3d
https://www.codal.ir/Reports/Decision.aspx?LetterSerial=GYYJgW0mQQQaQQQdbvnpR6QLaHlA%3d%3d&amp;rt=2&amp;let=19&amp;ct=0&amp;ft=-1
https://www.codal.ir/Reports/Decision.aspx?LetterSerial=AHwQQQaQQQkHcUkc0pfBa2dXOOObOOOE3Q%3d%3d&amp;rt=2&amp;let=19&amp;ct=0&amp;ft=-1</t>
  </si>
  <si>
    <t>وامید</t>
  </si>
  <si>
    <t>SRC_VAMD_1404_002 | گزارش فعالیت هیئت مدیره | ۱۴۰۳ | ۶۹ | Snapshot مبنا برای ۱۴۰۳
SRC_VAMD_1404_001 | گزارش فعالیت هیئت مدیره | ۱۴۰۴ | ۶۹ | Snapshot مبنا برای ۱۴۰۴
SRC_VAMD_1404_005 | افشای نوع ۱۹ اصلاحیه | ۱۴۰۴ | ۱ | کنترل تغییر اشخاص حقوقی و تداوم نمایندگان
SRC_VAMD_1404_006 | افشای نوع ۱۹ | ۱۴۰۴ | ۱ | کنترل مستقل ترکیب</t>
  </si>
  <si>
    <t>https://www.codal.ir/Reports/Attachment.aspx?LetterSerial=CM4mqa3Wz2h9LMqk4uVACQ%3d%3d
https://www.codal.ir/Reports/Attachment.aspx?LetterSerial=L3pmVuuRgm42MhLxuM1ElQ%3d%3d
https://www.codal.ir/Reports/Decision.aspx?LetterSerial=1UEyCQ9gyduKzNiiDDNXUA%3d%3d&amp;rt=2&amp;let=19&amp;ct=0&amp;ft=-1
https://www.codal.ir/Reports/Decision.aspx?LetterSerial=heZfln7kl6v8fiuPpe5P4g%3d%3d&amp;rt=2&amp;let=19&amp;ct=0&amp;ft=-1</t>
  </si>
  <si>
    <t>خساپا</t>
  </si>
  <si>
    <t>کورش پرویزیان</t>
  </si>
  <si>
    <t>Turnover Seat Reconstruction؛ 1295938 / 1386511</t>
  </si>
  <si>
    <t>https://www.codal.ir/Reports/Decision.aspx?LetterSerial=0rlsOOObOOOEFaa9IMoCD90IUbxA%3d%3d&amp;rt=0&amp;let=19&amp;ct=0&amp;ft=-1
https://www.codal.ir/Reports/Decision.aspx?LetterSerial=UJ1so0i61H6WpTMWJ3OsCA%3d%3d&amp;rt=0&amp;let=19&amp;ct=0&amp;ft=-1</t>
  </si>
  <si>
    <t>همراه</t>
  </si>
  <si>
    <t>SRC_HMRH_1404_002 | گزارش فعالیت هیئت مدیره | ۱۴۰۳ | ۵ | Snapshot مبنا ۱۴۰۳
SRC_HMRH_1404_001 | گزارش فعالیت هیئت مدیره | ۱۴۰۴ | ۵ | Snapshot مبنا ۱۴۰۴
SRC_HMRH_1404_005 | افشای نوع ۱۹ | ۱۴۰۴ | ۱ | بازتایید ثبات نمایندگان و اشخاص حقوقی</t>
  </si>
  <si>
    <t>https://www.codal.ir/Reports/Attachment.aspx?LetterSerial=qF6WQQQaQQQvb3G9yQQQaQQQVuknoGcUQQ%3d%3d
https://www.codal.ir/Reports/Attachment.aspx?LetterSerial=Ln6R9zsWXNJqeuz97OOObOOOaACw%3d%3d
https://www.codal.ir/Reports/Decision.aspx?LetterSerial=EkFsjyhmhfXBQoQQQaQQQTg7cqCw%3d%3d&amp;rt=5&amp;let=19&amp;ct=0&amp;ft=-1</t>
  </si>
  <si>
    <t>وبملت</t>
  </si>
  <si>
    <t>SRC_MELT_1404_006 | افشای نوع ۱۹ | ۱۴۰۳ | ۱ | Snapshot اشخاص حقیقی ۱۴۰۳
SRC_MELT_1404_005 | افشای نوع ۱۹ | ۱۴۰۴ | ۱ | Snapshot اشخاص حقیقی ۱۴۰۴؛ فقط تغییر سمت</t>
  </si>
  <si>
    <t>https://www.codal.ir/Reports/Decision.aspx?LetterSerial=pMyRiSQQQaQQQwMIoymmCCqmzwtg%3d%3d&amp;rt=3&amp;let=19&amp;ct=0&amp;ft=-1
https://www.codal.ir/Reports/Decision.aspx?LetterSerial=jqQzOOObOOOZ5mOOObOOO0IdbSC6088ERA%3d%3d&amp;rt=3&amp;let=19&amp;ct=0&amp;ft=-1</t>
  </si>
  <si>
    <t>وبصادر</t>
  </si>
  <si>
    <t>SRC_VBSD_1404_002 | گزارش فعالیت هیئت مدیره | ۱۴۰۳ | ۳۸ تا ۳۹ | Snapshot مبنا ۱۴۰۳
SRC_VBSD_1404_001 | گزارش فعالیت هیئت مدیره | ۱۴۰۴ | ۴۵ تا ۴۶ | Snapshot مبنا ۱۴۰۴</t>
  </si>
  <si>
    <t>https://www.codal.ir/Reports/Attachment.aspx?LetterSerial=HChwyLb11ZnzYeIEeB3Jng%3d%3d
https://www.codal.ir/Reports/Attachment.aspx?LetterSerial=p0cfFj1rDsXiFZsu35tCWw%3d%3d</t>
  </si>
  <si>
    <t>SRC_VPSR_1404_001 | گزارش فعالیت هیئت مدیره منتهی به ۱۴۰۳/۱۲/۳۰ | ۱۴۰۳ | گزارش ۴۵ صفحه ای | بسته کاربر منبع FY1404 یا Type19 مناسب ندارد
SRC_VPSR_1404_001 | گزارش فعالیت هیئت مدیره | ۱۴۰۳ | ۹ | FY1403 موجود است؛ FY1404 در آرشیو بارگذاری شده یافت نشد</t>
  </si>
  <si>
    <t>https://www.codal.ir/Reports/Attachment.aspx?LetterSerial=Cxkdj8wztt52xU9MoBXp2w%3d%3d</t>
  </si>
  <si>
    <t>DOCUMENT_MISSING</t>
  </si>
  <si>
    <t>داده نامشخص به صفر تبدیل نشد. سرنخ گزارش کنترل های داخلی 1526305 پیدا شد ولی متن و امضاهای آن در دسترس نبود.</t>
  </si>
  <si>
    <t>Iran_BSI_v33_Phase4_2K_FinalTurnoverClosure.xlsx | شرکت های Seat Level | داده شخص حقیقی برای Turnover قابل اتکا نبود</t>
  </si>
  <si>
    <t>PERSON_LEVEL_UNAVAILABLE</t>
  </si>
  <si>
    <t>داده نامشخص به صفر تبدیل نشد. نام رئیس در یک فهرست تاریخی انجمن کافی برای دو نقطه مقایسه یا تطبیق پنج نماینده نیست.</t>
  </si>
  <si>
    <t>شپدیس</t>
  </si>
  <si>
    <t>هوشنگ گودرزی</t>
  </si>
  <si>
    <t>حسن شاه‌ولدی</t>
  </si>
  <si>
    <t>Turnover Seat Reconstruction؛ 1309386 / 1443721</t>
  </si>
  <si>
    <t>https://www.codal.ir/Reports/Decision.aspx?LetterSerial=C4XsKe3dMCJ7F1MqOaUJBw%3d%3d&amp;rt=0&amp;let=19&amp;ct=0&amp;ft=-1
https://www.codal.ir/Reports/Decision.aspx?LetterSerial=Lh6dCOOObOOOOOObOOOHmUIfwOOObOOOrvn9DNRQ%3d%3d&amp;rt=0&amp;let=19&amp;ct=0&amp;ft=-1</t>
  </si>
  <si>
    <t>معیار</t>
  </si>
  <si>
    <t>مقدار</t>
  </si>
  <si>
    <t>پوشش عددی موجود</t>
  </si>
  <si>
    <t>تعداد کدهای صفر یا یک بدون حذف تعارض</t>
  </si>
  <si>
    <t>بدون تعارض باز ثبت شده</t>
  </si>
  <si>
    <t>پوشش محافظه کارانه؛ شواهد موروثی با محدودیت</t>
  </si>
  <si>
    <t>ورودی نامشخص</t>
  </si>
  <si>
    <t>رمپنا، وپاسار، حکشتی</t>
  </si>
  <si>
    <t>تعارض باز</t>
  </si>
  <si>
    <t>فملی؛ ورودی خام نگهداری شده است</t>
  </si>
  <si>
    <t>تغییر رئیس در مجموعه محافظه کارانه</t>
  </si>
  <si>
    <t>وجود تغییر به معنی بهتر یا بدتر شدن کیفیت نیست</t>
  </si>
  <si>
    <t>بدون تغییر در مجموعه محافظه کارانه</t>
  </si>
  <si>
    <t>صفر واقعی فقط در مجموعه قابل استفاده</t>
  </si>
  <si>
    <t>تعداد شرکت ها</t>
  </si>
  <si>
    <t>کل نمونه؛ مستقل از واجد شرایط بودن گردش نمایندگان</t>
  </si>
  <si>
    <t>پوشش عددی از کل</t>
  </si>
  <si>
    <t>موجود بودن کد، حتی با تعارض باز</t>
  </si>
  <si>
    <t>پوشش محافظه کارانه از کل</t>
  </si>
  <si>
    <t>این نسبت به جدول استاد و معماری منتقل شده است</t>
  </si>
  <si>
    <t>پوشش گزارش شده در ممیزی v38</t>
  </si>
  <si>
    <t>Audit Coverage!F8 در فایل مبنا؛ مقدار تاریخی</t>
  </si>
  <si>
    <t>افزایش پوشش نسبت به ممیزی قبلی</t>
  </si>
  <si>
    <t>دو تعارض تاپیکو و کچاد حل شد؛ شپدیس از نامشخص خارج شد</t>
  </si>
  <si>
    <t>تعداد شرکت یکتا</t>
  </si>
  <si>
    <t>کنترل اولین وقوع نام با COUNTIF تجمعی</t>
  </si>
  <si>
    <t>نامشخص یا متعارض</t>
  </si>
  <si>
    <t>خارج از پوشش محافظه کارانه</t>
  </si>
  <si>
    <t>فهرست شواهد و محدودیت دسترسی v39</t>
  </si>
  <si>
    <t>تاریخ بررسی ۲۰۲۶/۱۰/۰۲؛ داده دریافت نشده به عنوان شاهد قطعی استفاده نشده است.</t>
  </si>
  <si>
    <t>شناسه</t>
  </si>
  <si>
    <t>عنوان</t>
  </si>
  <si>
    <t>تاریخ یا ردیابی</t>
  </si>
  <si>
    <t>نوع منبع</t>
  </si>
  <si>
    <t>نشانی یا فایل</t>
  </si>
  <si>
    <t>روش مشاهده</t>
  </si>
  <si>
    <t>یافته</t>
  </si>
  <si>
    <t>محدودیت</t>
  </si>
  <si>
    <t>V39S01</t>
  </si>
  <si>
    <t>صفحه فارسی هیئت مدیره بانک تجارت</t>
  </si>
  <si>
    <t>بدون تاریخ موثر</t>
  </si>
  <si>
    <t>صفحه رسمی بانک</t>
  </si>
  <si>
    <t>https://www.tejaratbank.ir/web_directory/1679-Board-of-Directors-and-Director.html</t>
  </si>
  <si>
    <t>متن نمایه شده در جستجوی وب</t>
  </si>
  <si>
    <t>چهار نام درج شده و نام شریفیان در فهرست دیده نمی شود.</t>
  </si>
  <si>
    <t>فقط موید ترکیب فعلی؛ نه سند تاریخ خروج و نه تصویر قطعی پایان ۱۴۰۴.</t>
  </si>
  <si>
    <t>V39S02</t>
  </si>
  <si>
    <t>صفحه انگلیسی هیئت مدیره بانک تجارت</t>
  </si>
  <si>
    <t>https://www.tejaratbank.ir/general_content/1520654-Board-Of-Directors.html</t>
  </si>
  <si>
    <t>پنج نام دارد و حمیدرضا شریفیان را نایب رئیس معرفی می کند.</t>
  </si>
  <si>
    <t>با نسخه فارسی یکسان نیست؛ تاریخ خروج از صفحه وب قابل تعیین نیست.</t>
  </si>
  <si>
    <t>V39S03</t>
  </si>
  <si>
    <t>خبر انتصاب رئیس و نایب رئیس بانک تجارت</t>
  </si>
  <si>
    <t>۱۴۰۱/۱۲/۲۹</t>
  </si>
  <si>
    <t>خبر رسمی بانک</t>
  </si>
  <si>
    <t>https://www.tejaratbank.ir/news/2061976-tejaratbank.html</t>
  </si>
  <si>
    <t>انتخاب ترک تبریزی و شریفیان به ریاست و نایب رئیسی را گزارش می کند.</t>
  </si>
  <si>
    <t>این سند تاریخی درباره آغاز سمت است و خروج شریفیان در ۱۴۰۴ را اثبات نمی کند.</t>
  </si>
  <si>
    <t>V39S04</t>
  </si>
  <si>
    <t>فراداده گزارش کنترل های داخلی در تاریخ ۱۴۰۴/۱۲/۲۹</t>
  </si>
  <si>
    <t>انتشار ۱۴۰۵/۰۲/۲۷؛ ردیابی 1526305</t>
  </si>
  <si>
    <t>فهرست اطلاعیه های ذخیره شده در پروژه</t>
  </si>
  <si>
    <t>https://www.codal.ir/Reports/Decision.aspx?LetterSerial=UtkvD7QAtPic497u28Cz6g%3d%3d&amp;rt=3&amp;let=90&amp;ct=0&amp;ft=-1</t>
  </si>
  <si>
    <t>فراداده محلی خوانده شد؛ متن گزارش دریافت نشد</t>
  </si>
  <si>
    <t>گزارش دوره هدف در فهرست پروژه وجود دارد؛ ردیف کامل در target_filings.json نگهداری شد.</t>
  </si>
  <si>
    <t>وجود فراداده، نام امضاکنندگان یا ترکیب هیئت مدیره را ثابت نمی کند. این گزارش با گزارش فعالیت هیئت مدیره تفاوت دارد.</t>
  </si>
  <si>
    <t>معرفی کشتیرانی جمهوری اسلامی ایران در فهرست اعضای انجمن</t>
  </si>
  <si>
    <t>۱۴۰۳/۱۰/۱۷</t>
  </si>
  <si>
    <t>فهرست اعضای انجمن کشتیرانی</t>
  </si>
  <si>
    <t>https://saoi.ir/کشتیرانی-جمهوری-اسلامی-ایران/</t>
  </si>
  <si>
    <t>مدیرعامل محمدرضا مدرس خیابانی و رئیس هیئت مدیره علی مسیبی بهروز درج شده اند.</t>
  </si>
  <si>
    <t>فقط سرنخ تاریخی؛ نمایندگی پنج کرسی حقوقی یا ترکیب پایان ۱۴۰۴ را نشان نمی دهد.</t>
  </si>
  <si>
    <t>V39S06</t>
  </si>
  <si>
    <t>اطلاعیه اصلاحی ترکیب هیئت مدیره</t>
  </si>
  <si>
    <t>انتشار ۱۴۰۴/۰۹/۱۵؛ ردیابی 1444154</t>
  </si>
  <si>
    <t>کدال طبق شواهد ذخیره شده v38</t>
  </si>
  <si>
    <t>https://www.codal.ir/Reports/Decision.aspx?LetterSerial=tL1npzfj3XSDR4oEqs1VIw%3d%3d&amp;rt=3&amp;let=19&amp;ct=0&amp;ft=-1</t>
  </si>
  <si>
    <t>شرح و بازسازی داخل فایل v38؛ دریافت مجدد ناموفق</t>
  </si>
  <si>
    <t>بازسازی v38 چهار عضو را در پایان دوره ثبت کرده است.</t>
  </si>
  <si>
    <t>نسخه اولیه ردیابی 1443078 و اصلاحیه درباره شریفیان ناسازگار گزارش شده اند؛ v39 سند تازه خروج دریافت نکرد.</t>
  </si>
  <si>
    <t>V39S07</t>
  </si>
  <si>
    <t>اطلاعیه ترکیب هیئت مدیره</t>
  </si>
  <si>
    <t>انتشار ۱۴۰۴/۰۸/۱۸؛ ردیابی 1433770</t>
  </si>
  <si>
    <t>https://www.codal.ir/Reports/Decision.aspx?LetterSerial=ag9Rd4I5seaRFhQQQaQQQiZlm5lQ%3d%3d&amp;rt=2&amp;let=19&amp;ct=0&amp;ft=-1</t>
  </si>
  <si>
    <t>شرح داخل فایل v38؛ دریافت مجدد ناموفق</t>
  </si>
  <si>
    <t>پنج شخص حقوقی در بازسازی موجود هستند؛ نام نمایندگان برای محاسبه فردی کافی نیست.</t>
  </si>
  <si>
    <t>عبارت فاقد نماینده در اسناد به صفر بودن گردش یا نبود واقعی نماینده تبدیل نشد.</t>
  </si>
  <si>
    <t>V39S08</t>
  </si>
  <si>
    <t>گزارش فعالیت هیئت مدیره سال ۱۴۰۳</t>
  </si>
  <si>
    <t>انتشار ۱۴۰۴/۰۶/۱۶؛ ردیابی 1396276</t>
  </si>
  <si>
    <t>v38 اختلاف فهرست هفت نفره گزارش با پنج نفره تصمیمات مجمع را ثبت کرده است.</t>
  </si>
  <si>
    <t>اصلی یا علی البدل بودن، تاریخ موثر و پنجره دو فهرست هنوز تطبیق نشده است.</t>
  </si>
  <si>
    <t>V39S09</t>
  </si>
  <si>
    <t>هر سه شرکت</t>
  </si>
  <si>
    <t>گزارش آزمون دسترسی مستقیم</t>
  </si>
  <si>
    <t>زمان همین بررسی</t>
  </si>
  <si>
    <t>گزارش فنی محیط</t>
  </si>
  <si>
    <t>fetch_log.json</t>
  </si>
  <si>
    <t>خطای تفکیک نام دامنه در درخواست مستقیم؛ بازکردن صفحات رسمی با ابزار وب نیز ناموفق</t>
  </si>
  <si>
    <t>متن کامل اسناد جدید کدال از این مسیر دریافت نشد.</t>
  </si>
  <si>
    <t>شکست دسترسی به معنی نبود یا منتشر نشدن سند نیست.</t>
  </si>
  <si>
    <t>V39S10</t>
  </si>
  <si>
    <t>۳۰ شرکت</t>
  </si>
  <si>
    <t>فایل مبنا و بازسازی سطح کرسی v38</t>
  </si>
  <si>
    <t>فایل تحویلی کاربر</t>
  </si>
  <si>
    <t>داده و ممیزی قبلی پروژه</t>
  </si>
  <si>
    <t>Iran_BSI_v38_Turnover_Resolved.xlsx</t>
  </si>
  <si>
    <t>فایل کامل با openpyxl خوانده شد</t>
  </si>
  <si>
    <t>مبنای محاسبه CR1A ستون V و برای هشت شرکت نام رئیس از برگه بازسازی سطح کرسی استخراج شد.</t>
  </si>
  <si>
    <t>v39 جایگزین بازخوانی مستقل همه اسناد اولیه ۳۰ شرکت نیست؛ محدودیت شواهد قبلی حفظ شد.</t>
  </si>
  <si>
    <t>کنترل کیفیت و محاسبات</t>
  </si>
  <si>
    <t>گزارش کنترل محاسبات، حفظ داده های خام و تفاوت با فایل مبنا.</t>
  </si>
  <si>
    <t>کنترل</t>
  </si>
  <si>
    <t>روش و دامنه</t>
  </si>
  <si>
    <t>تعداد ردیف شرکت</t>
  </si>
  <si>
    <t>باید ۳۰ باشد</t>
  </si>
  <si>
    <t>تعداد نام یکتا</t>
  </si>
  <si>
    <t>COUNTIF تجمعی؛ باید ۳۰ باشد</t>
  </si>
  <si>
    <t>کدهای موجود CR1A</t>
  </si>
  <si>
    <t>باید ۲۷ باشد</t>
  </si>
  <si>
    <t>باید ۲۶ باشد؛ تایید مستقل جدید همه اسناد نیست</t>
  </si>
  <si>
    <t>جمع تغییر و عدم تغییر</t>
  </si>
  <si>
    <t>باید برابر پوشش محافظه کارانه باشد</t>
  </si>
  <si>
    <t>کامل بودن تفکیک</t>
  </si>
  <si>
    <t>باید برابر ۳۰ باشد</t>
  </si>
  <si>
    <t>تغییر ورودی خام گردش و رئیس</t>
  </si>
  <si>
    <t>مقایسه همه سلول های Turnover نهایی با v38؛ انتظار صفر تفاوت</t>
  </si>
  <si>
    <t>تطبیق هویت رئیس در بازسازی v38</t>
  </si>
  <si>
    <t>هشت شرکت با نام رئیس در هر دو نقطه؛ کد محاسبه با ستون V یکسان بود</t>
  </si>
  <si>
    <t>فرمول های تاریخی با ورودی متن</t>
  </si>
  <si>
    <t>در Audit Coverage با ISNUMBER محافظت و علت فقدان عدد برچسب گذاری شد</t>
  </si>
  <si>
    <t>فرمول یکتایی سازگار شده</t>
  </si>
  <si>
    <t>تبدیل SUMPRODUCT با COUNTIF آرایه ای به COUNTIF تجمعی و SUM</t>
  </si>
  <si>
    <t>تعداد خطای محاسبات پس از بازگشایی</t>
  </si>
  <si>
    <t>بازمحاسبه انجام و همه سلول های خطای محاسبات بررسی شد؛ هیچ خطای اکسل در مقادیر ذخیره شده باقی نماند.</t>
  </si>
  <si>
    <t>تعداد فرمول ها</t>
  </si>
  <si>
    <t>تعداد فرمول های واقعی فایل؛ متن فرمول های قدیمی در ثبت تغییرات به عنوان متن نگهداری می شوند.</t>
  </si>
  <si>
    <t>تعداد سلول های تغییر یافته موجود</t>
  </si>
  <si>
    <t>تفاوت سلول های موجود؛ برگه های جدید جدا از این شمارش اند</t>
  </si>
  <si>
    <t>هش فایل مبنا</t>
  </si>
  <si>
    <t>a38b0c234772920be07af7b7ff8f00754cf8f3c7b582044269856b6b003cb483</t>
  </si>
  <si>
    <t>SHA256؛ فایل مبنا نباید تغییر کرده باشد</t>
  </si>
  <si>
    <t>مرز اعتبار خروجی</t>
  </si>
  <si>
    <t>محاسباتی و ردیابی</t>
  </si>
  <si>
    <t>این بررسی به معنی تایید مستقل همه اعداد تاریخی فایل یا بسته شدن سه پرونده نیست</t>
  </si>
  <si>
    <t>راهنمای فایل نهایی Iran BSI v37</t>
  </si>
  <si>
    <t>این فایل سه خروجی v36 را در یک Master Workbook یکپارچه می کند و هیچ داده ای از فایل های مرجع حذف نشده است.</t>
  </si>
  <si>
    <t>بخش</t>
  </si>
  <si>
    <t>هدف</t>
  </si>
  <si>
    <t>وضعیت</t>
  </si>
  <si>
    <t>منبع</t>
  </si>
  <si>
    <t>روش یا قاعده</t>
  </si>
  <si>
    <t>خروجی قابل استفاده</t>
  </si>
  <si>
    <t>خلاصه نهایی</t>
  </si>
  <si>
    <t>جمع بندی ممیزی و معماری</t>
  </si>
  <si>
    <t>به روز شده</t>
  </si>
  <si>
    <t>v36 Audit + Candidates</t>
  </si>
  <si>
    <t>فقط اعداد و نقش های ممیزی شده</t>
  </si>
  <si>
    <t>ارائه مدیریتی</t>
  </si>
  <si>
    <t>گپ های باز جداگانه ثبت شده</t>
  </si>
  <si>
    <t>نقطه شروع فایل</t>
  </si>
  <si>
    <t>جدول استاد</t>
  </si>
  <si>
    <t>جدول Measureها</t>
  </si>
  <si>
    <t>Audit Measureها + Candidate N02</t>
  </si>
  <si>
    <t>Coverage، Formula، Source و Role کنار هم</t>
  </si>
  <si>
    <t>جلسه استاد</t>
  </si>
  <si>
    <t>N02 هنوز Composite نیست</t>
  </si>
  <si>
    <t>مناسب ارائه</t>
  </si>
  <si>
    <t>معماری به روز شده</t>
  </si>
  <si>
    <t>تصمیم نقش Measureها</t>
  </si>
  <si>
    <t>Final Audit Verdict</t>
  </si>
  <si>
    <t>تفکیک Scale Up، Structural، Control، Robustness و Targeted</t>
  </si>
  <si>
    <t>طراحی Phase 5</t>
  </si>
  <si>
    <t>REF08 هنوز Targeted</t>
  </si>
  <si>
    <t>جلوگیری از دوباره شماری</t>
  </si>
  <si>
    <t>Constructهای مستقل</t>
  </si>
  <si>
    <t>شمارش Constructهای واقعی</t>
  </si>
  <si>
    <t>Audit Redundancy</t>
  </si>
  <si>
    <t>Measureهای مکمل یک Construct دوباره شمرده نمی شوند</t>
  </si>
  <si>
    <t>معماری مفهومی</t>
  </si>
  <si>
    <t>۹ Construct فعلی</t>
  </si>
  <si>
    <t>SEP07 کنترل است</t>
  </si>
  <si>
    <t>Turnover نهایی</t>
  </si>
  <si>
    <t>داده شرکت به شرکت</t>
  </si>
  <si>
    <t>اصلاح شده</t>
  </si>
  <si>
    <t>v36 Final Integrated Audited</t>
  </si>
  <si>
    <t>فرمول صورت و مخرج</t>
  </si>
  <si>
    <t>تحلیل گردش</t>
  </si>
  <si>
    <t>چند Source Review باز</t>
  </si>
  <si>
    <t>خودرو و فارس اصلاح شده اند</t>
  </si>
  <si>
    <t>Audit sheets</t>
  </si>
  <si>
    <t>ممیزی مستقل</t>
  </si>
  <si>
    <t>حفظ کامل</t>
  </si>
  <si>
    <t>Iran_BSI_v36_Independent_Audit.xlsx</t>
  </si>
  <si>
    <t>بازتولید مستقل</t>
  </si>
  <si>
    <t>ردیابی خطا و اصلاح</t>
  </si>
  <si>
    <t>Fully Verified تعریف سخت گیرانه دارد</t>
  </si>
  <si>
    <t>تمام Sheetها در همین فایل کپی شده اند</t>
  </si>
  <si>
    <t>Candidate sheets</t>
  </si>
  <si>
    <t>کشف Measure جدید</t>
  </si>
  <si>
    <t>Iran_BSI_v36_Additional_Measure_Candidates.xlsx</t>
  </si>
  <si>
    <t>Feasibility + Variation + Scalability</t>
  </si>
  <si>
    <t>R&amp;D Measureها</t>
  </si>
  <si>
    <t>فقط N02 Scale Up Candidate شد</t>
  </si>
  <si>
    <t>هیچ Candidate جدید وارد Composite نشده</t>
  </si>
  <si>
    <t>فرمول ها</t>
  </si>
  <si>
    <t>کنترل ارجاع و Recalc در Excel</t>
  </si>
  <si>
    <t>بدون #REF در فرمول ها</t>
  </si>
  <si>
    <t>v36 Audit + QA v37</t>
  </si>
  <si>
    <t>ارجاع فرمول ها بررسی شده و فایل روی Automatic Calculation تنظیم شده است</t>
  </si>
  <si>
    <t>پس از اولین باز کردن در Excel دوباره محاسبه می شود</t>
  </si>
  <si>
    <t>مقادیر فرمولی در این محیط به صورت عددی مستقل Recalculate نشده اند</t>
  </si>
  <si>
    <t>پس از باز کردن در Excel یک Save انجام شود</t>
  </si>
  <si>
    <t>راهنمای محاسبات، منابع و ردیابی داده ها</t>
  </si>
  <si>
    <t>هر عدد یا از منبع رسمی ردیابی می شود یا روش محاسبه آن در این فایل مشخص است</t>
  </si>
  <si>
    <t>کد</t>
  </si>
  <si>
    <t>روش محاسبه یا تعریف عملیاتی</t>
  </si>
  <si>
    <t>منبع تصمیم یا برگه محاسباتی</t>
  </si>
  <si>
    <t>منبع داده خام</t>
  </si>
  <si>
    <t>نوع خروجی</t>
  </si>
  <si>
    <t>قاعده Missingness</t>
  </si>
  <si>
    <t>نکته کنترل کیفیت</t>
  </si>
  <si>
    <t>S1A</t>
  </si>
  <si>
    <t>پروکسی استقلال ساختاری هیئت مدیره</t>
  </si>
  <si>
    <t>تعداد اعضای غیرموظف تقسیم بر تعداد اعضای هیئت مدیره با وضعیت موظف یا غیرموظف قابل تایید. این متغیر استقلال صریح نیست و فقط پروکسی ساختاری است.</t>
  </si>
  <si>
    <t>Iran_BSI_v30_Phase4_2H_PreAdvisorReview.xlsx | معیارهای قابل توسعه، معماری سازه ای و بررسی Separation</t>
  </si>
  <si>
    <t>داده خام وضعیت موظف یا غیرموظف اعضا از افشاهای رسمی هیئت مدیره</t>
  </si>
  <si>
    <t>محاسباتی</t>
  </si>
  <si>
    <t>Missing و قابل اعمال نیست صفر نمی شوند</t>
  </si>
  <si>
    <t>بدون حدس؛ Source_ID و شواهد خام حفظ می شوند</t>
  </si>
  <si>
    <t>V1</t>
  </si>
  <si>
    <t>تنوع رشته تحصیلی</t>
  </si>
  <si>
    <t>Blau خام برابر است با ۱ منهای مجموع مربع سهم هر گروه رشته تحصیلی. اگر اطلاعات رشته تحصیلی عضو فعال برای محاسبه کامل نباشد، Missing به صفر تبدیل نمی شود.</t>
  </si>
  <si>
    <t>Iran_BSI_v30_Phase4_2H_PreAdvisorReview.xlsx | تنوع تحصیلی و معماری آماده استاد</t>
  </si>
  <si>
    <t>Iran_BSI_Variety_SubPilot_A_Batch1_v2.xlsx و نسخه های تکمیلی Variety</t>
  </si>
  <si>
    <t>VAR06_Strict</t>
  </si>
  <si>
    <t>تنوع سابقه حرفه ای، نسخه سخت گیرانه</t>
  </si>
  <si>
    <t>ابتدا سابقه حرفه ای صریح در گروه های از پیش تعریف شده کدگذاری می شود. عنوان عمومی مدیریتی بدون مسیر وظیفه ای به تنهایی طبقه بندی نمی شود. سپس Blau برابر ۱ منهای مجموع مربع سهم گروه ها محاسبه می شود.</t>
  </si>
  <si>
    <t>Iran_BSI_v30_Phase4_2H_PreAdvisorReview.xlsx | تنوع سابقه حرفه ای</t>
  </si>
  <si>
    <t>کدگذاری سابقه حرفه ای اعضا از رزومه و افشاهای رسمی</t>
  </si>
  <si>
    <t>VAR10</t>
  </si>
  <si>
    <t>تخصص مالی مستند ترکیبی</t>
  </si>
  <si>
    <t>تعداد اعضایی که تخصص مالی آنها از تحصیلات یا سابقه حرفه ای به طور مستند قابل تایید است تقسیم بر تعداد اعضای قابل ارزیابی.</t>
  </si>
  <si>
    <t>Iran_BSI_v30_Phase4_2H_PreAdvisorReview.xlsx و Iran_BSI_v31_Phase4_2I_MaximumMeasureRecovery.xlsx | تخصص هیئت مدیره</t>
  </si>
  <si>
    <t>تحصیلات و سابقه حرفه ای رسمی اعضای هیئت مدیره</t>
  </si>
  <si>
    <t>تغییر رئیس هیئت مدیره</t>
  </si>
  <si>
    <t>هویت رئیس هیئت مدیره در پنجره زمانی مشترک با توالی افشاهای رسمی مقایسه می شود. تغییر تاییدشده برابر بله و نبود تغییر تاییدشده برابر خیر است. جهت کیفیت از پیش مثبت یا منفی فرض نمی شود.</t>
  </si>
  <si>
    <t>CR1A v39؛ Turnover Seat Reconstruction v38؛ تاریخچه v30 محفوظ است</t>
  </si>
  <si>
    <t>افشاهای رسمی انتصاب و تغییر اعضای هیئت مدیره</t>
  </si>
  <si>
    <t>استخراج و مقایسه</t>
  </si>
  <si>
    <t>نامشخص و متعارض صفر نمی شوند؛ پوشش عددی از پوشش محافظه کارانه جدا است. تاریخ موثر مبنای اصلی است و حساسیت انتشار جم حفظ می شود.</t>
  </si>
  <si>
    <t>AUD01</t>
  </si>
  <si>
    <t>وجود کمیته حسابرسی</t>
  </si>
  <si>
    <t>وجود کمیته حسابرسی فقط با افشای رسمی صریح تایید می شود. نبود منبع کافی به معنی صفر نیست.</t>
  </si>
  <si>
    <t>Iran_BSI_v30_Phase4_2H_PreAdvisorReview.xlsx و Iran_BSI_v31_Phase4_2I_MaximumMeasureRecovery.xlsx | کمیته حسابرسی</t>
  </si>
  <si>
    <t>گزارش های فعالیت هیئت مدیره و جداول کمیته حسابرسی</t>
  </si>
  <si>
    <t>AUD02</t>
  </si>
  <si>
    <t>اندازه کمیته حسابرسی</t>
  </si>
  <si>
    <t>تعداد اعضای کمیته حسابرسی فقط در شرکت هایی که فهرست اعضا به طور کامل قابل خواندن و تایید است.</t>
  </si>
  <si>
    <t>Iran_BSI_v31_Phase4_2I_MaximumMeasureRecovery.xlsx | کمیته حسابرسی خام و معیارهای کمیته حسابرسی</t>
  </si>
  <si>
    <t>فهرست رسمی اعضای کمیته حسابرسی</t>
  </si>
  <si>
    <t>IRN01</t>
  </si>
  <si>
    <t>سهم کرسی اشخاص حقوقی</t>
  </si>
  <si>
    <t>تعداد کرسی هایی که صاحب کرسی آنها شخص حقوقی است تقسیم بر کل کرسی های فعال و قابل طبقه بندی هیئت مدیره.</t>
  </si>
  <si>
    <t>Iran_BSI_v30_Phase4_2H_PreAdvisorReview.xlsx | ساختار اشخاص حقوقی و معیارهای قابل توسعه</t>
  </si>
  <si>
    <t>جداول رسمی ترکیب هیئت مدیره</t>
  </si>
  <si>
    <t>IRN02</t>
  </si>
  <si>
    <t>سهم کرسی اشخاص حقیقی</t>
  </si>
  <si>
    <t>تعداد کرسی های مستقیم اشخاص حقیقی تقسیم بر کل کرسی های فعال و قابل طبقه بندی. در طبقه بندی کامل، مکمل ریاضی IRN01 است.</t>
  </si>
  <si>
    <t>SEP07</t>
  </si>
  <si>
    <t>تفکیک مدیرعامل و رئیس هیئت مدیره</t>
  </si>
  <si>
    <t>اگر مدیرعامل و رئیس هیئت مدیره دو شخص متفاوت باشند مقدار تفکیک تایید می شود. هویت ها فقط از افشای رسمی گرفته می شوند.</t>
  </si>
  <si>
    <t>Iran_BSI_v30_Phase4_2H_PreAdvisorReview.xlsx | تفکیک مدیرعامل و رئیس هیئت مدیره</t>
  </si>
  <si>
    <t>هویت رئیس و مدیرعامل در افشاهای رسمی</t>
  </si>
  <si>
    <t>REF05</t>
  </si>
  <si>
    <t>نرخ گردش شخص حقیقی هیئت مدیره</t>
  </si>
  <si>
    <t>تعداد کرسی های قابل مقایسه که شخص حقیقی آنها بین Snapshot ۱۴۰۳ و ۱۴۰۴ تغییر کرده تقسیم بر تعداد کرسی های دارای شخص حقیقی قابل مقایسه. تغییر سمت به تنهایی Turnover نیست و کرسی خالی به صورت خودکار تغییر نماینده محسوب نمی شود.</t>
  </si>
  <si>
    <t>Turnover نهایی | ستون های صورت گردش فردی و مخرج گردش فردی</t>
  </si>
  <si>
    <t>v33 و شش Batch بررسی بصری و تطبیق اسناد کدال</t>
  </si>
  <si>
    <t>REF08</t>
  </si>
  <si>
    <t>نرخ تغییر نماینده حقیقی با شخص حقوقی ثابت</t>
  </si>
  <si>
    <t>تعداد کرسی هایی که شخص حقوقی در دو Snapshot ثابت مانده ولی نماینده حقیقی تغییر کرده تقسیم بر تعداد کرسی های شخص حقوقی ثابت و قابل مقایسه.</t>
  </si>
  <si>
    <t>Turnover نهایی | ستون های صورت تغییر نماینده و مخرج تغییر نماینده</t>
  </si>
  <si>
    <t>ROB_LEGAL</t>
  </si>
  <si>
    <t>نرخ تغییر شخص حقوقی</t>
  </si>
  <si>
    <t>تعداد کرسی های قابل مقایسه که شخص حقوقی صاحب کرسی تغییر کرده تقسیم بر تعداد کرسی های قابل مقایسه.</t>
  </si>
  <si>
    <t>Turnover نهایی | ستون های صورت و مخرج تغییر شخص حقوقی</t>
  </si>
  <si>
    <t>خانواده Turnover، برای Robustness و تشخیص ساختاری</t>
  </si>
  <si>
    <t>ROB_NEW</t>
  </si>
  <si>
    <t>سهم اعضای جدید</t>
  </si>
  <si>
    <t>تعداد افراد فعال ۱۴۰۴ که در Roster قابل مقایسه ۱۴۰۳ حضور نداشتند تقسیم بر تعداد افراد فعال ۱۴۰۴. جابه جایی همان فرد بین کرسی ها عضو جدید محسوب نمی شود.</t>
  </si>
  <si>
    <t>Turnover نهایی | ستون های صورت و مخرج عضو جدید</t>
  </si>
  <si>
    <t>خانواده Turnover</t>
  </si>
  <si>
    <t>ROB_STABILITY</t>
  </si>
  <si>
    <t>نرخ ثبات هیئت مدیره</t>
  </si>
  <si>
    <t>تعداد کرسی های قابل مقایسه که شخص حقیقی آنها ثابت مانده تقسیم بر تعداد کرسی های شخص حقیقی قابل مقایسه. این معیار مکمل ریاضی Turnover است و همزمان با آن در Composite وارد نمی شود.</t>
  </si>
  <si>
    <t>Turnover نهایی | ستون های صورت و مخرج ثبات</t>
  </si>
  <si>
    <t>COVERAGE</t>
  </si>
  <si>
    <t>پوشش داده</t>
  </si>
  <si>
    <t>تعداد شرکت های دارای مقدار تاییدشده تقسیم بر تعداد شرکت های واجد شرایط همان Measure. شرکت های خارج از دامنه یا قابل اعمال نبودن از مخرج مناسب حذف می شوند.</t>
  </si>
  <si>
    <t>برگه پوشش نهایی</t>
  </si>
  <si>
    <t>محاسبه از برگه Turnover نهایی و وضعیت ۳۰ شرکت</t>
  </si>
  <si>
    <t>CORR</t>
  </si>
  <si>
    <t>همبستگی Measureها</t>
  </si>
  <si>
    <t>همبستگی Pearson روی نرخ های موجود و قابل مقایسه. این خروجی فقط برای بررسی همپوشانی است و به تنهایی مبنای انتخاب کیفیت نیست.</t>
  </si>
  <si>
    <t>برگه Correlation</t>
  </si>
  <si>
    <t>محاسبه از نرخ های تاییدشده Turnover نهایی</t>
  </si>
  <si>
    <t>ردیابی برگه های فایل</t>
  </si>
  <si>
    <t>برگه</t>
  </si>
  <si>
    <t>روش تولید</t>
  </si>
  <si>
    <t>منبع یا ورودی</t>
  </si>
  <si>
    <t>فرمول یا منطق</t>
  </si>
  <si>
    <t>آیا داده خام دارد؟</t>
  </si>
  <si>
    <t>کنترل کیفیت</t>
  </si>
  <si>
    <t>جمع بندی تغییر Coverage و معماری</t>
  </si>
  <si>
    <t>تجمیع خروجی های سایر برگه ها</t>
  </si>
  <si>
    <t>پوشش نهایی، معماری به روز شده و Audit Trail</t>
  </si>
  <si>
    <t>مقایسه قبل و بعد</t>
  </si>
  <si>
    <t>سازگاری اعداد با برگه های مرجع</t>
  </si>
  <si>
    <t>خروجی ارائه ای</t>
  </si>
  <si>
    <t>نمایش Measureهای قابل توسعه</t>
  </si>
  <si>
    <t>تجمیع معماری و Coverage</t>
  </si>
  <si>
    <t>معماری به روز شده و پوشش نهایی</t>
  </si>
  <si>
    <t>Coverage برابر دارای داده تقسیم بر واجد شرایط</t>
  </si>
  <si>
    <t>فرمول های Coverage نگهداری شده</t>
  </si>
  <si>
    <t>تصمیم نهایی Measureها</t>
  </si>
  <si>
    <t>سنتز شواهد فازهای ۴.۲ و Batchها</t>
  </si>
  <si>
    <t>v30، v31، v33 و v34</t>
  </si>
  <si>
    <t>رتبه معماری براساس Coverage، Variation، جهت نظری و مقیاس پذیری</t>
  </si>
  <si>
    <t>جهت نظری از Coverage جدا نگه داشته شده</t>
  </si>
  <si>
    <t>گروه بندی Measureهای هم سازه</t>
  </si>
  <si>
    <t>Measureهای مکمل یا تبدیل ریاضی یک Construct مستقل محسوب نمی شوند</t>
  </si>
  <si>
    <t>همپوشانی مفهومی کنترل شده</t>
  </si>
  <si>
    <t>وضعیت ۳۰ شرکت</t>
  </si>
  <si>
    <t>وضعیت نهایی هر شرکت</t>
  </si>
  <si>
    <t>تجمیع v33 و Batchهای ۱ تا ۶</t>
  </si>
  <si>
    <t>اسناد کدال و فایل های Batch</t>
  </si>
  <si>
    <t>طبقه بندی تاییدشده، حل نشده، خارج از مخرج</t>
  </si>
  <si>
    <t>هیچ Missing به صفر تبدیل نشده</t>
  </si>
  <si>
    <t>محاسبات اصلی گردش و تغییر نماینده</t>
  </si>
  <si>
    <t>تطبیق دو Snapshot سال ۱۴۰۳ و ۱۴۰۴</t>
  </si>
  <si>
    <t>اسناد رسمی کدال، v33 و Batchهای ۱ تا ۶</t>
  </si>
  <si>
    <t>نرخ ها از صورت تقسیم بر مخرج محاسبه می شوند</t>
  </si>
  <si>
    <t>Cutoff، vacancy، تغییر سمت و N/A کنترل شده</t>
  </si>
  <si>
    <t>مرجع اصلی خانواده Turnover</t>
  </si>
  <si>
    <t>پوشش نهایی</t>
  </si>
  <si>
    <t>Coverage خانواده Turnover</t>
  </si>
  <si>
    <t>شمارش از Turnover نهایی</t>
  </si>
  <si>
    <t>دارای داده تقسیم بر واجد شرایط</t>
  </si>
  <si>
    <t>N/A و خارج از مخرج جدا هستند</t>
  </si>
  <si>
    <t>Variation نهایی</t>
  </si>
  <si>
    <t>آمار توصیفی</t>
  </si>
  <si>
    <t>محاسبه روی نرخ های تاییدشده</t>
  </si>
  <si>
    <t>کمینه، بیشینه، میانگین، میانه، انحراف معیار و شمارش صفر</t>
  </si>
  <si>
    <t>فقط داده تاییدشده</t>
  </si>
  <si>
    <t>Correlation</t>
  </si>
  <si>
    <t>بررسی همپوشانی</t>
  </si>
  <si>
    <t>Pearson روی مشاهدات زوجی</t>
  </si>
  <si>
    <t>CORREL روی نرخ های موجود</t>
  </si>
  <si>
    <t>برای جلوگیری از دوباره شماری</t>
  </si>
  <si>
    <t>Construct ایران محور</t>
  </si>
  <si>
    <t>ارزیابی پویایی نمایندگی</t>
  </si>
  <si>
    <t>سنتز REF08</t>
  </si>
  <si>
    <t>شمارش وقوع، میانگین، میانه، کمینه، بیشینه و همبستگی</t>
  </si>
  <si>
    <t>فقط شرکت های دارای ساختار نمایندگی حقوقی تاییدشده</t>
  </si>
  <si>
    <t>۱۲ شاخص اصلی BSI</t>
  </si>
  <si>
    <t>Mapping شاخص اصلی به ایران</t>
  </si>
  <si>
    <t>ممیزی مفهومی و داده ای</t>
  </si>
  <si>
    <t>v30 و v31</t>
  </si>
  <si>
    <t>Direct، Proxy، Robustness، Drop یا Unresolved</t>
  </si>
  <si>
    <t>هیچ معادل مستقیم بدون شواهد ادعا نشده</t>
  </si>
  <si>
    <t>ثبت منابع Batchها</t>
  </si>
  <si>
    <t>ثبت Source_ID و لینک کدال</t>
  </si>
  <si>
    <t>استخراج مستقیم از فایل های Batch</t>
  </si>
  <si>
    <t>اسناد رسمی کدال</t>
  </si>
  <si>
    <t>بدون محاسبه</t>
  </si>
  <si>
    <t>ردیابی Source_ID و صفحه</t>
  </si>
  <si>
    <t>مرجع URL</t>
  </si>
  <si>
    <t>Audit Trail</t>
  </si>
  <si>
    <t>تاریخچه تصمیم ها</t>
  </si>
  <si>
    <t>ثبت تغییرات مرحله ای</t>
  </si>
  <si>
    <t>v33 و Batchهای ۱ تا ۶</t>
  </si>
  <si>
    <t>قابلیت بازسازی تصمیم</t>
  </si>
  <si>
    <t>چک لیست نهایی</t>
  </si>
  <si>
    <t>کنترل پایانی</t>
  </si>
  <si>
    <t>ممیزی ساختاری فایل</t>
  </si>
  <si>
    <t>تمام برگه ها</t>
  </si>
  <si>
    <t>کنترل تعداد شرکت، Missingness، فرمول و تکرار</t>
  </si>
  <si>
    <t>باید قبل از تحویل تایید باشد</t>
  </si>
  <si>
    <t>گپ های باز و تاریخچه حل تا v39</t>
  </si>
  <si>
    <t>ID</t>
  </si>
  <si>
    <t>شرکت یا Measure</t>
  </si>
  <si>
    <t>مشکل</t>
  </si>
  <si>
    <t>شاهد</t>
  </si>
  <si>
    <t>اقدام لازم</t>
  </si>
  <si>
    <t>قاعده تصمیم</t>
  </si>
  <si>
    <t>G01</t>
  </si>
  <si>
    <t>Turnover identity</t>
  </si>
  <si>
    <t>Snapshot FY1403 ناهمتراز و احتمال Look Ahead</t>
  </si>
  <si>
    <t>Conflict Log C10</t>
  </si>
  <si>
    <t>حل شد (v38)</t>
  </si>
  <si>
    <t>بازبینی سند و Snapshot قبل از Cutoff</t>
  </si>
  <si>
    <t>Confirmed: Snapshot تاپیکو بازسازی شد</t>
  </si>
  <si>
    <t>G02</t>
  </si>
  <si>
    <t>هویت K برابر N منهای M نقض شده</t>
  </si>
  <si>
    <t>Conflict Log C13</t>
  </si>
  <si>
    <t>بازخوانی Seat Matching</t>
  </si>
  <si>
    <t>Confirmed: Snapshot مبنا Look-Ahead بود</t>
  </si>
  <si>
    <t>G03</t>
  </si>
  <si>
    <t>Q برابر ۷ با ساختار حقوقی v22 ناسازگار</t>
  </si>
  <si>
    <t>Conflict Log C11</t>
  </si>
  <si>
    <t>بازبینی roster و seat structure</t>
  </si>
  <si>
    <t>High: Q=5؛ ۵ کرسی حقوقی</t>
  </si>
  <si>
    <t>G04</t>
  </si>
  <si>
    <t>ساختار حل شده؛ تاریخ خروج شریفیان و ناسازگاری اسناد نیازمند بررسی است.</t>
  </si>
  <si>
    <t>Conflict Log C12</t>
  </si>
  <si>
    <t>باز با شواهد تکمیلی v39</t>
  </si>
  <si>
    <t>دریافت سند خروج و تطبیق نسخه اولیه با اصلاحیه</t>
  </si>
  <si>
    <t>ساختار تایید؛ تاریخ خروج شریفیان Needs Review</t>
  </si>
  <si>
    <t>G05</t>
  </si>
  <si>
    <t>P کمتر از G</t>
  </si>
  <si>
    <t>Conflict Log C14</t>
  </si>
  <si>
    <t>بازبینی New Member vs Seat Change</t>
  </si>
  <si>
    <t>P&lt;G مشروع (جابه‌جایی)؛ P=1</t>
  </si>
  <si>
    <t>G06</t>
  </si>
  <si>
    <t>بازبینی جابجایی فرد بین کرسی ها</t>
  </si>
  <si>
    <t>مقادیر v35 تایید؛ P&lt;G مشروع</t>
  </si>
  <si>
    <t>G07</t>
  </si>
  <si>
    <t>AUD01 page review</t>
  </si>
  <si>
    <t>۶ شرکت Keyword Hit</t>
  </si>
  <si>
    <t>وجود کلیدواژه بدون تایید صفحه</t>
  </si>
  <si>
    <t>Conflict Log و Audit Committees</t>
  </si>
  <si>
    <t>حل شد برای ۶ شرکت؛ وپاسار باز</t>
  </si>
  <si>
    <t>بازبینی صفحه</t>
  </si>
  <si>
    <t>Keyword Hit به تنهایی YES نیست؛ فقط افشای صریح</t>
  </si>
  <si>
    <t>G08</t>
  </si>
  <si>
    <t>Source URL</t>
  </si>
  <si>
    <t>۹ شرکت</t>
  </si>
  <si>
    <t>URL منبع در رجیستری کامل نیست</t>
  </si>
  <si>
    <t>Conflict Log C18</t>
  </si>
  <si>
    <t>باز</t>
  </si>
  <si>
    <t>تکمیل Source Registry</t>
  </si>
  <si>
    <t>نبود URL به معنی نبود Source نیست ولی provenance باید کامل شود</t>
  </si>
  <si>
    <t>G09</t>
  </si>
  <si>
    <t>Source registry</t>
  </si>
  <si>
    <t>۴ شرکت</t>
  </si>
  <si>
    <t>ردیف پایه رجیستری موجود نیست</t>
  </si>
  <si>
    <t>افزودن ردیف پایه Source_ID</t>
  </si>
  <si>
    <t>تمام مقدارهای Raw باید Source داشته باشند</t>
  </si>
  <si>
    <t>G10</t>
  </si>
  <si>
    <t>دلیل تغییر نماینده تایید نشده</t>
  </si>
  <si>
    <t>Required Corrections</t>
  </si>
  <si>
    <t>Source Review</t>
  </si>
  <si>
    <t>REF08 خودرو = ۱/۵</t>
  </si>
  <si>
    <t>G11</t>
  </si>
  <si>
    <t>ترکیب تاریخی هیئت مدیره</t>
  </si>
  <si>
    <t>پایان ۱۴۰۴ مستند نیست و پایه پنج یا هفت نفره حل نشده است.</t>
  </si>
  <si>
    <t>V39S04؛ V39S08</t>
  </si>
  <si>
    <t>باز در v39</t>
  </si>
  <si>
    <t>دریافت گزارش 1526305 و تطبیق صورتجلسه و امضاها</t>
  </si>
  <si>
    <t>فراداده سند با متن و فهرست اعضا یکسان نیست</t>
  </si>
  <si>
    <t>G12</t>
  </si>
  <si>
    <t>نمایندگان حقیقی</t>
  </si>
  <si>
    <t>دو نام تاریخی یافت شد اما پنج نماینده در دو نقطه شناخته نیستند.</t>
  </si>
  <si>
    <t>V39S05؛ V39S07</t>
  </si>
  <si>
    <t>صورتجلسه تعیین سمت و نگاشت نماینده به کرسی</t>
  </si>
  <si>
    <t>نام مدیرعامل به تنهایی عضویت یا نمایندگی حقوقی را اثبات نمی کند</t>
  </si>
  <si>
    <t>G13</t>
  </si>
  <si>
    <t>تعارض تغییر رئیس</t>
  </si>
  <si>
    <t>خیر در v38 با پرچم تعارض قبلی همراه است؛ سند حل کننده در این مرحله دریافت نشد.</t>
  </si>
  <si>
    <t>CR1A v39؛ Conflict Log C04</t>
  </si>
  <si>
    <t>تطبیق نام رئیس در دو نقطه و افشاهای میانی</t>
  </si>
  <si>
    <t>از شمارش محافظه کارانه کنار گذاشته شد؛ مقدار خام حذف نشد</t>
  </si>
  <si>
    <t>جمع بندی نهایی ممیزی مستقل Iran BSI</t>
  </si>
  <si>
    <t>نسخه v39 مبتنی بر فایل v38؛ محاسبات CR1A همگام و سه پرونده سندی با وضعیت واقعی ثبت شدند.</t>
  </si>
  <si>
    <t>وضعیت نهایی</t>
  </si>
  <si>
    <t>عدد یا دامنه</t>
  </si>
  <si>
    <t>تفسیر</t>
  </si>
  <si>
    <t>روش محاسبه یا مبنا</t>
  </si>
  <si>
    <t>وضعیت ممیزی</t>
  </si>
  <si>
    <t>اقدام بعدی</t>
  </si>
  <si>
    <t>حکم فایل v35</t>
  </si>
  <si>
    <t>نیازمند اصلاحات اساسی</t>
  </si>
  <si>
    <t>V35_REQUIRES_MATERIAL_CORRECTIONS</t>
  </si>
  <si>
    <t>ممیزی مستقل چند اصلاح عددی و معماری پیدا کرد</t>
  </si>
  <si>
    <t>ممیزی بازتولیدپذیری داده، Coverage، فرمول و Source</t>
  </si>
  <si>
    <t>قطعی</t>
  </si>
  <si>
    <t>نسخه v35 مبنا قرار نگیرد</t>
  </si>
  <si>
    <t>نسخه جاری</t>
  </si>
  <si>
    <t>اصلاحات تاییدشده اعمال شده</t>
  </si>
  <si>
    <t>v39 CR1A Audit and Open Gaps</t>
  </si>
  <si>
    <t>همگام سازی تغییر رئیس و اصلاح فرمول های ناسازگار انجام شد؛ داده خام سه شرکت بدون سند تازه تغییر نکرد.</t>
  </si>
  <si>
    <t>CR1A v39؛ Gap Review v39؛ Changes v39</t>
  </si>
  <si>
    <t>فقط اصلاحات دارای شاهد اعمال شده اند</t>
  </si>
  <si>
    <t>قابل استفاده با محدودیت و گپ باز</t>
  </si>
  <si>
    <t>بازبینی Source Reviewهای باز</t>
  </si>
  <si>
    <t>Measureهای موجود برای Scale Up</t>
  </si>
  <si>
    <t>۶ Measure</t>
  </si>
  <si>
    <t>S1A, V1, VAR06, VAR10, AUD01, REF05</t>
  </si>
  <si>
    <t>شش Measure موجود پس از ممیزی همچنان قابلیت توسعه دارند</t>
  </si>
  <si>
    <t>Audit Measureها</t>
  </si>
  <si>
    <t>شمارش وضعیت SCALE_UP_PRIMARY و SCALE_UP_WITH_LIMITATION در Measureهای موجود</t>
  </si>
  <si>
    <t>با محدودیت</t>
  </si>
  <si>
    <t>در طراحی نمونه اصلی حفظ شوند</t>
  </si>
  <si>
    <t>Measure ساختاری ایران</t>
  </si>
  <si>
    <t>۱ Measure</t>
  </si>
  <si>
    <t>ساختاری است و نباید به صورت مکانیکی Higher Better امتیازدهی شود</t>
  </si>
  <si>
    <t>سهم کرسی های اشخاص حقوقی از کل کرسی های قابل طبقه بندی</t>
  </si>
  <si>
    <t>به عنوان Measure ساختاری نگهداری شود</t>
  </si>
  <si>
    <t>Measureهای کنترلی</t>
  </si>
  <si>
    <t>۲ Measure</t>
  </si>
  <si>
    <t>CR1A و SEP07</t>
  </si>
  <si>
    <t>CR1A جهت کیفی روشن ندارد و SEP07 در ۲۶ شرکت شناخته شده Variation صفر دارد</t>
  </si>
  <si>
    <t>طبقه بندی CONTROL_DIAGNOSTIC</t>
  </si>
  <si>
    <t>در Composite اصلی وارد نشوند</t>
  </si>
  <si>
    <t>Measureهای Robustness موجود</t>
  </si>
  <si>
    <t>AUD02 و IRN02</t>
  </si>
  <si>
    <t>AUD02 توصیفی است و IRN02 مکمل دقیق IRN01 است</t>
  </si>
  <si>
    <t>نقش Robustness و کنترل دوباره شماری</t>
  </si>
  <si>
    <t>فقط در Robustness</t>
  </si>
  <si>
    <t>نیازمند اعتبارسنجی هدفمند</t>
  </si>
  <si>
    <t>25 از 25 واجد شرایط (v38)</t>
  </si>
  <si>
    <t>پوشش عددی REF08 طبق v38 برابر ۲۵ از ۲۵ واجد شرایط است؛ این عدد به معنی بسته شدن پرونده های فردی سه شرکت نیست.</t>
  </si>
  <si>
    <t>Audit Coverage + Conflict Log</t>
  </si>
  <si>
    <t>تغییر نماینده حقیقی فقط در کرسی با شخص حقوقی ثابت</t>
  </si>
  <si>
    <t>NEEDS_SOURCE_REVIEW</t>
  </si>
  <si>
    <t>قبل از Scale Up بازبینی موارد باز</t>
  </si>
  <si>
    <t>۹ Construct</t>
  </si>
  <si>
    <t>پس از خروج SEP07 از Construct مستقل</t>
  </si>
  <si>
    <t>شمارش ۱۰ Construct قبلی اصلاح شد</t>
  </si>
  <si>
    <t>گروه بندی Measureهای غیرتکراری پس از Redundancy Audit</t>
  </si>
  <si>
    <t>مبنای معماری فعلی</t>
  </si>
  <si>
    <t>Candidate جدید قابل توسعه</t>
  </si>
  <si>
    <t>سهم اعضای دارای دکترا</t>
  </si>
  <si>
    <t>۳۰ از ۳۰ شرکت</t>
  </si>
  <si>
    <t>Variation واقعی دارد ولی با V1 و VAR10 همپوشانی جزئی دارد</t>
  </si>
  <si>
    <t>Scale Up Candidates</t>
  </si>
  <si>
    <t>تعداد اعضای دارای مدرک دکترا تقسیم بر اعضای دارای Education Level قابل ارزیابی</t>
  </si>
  <si>
    <t>SCALE_UP_WITH_LIMITATION</t>
  </si>
  <si>
    <t>فعلا خارج Composite، در Phase 5 تست شود</t>
  </si>
  <si>
    <t>Fully Verified در تعریف سخت گیرانه</t>
  </si>
  <si>
    <t>۰ Measure</t>
  </si>
  <si>
    <t>تعریف Source to Value داخل همین فایل</t>
  </si>
  <si>
    <t>این صفر به معنی بی اعتبار بودن Measureها نیست؛ یعنی داده خام per firm همه Measureهای غیر Turnover داخل v35 تعبیه نشده بود</t>
  </si>
  <si>
    <t>Verified Measures</t>
  </si>
  <si>
    <t>تعریف سخت گیرانه ممیزی مستقل</t>
  </si>
  <si>
    <t>محتاطانه</t>
  </si>
  <si>
    <t>برای Fully Verified باید Raw Per Firm همه Measureها در Master وارد شود</t>
  </si>
  <si>
    <t>Verified With Limitation</t>
  </si>
  <si>
    <t>۸ Measure</t>
  </si>
  <si>
    <t>S1A, V1, VAR10, IRN01, IRN02, ROB_LEGAL, ROB_NEW, ROB_STABILITY</t>
  </si>
  <si>
    <t>این Measureها از ممیزی عبور کرده اند ولی محدودیت روش شناختی یا داده ای دارند</t>
  </si>
  <si>
    <t>طبقه VERIFIED_WITH_LIMITATION</t>
  </si>
  <si>
    <t>قابل استفاده با محدودیت</t>
  </si>
  <si>
    <t>محدودیت هر Measure حفظ شود</t>
  </si>
  <si>
    <t>گپ های باز مهم</t>
  </si>
  <si>
    <t>وتجارت، وپاسار، حکشتی؛ تعارض CR1A فملی؛ موارد کمیته حسابرسی و منابع از مراحل قبل</t>
  </si>
  <si>
    <t>برای سه شرکت سندی که امکان بسته شدن کامل پرونده را بدهد دریافت نشد؛ سرنخ های تازه ثبت شد و هیچ داده حدسی وارد نشد.</t>
  </si>
  <si>
    <t>Gap Review v39؛ CR1A v39؛ گپ های باز</t>
  </si>
  <si>
    <t>ثبت تعارض بدون حدس عددی</t>
  </si>
  <si>
    <t>تکمیل اسناد تاریخی و حل تعارض ها پیش از نهایی کردن پایگاه</t>
  </si>
  <si>
    <t>وضعیت پروژه</t>
  </si>
  <si>
    <t>[x]</t>
  </si>
  <si>
    <t>Phase 4.2A تا Phase 4.2K</t>
  </si>
  <si>
    <t>شش Batch تکمیل Turnover</t>
  </si>
  <si>
    <t>ممیزی مستقل v35</t>
  </si>
  <si>
    <t>اصلاحات تاییدشده v36</t>
  </si>
  <si>
    <t>کشف Measureهای جدید</t>
  </si>
  <si>
    <t>[ ]</t>
  </si>
  <si>
    <t>بررسی استاد</t>
  </si>
  <si>
    <t>Phase 5 طراحی نمونه اصلی</t>
  </si>
  <si>
    <t>Phase 6 استخراج در مقیاس بزرگ</t>
  </si>
  <si>
    <t>Phase 7 ساخت شاخص نهایی</t>
  </si>
  <si>
    <t>Phase 8 اعتبارسنجی</t>
  </si>
  <si>
    <t>Phase 9 سنجش تاب آوری</t>
  </si>
  <si>
    <t>جدول نهایی Measureها برای ارائه به استاد پس از ممیزی مستقل</t>
  </si>
  <si>
    <t>Measureهای موجود، نقش نهایی، پوشش ممیزی و Candidate جدید قابل توسعه</t>
  </si>
  <si>
    <t>سازه</t>
  </si>
  <si>
    <t>دارای داده</t>
  </si>
  <si>
    <t>واجد شرایط</t>
  </si>
  <si>
    <t>پوشش واجد شرایط</t>
  </si>
  <si>
    <t>پوشش کل ۳۰</t>
  </si>
  <si>
    <t>Variation</t>
  </si>
  <si>
    <t>Evidence Quality</t>
  </si>
  <si>
    <t>Directionality</t>
  </si>
  <si>
    <t>نقش در معماری</t>
  </si>
  <si>
    <t>محدودیت اصلی</t>
  </si>
  <si>
    <t>منبع اصلی</t>
  </si>
  <si>
    <t>اقدام</t>
  </si>
  <si>
    <t>استقلال ساختاری</t>
  </si>
  <si>
    <t>MODERATE</t>
  </si>
  <si>
    <t>CONTEXT_DEPENDENT</t>
  </si>
  <si>
    <t>اصلی</t>
  </si>
  <si>
    <t>SCALE_UP_PRIMARY</t>
  </si>
  <si>
    <t>پروکسی است نه استقلال صریح</t>
  </si>
  <si>
    <t>اعضای غیرموظف تقسیم بر اعضای دارای وضعیت موظف یا غیرموظف قابل تایید</t>
  </si>
  <si>
    <t>v22 Canonical Board Members + Source_IDهای ممیزی</t>
  </si>
  <si>
    <t>VERIFIED_WITH_LIMITATION</t>
  </si>
  <si>
    <t>حفظ</t>
  </si>
  <si>
    <t>تنوع تحصیلی</t>
  </si>
  <si>
    <t>POSITIVE_DIRECTION</t>
  </si>
  <si>
    <t>حساس به اندازه هیئت</t>
  </si>
  <si>
    <t>Blau خام برابر ۱ منهای مجموع مربع سهم رشته ها</t>
  </si>
  <si>
    <t>v22 Education_Field_Harmonized</t>
  </si>
  <si>
    <t>تنوع حرفه ای</t>
  </si>
  <si>
    <t>اصلی با محدودیت</t>
  </si>
  <si>
    <t>بار قضاوت انسانی و پوشش ۲۷</t>
  </si>
  <si>
    <t>کدگذاری Strict سپس Blau خام</t>
  </si>
  <si>
    <t>v25 Professional Background Strict</t>
  </si>
  <si>
    <t>NEEDS_CORRECTION</t>
  </si>
  <si>
    <t>پوشش اصلاح شده، منطق حفظ</t>
  </si>
  <si>
    <t>تخصص هیئت مدیره</t>
  </si>
  <si>
    <t>همپوشانی با سابقه حرفه ای و تحصیلی</t>
  </si>
  <si>
    <t>اعضای دارای تخصص مالی مستند تقسیم بر اعضای قابل ارزیابی</t>
  </si>
  <si>
    <t>v25 Financial Expertise</t>
  </si>
  <si>
    <t>ثبات رهبری</t>
  </si>
  <si>
    <t>LOW</t>
  </si>
  <si>
    <t>NO_CLEAR_DIRECTION</t>
  </si>
  <si>
    <t>کنترلی</t>
  </si>
  <si>
    <t>CONTROL_DIAGNOSTIC</t>
  </si>
  <si>
    <t>۲۷ کد موجود؛ ۲۶ بدون تعارض باز ثبت شده؛ فملی نیازمند بررسی و سه شرکت نامشخص</t>
  </si>
  <si>
    <t>مقایسه هویت رئیس در chronology رسمی</t>
  </si>
  <si>
    <t>CR1A v39؛ بازسازی سطح کرسی v38 و ممیزی های قبلی</t>
  </si>
  <si>
    <t>خارج Composite</t>
  </si>
  <si>
    <t>نظارت</t>
  </si>
  <si>
    <t>وپاسار هنوز بدون افشای صریح؛ مقطع پایان دوره شرکت ها یکسان نیست</t>
  </si>
  <si>
    <t>وجود فقط با افشای رسمی صریح تایید می شود</t>
  </si>
  <si>
    <t>AC Company v40 و AC Sources v40</t>
  </si>
  <si>
    <t>حفظ با بازبینی موارد باز</t>
  </si>
  <si>
    <t>NONLINEAR_POSSIBLE</t>
  </si>
  <si>
    <t>Robustness</t>
  </si>
  <si>
    <t>ROBUSTNESS_ONLY</t>
  </si>
  <si>
    <t>سه شرکت با فهرست ناقص یا نامشخص (فخوز، حکشتی، وپاسار)</t>
  </si>
  <si>
    <t>تعداد اعضای کمیته در roster کامل و قابل خواندن</t>
  </si>
  <si>
    <t>AC Members v40 و AC Company v40</t>
  </si>
  <si>
    <t>فقط Robustness</t>
  </si>
  <si>
    <t>ساختار نمایندگی</t>
  </si>
  <si>
    <t>ضعیف</t>
  </si>
  <si>
    <t>ساختاری</t>
  </si>
  <si>
    <t>STRUCTURAL_GOVERNANCE_MEASURE</t>
  </si>
  <si>
    <t>تقریبا Dummy بانکی</t>
  </si>
  <si>
    <t>کرسی حقوقی تقسیم بر کل کرسی های فعال قابل طبقه بندی</t>
  </si>
  <si>
    <t>v22 Legal_Entity_Represented</t>
  </si>
  <si>
    <t>حفظ به عنوان ساختاری</t>
  </si>
  <si>
    <t>مکمل دقیق IRN01</t>
  </si>
  <si>
    <t>کرسی حقیقی تقسیم بر کل کرسی های فعال قابل طبقه بندی</t>
  </si>
  <si>
    <t>v22</t>
  </si>
  <si>
    <t>همزمان با IRN01 وارد نشود</t>
  </si>
  <si>
    <t>تفکیک رهبری</t>
  </si>
  <si>
    <t>صفر</t>
  </si>
  <si>
    <t>Variation صفر در ۲۶ شرکت شناخته شده</t>
  </si>
  <si>
    <t>دو شخص متفاوت برابر تفکیک</t>
  </si>
  <si>
    <t>v22 Chair_Flag و CEO_Flag</t>
  </si>
  <si>
    <t>خارج Composite فعلی</t>
  </si>
  <si>
    <t>تجدید و گردش</t>
  </si>
  <si>
    <t>جهت اثر احتمالا غیرخطی</t>
  </si>
  <si>
    <t>کرسی های قابل مقایسه با فرد تغییر یافته تقسیم بر کرسی های فردی قابل مقایسه</t>
  </si>
  <si>
    <t>Turnover نهایی ستون های G و H + Source Registry</t>
  </si>
  <si>
    <t>خودرو اصلاح شد، موارد Source Review باقی است</t>
  </si>
  <si>
    <t>تغییر نماینده حقیقی با شخص حقوقی ثابت</t>
  </si>
  <si>
    <t>پویایی نمایندگی</t>
  </si>
  <si>
    <t>اعتبارسنجی هدفمند</t>
  </si>
  <si>
    <t>TARGETED_VALIDATION</t>
  </si>
  <si>
    <t>خودرو Missing و چند Source Review</t>
  </si>
  <si>
    <t>کرسی حقوقی ثابت با نماینده جدید تقسیم بر کرسی حقوقی ثابت قابل مقایسه</t>
  </si>
  <si>
    <t>Turnover نهایی ستون های J و K + Conflict Log</t>
  </si>
  <si>
    <t>فعلا Scale Up نشود</t>
  </si>
  <si>
    <t>N02</t>
  </si>
  <si>
    <t>سرمایه انسانی</t>
  </si>
  <si>
    <t>Candidate توسعه</t>
  </si>
  <si>
    <t>همپوشانی جزئی با V1 و VAR10</t>
  </si>
  <si>
    <t>اعضای دارای دکترا تقسیم بر اعضای دارای Education Level قابل ارزیابی</t>
  </si>
  <si>
    <t>Education_Level + روستر یا بیوگرافی کدال؛ نمونه SRC_FARS_1404_001 ص۴۰</t>
  </si>
  <si>
    <t>CANDIDATE_TESTED</t>
  </si>
  <si>
    <t>Candidate جدید N02: سهم اعضای دارای دکترا</t>
  </si>
  <si>
    <t>فیلد</t>
  </si>
  <si>
    <t>نام فارسی</t>
  </si>
  <si>
    <t>نام انگلیسی</t>
  </si>
  <si>
    <t>Doctorate Share</t>
  </si>
  <si>
    <t>تعریف مفهومی</t>
  </si>
  <si>
    <t>سهم اعضای هیئت مدیره دارای مدرک دکترا</t>
  </si>
  <si>
    <t>فرمول</t>
  </si>
  <si>
    <t>تعداد اعضای دارای مدرک دکترا تقسیم بر تعداد اعضای دارای Education Level قابل ارزیابی</t>
  </si>
  <si>
    <t>واحد</t>
  </si>
  <si>
    <t>درصد</t>
  </si>
  <si>
    <t>داده خام لازم</t>
  </si>
  <si>
    <t>Education_Level</t>
  </si>
  <si>
    <t>روستر یا بیوگرافی رسمی کدال</t>
  </si>
  <si>
    <t>نمونه شاهد</t>
  </si>
  <si>
    <t>SRC_FARS_1404_001 ص۴۰</t>
  </si>
  <si>
    <t>پوشش فعلی</t>
  </si>
  <si>
    <t>۳۰ از ۳۰</t>
  </si>
  <si>
    <t>در ۲۹ شرکت مقدار غیرصفر؛ میانگین ۰٫۴۹۷؛ انحراف معیار ۰٫۲۲۶؛ حداکثر ۱٫۰۰</t>
  </si>
  <si>
    <t>Scalability</t>
  </si>
  <si>
    <t>HIGH</t>
  </si>
  <si>
    <t>Historical Feasibility</t>
  </si>
  <si>
    <t>MEDIUM</t>
  </si>
  <si>
    <t>Overlap</t>
  </si>
  <si>
    <t>PARTIALLY_OVERLAPPING با V1 و VAR10</t>
  </si>
  <si>
    <t>نقش فعلی</t>
  </si>
  <si>
    <t>Candidate توسعه، فعلا خارج Composite</t>
  </si>
  <si>
    <t>گام بعد</t>
  </si>
  <si>
    <t>در Phase 5 روی پنل تاریخی و همپوشانی با V1 و VAR10 تست شود</t>
  </si>
  <si>
    <t>معماری Iran BSI پس از ممیزی مستقل v36 و یکپارچه سازی v37</t>
  </si>
  <si>
    <t>تفکیک Scale Up، Structural، Control، Robustness و Targeted Validation برای جلوگیری از دوباره شماری</t>
  </si>
  <si>
    <t>نام معیار</t>
  </si>
  <si>
    <t>پوشش</t>
  </si>
  <si>
    <t>Overlap Risk</t>
  </si>
  <si>
    <t>نقش پیشنهادی</t>
  </si>
  <si>
    <t>روش محاسبه</t>
  </si>
  <si>
    <t>پروکسی استقلال ساختاری</t>
  </si>
  <si>
    <t>غیرموظف بر اعضای قابل تایید</t>
  </si>
  <si>
    <t>Blau خام</t>
  </si>
  <si>
    <t>تنوع سابقه حرفه ای</t>
  </si>
  <si>
    <t>Strict coding سپس Blau</t>
  </si>
  <si>
    <t>v25</t>
  </si>
  <si>
    <t>تخصص مالی مستند</t>
  </si>
  <si>
    <t>تخصص هیئت</t>
  </si>
  <si>
    <t>سهم اعضای دارای تخصص مالی مستند</t>
  </si>
  <si>
    <t>وجود صریح کمیته حسابرسی</t>
  </si>
  <si>
    <t>v40 جدول کمیته در گزارش دوره ۱۴۰۴</t>
  </si>
  <si>
    <t>گردش شخص حقیقی</t>
  </si>
  <si>
    <t>تغییر فرد در کرسی های قابل مقایسه</t>
  </si>
  <si>
    <t>سهم کرسی حقوقی</t>
  </si>
  <si>
    <t>تغییر رئیس</t>
  </si>
  <si>
    <t>مقایسه هویت رئیس در پنجره مشترک؛ پذیرش محافظه کارانه با محدودیت</t>
  </si>
  <si>
    <t>CR1A v39؛ شواهد v38؛ بدون امتیازدهی کیفیت</t>
  </si>
  <si>
    <t>تفکیک مدیرعامل و رئیس</t>
  </si>
  <si>
    <t>هویت مدیرعامل و رئیس</t>
  </si>
  <si>
    <t>تعداد اعضای کمیته</t>
  </si>
  <si>
    <t>v40 فهرست اعضا در مقطع پایان دوره</t>
  </si>
  <si>
    <t>سهم کرسی حقیقی</t>
  </si>
  <si>
    <t>مکمل IRN01</t>
  </si>
  <si>
    <t>تغییر نماینده با شخص حقوقی ثابت</t>
  </si>
  <si>
    <t>تغییر نماینده در کرسی حقوقی ثابت</t>
  </si>
  <si>
    <t>Turnover نهایی + Conflict Log</t>
  </si>
  <si>
    <t>PARTIALLY_OVERLAPPING</t>
  </si>
  <si>
    <t>PhD تقسیم بر N</t>
  </si>
  <si>
    <t>شمارش معماری پس از ممیزی</t>
  </si>
  <si>
    <t>Scale Up Primary موجود</t>
  </si>
  <si>
    <t>S1A و V1</t>
  </si>
  <si>
    <t>Scale Up With Limitation موجود</t>
  </si>
  <si>
    <t>VAR06، VAR10، AUD01، REF05</t>
  </si>
  <si>
    <t>Structural Governance موجود</t>
  </si>
  <si>
    <t>Control Diagnostic موجود</t>
  </si>
  <si>
    <t>Robustness موجود</t>
  </si>
  <si>
    <t>Targeted Validation موجود</t>
  </si>
  <si>
    <t>Candidate جدید Scale Up</t>
  </si>
  <si>
    <t>N02، فعلا خارج Composite</t>
  </si>
  <si>
    <t>Construct مستقل فعلی</t>
  </si>
  <si>
    <t>SEP07 Construct مستقل شمرده نمی شود</t>
  </si>
  <si>
    <t>Constructهای مستقل پس از ممیزی</t>
  </si>
  <si>
    <t>۹ Construct مستقل فعلی؛ Role هر Construct جدا از شمارش Measure مشخص شده است</t>
  </si>
  <si>
    <t>Measure اصلی</t>
  </si>
  <si>
    <t>Measure مکمل</t>
  </si>
  <si>
    <t>نقش</t>
  </si>
  <si>
    <t>منبع یا مبنای محاسبه</t>
  </si>
  <si>
    <t>پروکسی ساختاری و نه استقلال صریح</t>
  </si>
  <si>
    <t>N02 Candidate</t>
  </si>
  <si>
    <t>N02 کاندید توسعه در همین خانواده است و Construct جدید ایجاد نمی کند</t>
  </si>
  <si>
    <t>Audit Measureها + Scale Up Candidates</t>
  </si>
  <si>
    <t>بار کدگذاری انسانی</t>
  </si>
  <si>
    <t>همپوشانی جزئی با تحصیلات و سابقه</t>
  </si>
  <si>
    <t>جهت کیفی روشن ندارد</t>
  </si>
  <si>
    <t>AUD02 فقط Robustness است</t>
  </si>
  <si>
    <t>IRN02 مکمل ریاضی IRN01 و فقط Robustness است</t>
  </si>
  <si>
    <t>تجدید و گردش هیئت مدیره</t>
  </si>
  <si>
    <t>ROB_NEW / ROB_STABILITY</t>
  </si>
  <si>
    <t>Stability مکمل ریاضی Turnover و New Member همپوشانی بالا دارد</t>
  </si>
  <si>
    <t>پویایی نمایندگی خاص ایران</t>
  </si>
  <si>
    <t>REF08 هنوز Source Review دارد</t>
  </si>
  <si>
    <t>Audit Measureها + Conflict Log</t>
  </si>
  <si>
    <t>وضعیت نهایی ۳۰ شرکت</t>
  </si>
  <si>
    <t>پوشش نهایی پس از تجمیع تمام Batchها</t>
  </si>
  <si>
    <t>وضعیت Turnover</t>
  </si>
  <si>
    <t>واجد شرایط Turnover</t>
  </si>
  <si>
    <t>Representative Change</t>
  </si>
  <si>
    <t>کیفیت</t>
  </si>
  <si>
    <t>منبع مرحله</t>
  </si>
  <si>
    <t>روش</t>
  </si>
  <si>
    <t>ارجاع منبع مستقیم</t>
  </si>
  <si>
    <t>تاییدشده</t>
  </si>
  <si>
    <t>قابل محاسبه</t>
  </si>
  <si>
    <t>بالا</t>
  </si>
  <si>
    <t>پایه v33</t>
  </si>
  <si>
    <t>DIRECT_ROSTER_COMPARISON</t>
  </si>
  <si>
    <t>تایید قبلی؛ بدون تغییر در همه کرسی های قابل مقایسه</t>
  </si>
  <si>
    <t>تاییدشده (v38)</t>
  </si>
  <si>
    <t>TYPE19_CUTOFF_CHRONOLOGY_V38</t>
  </si>
  <si>
    <t>v38: ۳ تغییر نماینده با شخص حقوقی ثابت؛ Confirmed</t>
  </si>
  <si>
    <t>نمونه مهم تغییر نماینده با شخص حقوقی ثابت</t>
  </si>
  <si>
    <t>v38: REF08 = ۱ از ۵؛ Confirmed</t>
  </si>
  <si>
    <t>Iran_BSI_v33_Phase4_2K_FinalTurnoverClosure.xlsx | روش MEMBERSHIP_START_RECONSTRUCTION و برگه های خانواده Turnover</t>
  </si>
  <si>
    <t>دو تغییر نماینده در سه کرسی تاییدشده</t>
  </si>
  <si>
    <t>متوسط</t>
  </si>
  <si>
    <t>Batch 1</t>
  </si>
  <si>
    <t>MULTI_SOURCE_ROSTER_COMPARISON</t>
  </si>
  <si>
    <t>رمزگذاری عربی سند با جستجوی دو الفبا حل شد</t>
  </si>
  <si>
    <t>SRC_SHBN_1404_007 | T19 اصلاحیه | جلسه هیئت مدیره ۱۴۰۳/۱۲/۲۷ | صفحه ۱ | Roster مستقیم ۱۴۰۳
SRC_SHBN_1404_003 | T19 | جلسه هیئت مدیره ۱۴۰۴/۱۰/۱۸ | صفحه ۱ | Roster مستقیم ۱۴۰۴
SRC_SHBN_1404_001 (p.55-56 کمیته حسابرسی، p.82-84 روستر هیئت‌مدیره) | بازخوانی جزئی این فاز با الگوی جستجوی عربی؛ بدون دانلود جدید</t>
  </si>
  <si>
    <t>TYPE19_CHRONOLOGY</t>
  </si>
  <si>
    <t>FY1403 از ستون نماینده قبلی افشای نوع ۱۹ بازسازی شد</t>
  </si>
  <si>
    <t>مقایسه مستقیم دو گزارش</t>
  </si>
  <si>
    <t>تاییدشده؛ تاریخ خروج Needs Review</t>
  </si>
  <si>
    <t>قابل اعمال نیست</t>
  </si>
  <si>
    <t>Batch 2</t>
  </si>
  <si>
    <t>DIRECT_ROSTER_COMPARISON_WITH_BOARD_SIZE_CHANGE</t>
  </si>
  <si>
    <t>v38: ساختار ۵ عضو حقیقی مستقیم؛ شریفیان خارج شد</t>
  </si>
  <si>
    <t>SRC_VTEJ_1404_004 | گزارش فعالیت هیئت مدیره مربوط به سال مالی ۱۴۰۳ | ۱۴۰۳ | صفحه ۳۷ | منبع جایگزین سالم که در v33 ثبت شده بود
SRC_VTEJ_1404_001 | گزارش فعالیت هیئت مدیره مربوط به سال مالی ۱۴۰۴ | ۱۴۰۴ | صفحات ۴۴، ۴۶ و ۴۷ | ترکیب هیئت در تاریخ ۱۴۰۴/۱۲/۲۹</t>
  </si>
  <si>
    <t>Look Ahead حذف شد؛ مخرج Representative Change فقط یک کرسی ثابت است</t>
  </si>
  <si>
    <t>MULTI_SOURCE_RECONCILIATION</t>
  </si>
  <si>
    <t>Cutoff کنترل شد</t>
  </si>
  <si>
    <t>Batch 3</t>
  </si>
  <si>
    <t>DIRECT_TYPE19_COMPARISON</t>
  </si>
  <si>
    <t>Snapshotهای پیش از Cutoff</t>
  </si>
  <si>
    <t>مقایسه مستقیم افشای نوع ۱۹</t>
  </si>
  <si>
    <t>متوسط رو به بالا</t>
  </si>
  <si>
    <t>ANNUAL_REPORT_PLUS_TYPE19</t>
  </si>
  <si>
    <t>تنها یک شخص حقوقی ثابت بود و نماینده همان کرسی تغییر کرد</t>
  </si>
  <si>
    <t>Batch 4</t>
  </si>
  <si>
    <t>DIRECT_ANNUAL_REPORT_COMPARISON</t>
  </si>
  <si>
    <t>یک تغییر شخص حقوقی و یک تغییر نماینده مستقل</t>
  </si>
  <si>
    <t>v38: Snapshot مبنا از Type19 ۱۴۰۳/۱۰/۰۵ نه گزارش پس از Cutoff؛ Confirmed</t>
  </si>
  <si>
    <t>SRC_KCHD_1403_001 | گزارش فعالیت هیئت مدیره | ۱۴۰۳ | ۴ | Snapshot مبنا برای ۱۴۰۳ و ثبت صریح کرسی خالی
SRC_KCHD_1404_006 | افشای نوع ۱۹ | ۱۴۰۴ | ۱ | Snapshot مبنا برای ۱۴۰۴</t>
  </si>
  <si>
    <t>Look Ahead گزارش سالانه حذف شد</t>
  </si>
  <si>
    <t>v38: ساختار ۵ کرسی حقوقی؛ High</t>
  </si>
  <si>
    <t>SRC_PRSN_1403_001 | گزارش فعالیت هیئت مدیره | ۱۴۰۳ | ۵۰ | Snapshot مبنا برای ۱۴۰۳
SRC_PRSN_1404_007 | گزارش فعالیت هیئت مدیره | ۱۴۰۴ | ۳۷ تا ۳۸ | Snapshot مبنا برای ۱۴۰۴</t>
  </si>
  <si>
    <t>Batch 5</t>
  </si>
  <si>
    <t>VISUAL_PLUS_TYPE19_RECONCILIATION</t>
  </si>
  <si>
    <t>تطبیق بصری و بازتایید شخص حقوقی</t>
  </si>
  <si>
    <t>v38: عضو جدید معینی (۱۴۰۴/۱۲/۲۵)؛ High</t>
  </si>
  <si>
    <t>SRC_JAM_1404_002 | گزارش فعالیت هیئت مدیره | ۱۴۰۳ | ۳۵ | Snapshot مبنا برای ۱۴۰۳
SRC_JAM_1404_008 | افشای نوع ۱۹ | ۱۴۰۳ | ۱ | تایید نام رسمی کاوشگران بازار سرمایه
SRC_JAM_1404_005 | افشای نوع ۱۹ | ۱۴۰۴ | ۱ | آخرین Snapshot قابل اتکا پیش از Cutoff</t>
  </si>
  <si>
    <t>DIRECT_REPORT_PLUS_TYPE19</t>
  </si>
  <si>
    <t>تغییرات با افشای نوع ۱۹ کنترل شد</t>
  </si>
  <si>
    <t>DIRECT_FISCAL_YEAR_COMPARISON</t>
  </si>
  <si>
    <t>سال مالی منتهی به دی ماه جداگانه رعایت شد</t>
  </si>
  <si>
    <t>Batch 6</t>
  </si>
  <si>
    <t>v38: مقادیر v35 با زنجیره کامل تایید شد؛ P&lt;G مشروع (جابه‌جایی پرویزیان)</t>
  </si>
  <si>
    <t>SRC_KHSP_1404_002 | افشای نوع ۱۹ | ۱۴۰۳ | ۱ | Snapshot مبنا ۱۴۰۳
SRC_KHSP_1404_004 | افشای نوع ۱۹ | ۱۴۰۴ | ۱ | Snapshot ۱۴۰۴ و تطبیق کرسی ها</t>
  </si>
  <si>
    <t>DIRECT_ANNUAL_REPORT_PLUS_TYPE19</t>
  </si>
  <si>
    <t>پنج شخص حقوقی و پنج نماینده ثابت</t>
  </si>
  <si>
    <t>اعضا حقیقی مستقیم؛ Representative Change قابل اعمال نیست</t>
  </si>
  <si>
    <t>Not Found (v38)</t>
  </si>
  <si>
    <t>نامشخص</t>
  </si>
  <si>
    <t>حل نشده</t>
  </si>
  <si>
    <t>ARCHIVE_AVAILABILITY_CHECK</t>
  </si>
  <si>
    <t>v38: FY1404 board report/Type19 وجود ندارد</t>
  </si>
  <si>
    <t>محدودیت ساختاری</t>
  </si>
  <si>
    <t>خارج از مخرج</t>
  </si>
  <si>
    <t>SEAT_LEVEL_ONLY</t>
  </si>
  <si>
    <t>v38: نام نماینده در هیچ سند کدال نیست</t>
  </si>
  <si>
    <t>v38: Snapshot ۱۴۰۳/۱۱/۲۹ یافت شد؛ Confirmed</t>
  </si>
  <si>
    <t>Iran_BSI_v33_Phase4_2K_FinalTurnoverClosure.xlsx | وضعیت ۳۰ شرکت | سند FY1403 برای تطبیق دو ساله در دسترس نبود</t>
  </si>
  <si>
    <t>خانواده نهایی گردش هیئت مدیره و تغییر نماینده</t>
  </si>
  <si>
    <t>تجمیع v33 و شش Batch تاییدشده، بدون حدس و با حفظ Missingness</t>
  </si>
  <si>
    <t>گروه منبع</t>
  </si>
  <si>
    <t>کیفیت شواهد</t>
  </si>
  <si>
    <t>روش شواهد</t>
  </si>
  <si>
    <t>ساختار نمایندگی حقوقی قابل اعمال</t>
  </si>
  <si>
    <t>صورت گردش فردی</t>
  </si>
  <si>
    <t>مخرج گردش فردی</t>
  </si>
  <si>
    <t>نرخ گردش فردی</t>
  </si>
  <si>
    <t>صورت تغییر نماینده</t>
  </si>
  <si>
    <t>مخرج تغییر نماینده</t>
  </si>
  <si>
    <t>نرخ تغییر نماینده</t>
  </si>
  <si>
    <t>صورت تغییر شخص حقوقی</t>
  </si>
  <si>
    <t>مخرج تغییر شخص حقوقی</t>
  </si>
  <si>
    <t>صورت عضو جدید</t>
  </si>
  <si>
    <t>مخرج عضو جدید</t>
  </si>
  <si>
    <t>صورت ثبات</t>
  </si>
  <si>
    <t>مخرج ثبات</t>
  </si>
  <si>
    <t>نرخ ثبات</t>
  </si>
  <si>
    <t>منبع مستقیم یا Source_ID</t>
  </si>
  <si>
    <t>URL یا مسیر ردیابی</t>
  </si>
  <si>
    <t>گردش فردی = صورت ستون G تقسیم بر مخرج ستون H؛ تغییر نماینده = صورت J تقسیم بر مخرج K و فقط در کرسی با شخص حقوقی ثابت؛ تغییر شخص حقوقی = M تقسیم بر N؛ سهم عضو جدید = P تقسیم بر Q؛ ثبات = S تقسیم بر T. تغییر سمت به تنهایی Turnover نیست، vacancy خودکار تغییر نماینده نیست و Missing صفر نمی شود.</t>
  </si>
  <si>
    <t>v38: جدول مبنای ۱۴۰۳/۱۲/۲۹ از اطلاعیه ۱۳۱۱۶۵۳ (۱۴۰۳/۱۲/۰۴) و ۱۲۹۴۹۹۵ (۱۴۰۳/۱۰/۲۳) و اطلاعیه ۱۳۳۳۹۷۲ (ستون «نماینده قبلی» ۱۴۰۴/۰۱/۲۳)؛ تاریخ‌های عضویت گزارش FY1404 (ربیعی ۱۴۰۳/۱۰/۲۳، رحمتی ۱۴۰۳/۱۲/۰۴) تایید می‌کنند. | جدول ۱۴۰۴/۱۲/۲۹ از اطلاعیه ۱۴۷۷۹۱۸ (جلسه ۱۴۰۴/۱۰/۱۸؛ اصلاحیه ثبت روزنامه رسمی)؛ اطلاعیه بعدی ۱۴۸۲۳۲۹ جلسه ۱۴۰۵/۰۳/۰۳ پس از Cutoff است. | سطح اطمینان Confirmed</t>
  </si>
  <si>
    <t>Iran_BSI_v33_Phase4_2K_FinalTurnoverClosure.xlsx | برگه های گردش اشخاص حقیقی، تغییر نماینده، تغییر شخص حقوقی، اعضای جدید، ثبات هیئت و تغییر رئیس | v38 TracingNo: 1311653 ؛ 1379918 ؛ 1408462 ؛ 1477918</t>
  </si>
  <si>
    <t>https://www.codal.ir/Reports/Decision.aspx?LetterSerial=QijK3OnJnjtoOOObOOOYV1GqeqyQ%3d%3d&amp;rt=2&amp;let=19&amp;ct=0&amp;ft=-1 ؛ https://www.codal.ir/Reports/Decision.aspx?LetterSerial=gXBd7BQ0zRHOwYIn4yd4zg%3d%3d&amp;rt=2&amp;let=19&amp;ct=0&amp;ft=-1 ؛ https://www.codal.ir/Reports/Decision.aspx?LetterSerial=9W5KqOFDkv3BoGKhfVCF0w%3d%3d&amp;rt=2&amp;let=19&amp;ct=0&amp;ft=-1 ؛ https://www.codal.ir/Reports/Decision.aspx?LetterSerial=Exef5qCkFaU4GYSKSR3wjg%3d%3d&amp;rt=2&amp;let=19&amp;ct=0&amp;ft=-1</t>
  </si>
  <si>
    <t>نمونه مهم تغییر نماینده با شخص حقوقی ثابت | v36: مخرج ۵ طبق SRC_FARS_1404_010 ص۴۲ (نرخ ۶۰٪)</t>
  </si>
  <si>
    <t>تاییدشده با اصلاح مخرج REF08</t>
  </si>
  <si>
    <t>v38: Cutoff ۱۴۰۳/۱۲/۲۹ از اطلاعیه ۱۳۰۶۷۴۰ (۱۴۰۳/۱۱/۲۱) و اصلاحیه ۱۳۰۸۷۴۴ پس از مجمع ۱۴۰۳/۱۱/۱۷ (تعویض کامل اشخاص حقوقی)؛ گزارش FY1404 ص۵۳ تاریخ‌های عضویت را تایید می‌کند. | Cutoff ۱۴۰۴/۱۲/۲۹ از اطلاعیه ۱۴۱۷۸۵۰ (جلسه ۱۴۰۴/۰۷/۱۹) و گزارش FY1404 ص۵۳؛ تغییرات بعدی (۱۴۰۵/۰۲/۰۱ به بعد) پس از Cutoff است. | سطح اطمینان Confirmed</t>
  </si>
  <si>
    <t>Iran_BSI_v33_Phase4_2K_FinalTurnoverClosure.xlsx | روش MEMBERSHIP_START_RECONSTRUCTION و برگه های خانواده Turnover | v38 TracingNo: 1306740 ؛ 1417850</t>
  </si>
  <si>
    <t>https://www.codal.ir/Reports/Decision.aspx?LetterSerial=gVTCoHYs1M0v5mNrsaCDkA%3d%3d&amp;rt=0&amp;let=19&amp;ct=0&amp;ft=-1 ؛ https://www.codal.ir/Reports/Decision.aspx?LetterSerial=8qXiOOObOOOscQQQaQQQfIOkx3DWj8Uw1Q%3d%3d&amp;rt=0&amp;let=19&amp;ct=0&amp;ft=-1</t>
  </si>
  <si>
    <t>DIRECT_ROSTER_COMPARISON_WITH_BOARD_SIZE_CHANGE (v38 بازبینی: خروج بدون جایگزین)</t>
  </si>
  <si>
    <t>v38: Cutoff ۱۴۰۳/۱۲/۲۹: ۵ عضو حقیقی مستقیم (اطلاعیه ۱۱۵۹۹۳۶؛ AGM FY1403 اطلاعیه ۱۳۸۵۲۵۳: «آخرین اعضا در سال مالی»). | Cutoff ۱۴۰۴/۱۲/۲۹: ۴ عضو (اطلاعیه اصلاحی ۱۴۴۴۱۵۴ و جدول جلسات گزارش FY1404 ۱۵۷۳۰۳۲). | سطح اطمینان Needs Review</t>
  </si>
  <si>
    <t>ساختار تایید؛ مقدار حفظ؛ تاریخ خروج Needs Review (v38)</t>
  </si>
  <si>
    <t>SRC_VTEJ_1404_004 | گزارش فعالیت هیئت مدیره مربوط به سال مالی ۱۴۰۳ | ۱۴۰۳ | صفحه ۳۷ | منبع جایگزین سالم که در v33 ثبت شده بود
SRC_VTEJ_1404_001 | گزارش فعالیت هیئت مدیره مربوط به سال مالی ۱۴۰۴ | ۱۴۰۴ | صفحات ۴۴، ۴۶ و ۴۷ | ترکیب هیئت در تاریخ ۱۴۰۴/۱۲/۲۹ | v38 TracingNo: 1159936 ؛ 1444154</t>
  </si>
  <si>
    <t>https://www.codal.ir/Reports/Decision.aspx?LetterSerial=OqEx%2bg3X3xQQQaQQQ1V8FTa1bU9w%3d%3d&amp;rt=3&amp;let=19&amp;ct=0&amp;ft=-1 ؛ https://www.codal.ir/Reports/Decision.aspx?LetterSerial=tL1npzfj3XSDR4oEqs1VIw%3d%3d&amp;rt=3&amp;let=19&amp;ct=0&amp;ft=-1</t>
  </si>
  <si>
    <t>v38: Cutoff ۱۴۰۳/۱۲/۲۹ از اطلاعیه ۱۲۸۷۷۴۶ (جلسه ۱۴۰۳/۰۹/۲۶) و اصلاحیه‌های ۱۲۷۴۸۱۰/۱۲۷۵۲۳۴ (۱۴۰۳/۰۹/۰۴)؛ تا ۱۴۰۴/۰۲/۲۴ اطلاعیه‌ای نیست. گزارش سالانه FY1403 (۱۳۶۸۷۸۵؛ امضا ۱۴۰۴/۰۴/۱۶) جدول پس از Cutoff را نشان می‌دهد و مبنا نشد (Look-Ahead v35). | Cutoff ۱۴۰۴/۱۲/۲۹ از اطلاعیه ۱۴۷۳۹۷۳ (جلسه ۱۴۰۴/۱۰/۲۹)؛ گزارش ۹ماهه ۱۵۲۵۶۳۰ (۱۴۰۵/۰۲/۲۶) امضا ۱۴۰۵/۰۲/۲۴ پس از Cutoff است. | سطح اطمینان Confirmed</t>
  </si>
  <si>
    <t>SRC_KCHD_1403_001 | گزارش فعالیت هیئت مدیره | ۱۴۰۳ | ۴ | Snapshot مبنا برای ۱۴۰۳ و ثبت صریح کرسی خالی
SRC_KCHD_1404_006 | افشای نوع ۱۹ | ۱۴۰۴ | ۱ | Snapshot مبنا برای ۱۴۰۴ | v38 TracingNo: 1287746 ؛ 1343237 ؛ 1391765 ؛ 1473973</t>
  </si>
  <si>
    <t>https://www.codal.ir/Reports/Decision.aspx?LetterSerial=v9VDr2f0BIJNqKEnWy6Rug%3d%3d&amp;rt=0&amp;let=19&amp;ct=0&amp;ft=-1 ؛ https://www.codal.ir/Reports/Decision.aspx?LetterSerial=WtxLMfRQBjXMKexEV1XDIA%3d%3d&amp;rt=0&amp;let=19&amp;ct=0&amp;ft=-1 ؛ https://www.codal.ir/Reports/Decision.aspx?LetterSerial=IAYTKaAQbe89etLVXMBN9w%3d%3d&amp;rt=0&amp;let=19&amp;ct=0&amp;ft=-1 ؛ https://www.codal.ir/Reports/Decision.aspx?LetterSerial=XPg1kJyBIkadWnCXHnsdKg%3d%3d&amp;rt=0&amp;let=19&amp;ct=0&amp;ft=-1</t>
  </si>
  <si>
    <t>v38: Cutoff ۱۴۰۳/۱۲/۲۹ از اطلاعیه ۱۲۸۸۲۷۵ (۱۴۰۳/۱۰/۰۵) و ۱۳۲۷۵۲۲ (۱۴۰۴/۰۱/۱۸، به‌روزرسانی تایید صلاحیت)؛ جدول ۵ کرسی حقوقی؛ عدد ۷ در v35 تعداد افراد گزارش سالانه در طول سال بود نه اندازه هیئت. | Cutoff ۱۴۰۴/۱۲/۲۹ بر پایه آخرین جدول ثبت‌شده در کدال (جلسه ۱۴۰۴/۰۶/۱۷–۱۸: اطلاعیه ۱۴۰۴۲۸۶/۱۴۴۳۹۴۰/۱۴۴۸۵۱۲/۱۴۵۱۷۱۹). انتخاب اعضای جدید در مجمع ۱۴۰۴/۰۸/۲۳ تا جلسه ۱۴۰۵/۰۲/۰۸ عملیاتی نشد (در حال احراز تایید صلاحیت). | سطح اطمینان High</t>
  </si>
  <si>
    <t>SRC_PRSN_1403_001 | گزارش فعالیت هیئت مدیره | ۱۴۰۳ | ۵۰ | Snapshot مبنا برای ۱۴۰۳
SRC_PRSN_1404_007 | گزارش فعالیت هیئت مدیره | ۱۴۰۴ | ۳۷ تا ۳۸ | Snapshot مبنا برای ۱۴۰۴ | v38 TracingNo: 1288275 ؛ 1345985 ؛ 1443940</t>
  </si>
  <si>
    <t>https://www.codal.ir/Reports/Decision.aspx?LetterSerial=DsOgAmOOObOOOXCBilD6gqB1SIaw%3d%3d&amp;rt=2&amp;let=19&amp;ct=0&amp;ft=-1 ؛ https://www.codal.ir/Reports/Decision.aspx?LetterSerial=Isgmsl2s3SpQQQaQQQYOnBYzL9bw%3d%3d&amp;rt=2&amp;let=19&amp;ct=0&amp;ft=-1 ؛ https://www.codal.ir/Reports/Decision.aspx?LetterSerial=zNIQQQaQQQIYcl2yMb4DUIPu3s7w%3d%3d&amp;rt=2&amp;let=19&amp;ct=0&amp;ft=-1</t>
  </si>
  <si>
    <t>v38: Cutoff ۱۴۰۳/۱۲/۲۹: اطلاعیه ۱۱۷۱۲۶۵ (۱۴۰۲/۱۲/۲۸: اکبری جایگزین قنبریان) + گزارش FY1403 ص۳۵ (تاریخ انتصاب اکبری ۱۴۰۲/۱۲/۲۸) و ستون «قبلی» اطلاعیه ۱۳۹۸۵۳۴؛ بین ۱۴۰۲/۱۲/۲۸ و ۱۴۰۴/۰۶/۰۴ اطلاعیه‌ای در فهرست کدال نیست. | Cutoff ۱۴۰۴/۱۲/۲۹: اطلاعیه ۱۵۲۷۳۸۹ (جلسه ۱۴۰۴/۱۲/۲۵؛ انتشار ۱۴۰۵/۰۲/۲۹ یعنی پس از Cutoff). حساسیت: اگر فقط افشای منتشرشده تا Cutoff ملاک باشد، معینی و تغییر رئیس حذف می‌شوند (G=2، P=0، رئیس بدون تغییر). | سطح اطمینان High</t>
  </si>
  <si>
    <t>SRC_JAM_1404_002 | گزارش فعالیت هیئت مدیره | ۱۴۰۳ | ۳۵ | Snapshot مبنا برای ۱۴۰۳
SRC_JAM_1404_008 | افشای نوع ۱۹ | ۱۴۰۳ | ۱ | تایید نام رسمی کاوشگران بازار سرمایه
SRC_JAM_1404_005 | افشای نوع ۱۹ | ۱۴۰۴ | ۱ | آخرین Snapshot قابل اتکا پیش از Cutoff | v38 TracingNo: 1171265 ؛ 1398534 ؛ 1527389</t>
  </si>
  <si>
    <t>https://www.codal.ir/Reports/Decision.aspx?LetterSerial=SZoueUaBHVA%2bs%2bgcP%2bwj4A%3d%3d&amp;rt=0&amp;let=19&amp;ct=0&amp;ft=-1 ؛ https://www.codal.ir/Reports/Decision.aspx?LetterSerial=BpLLXiooiLziZroLI2hLPQ%3d%3d&amp;rt=0&amp;let=19&amp;ct=0&amp;ft=-1 ؛ https://www.codal.ir/Reports/Decision.aspx?LetterSerial=QQQaQQQtpQVpIOOObOOOPhcgQQQaQQQA5ahYjCjA%3d%3d&amp;rt=0&amp;let=19&amp;ct=0&amp;ft=-1</t>
  </si>
  <si>
    <t>v38: Cutoff ۱۴۰۳/۱۲/۲۹ از اطلاعیه ۱۲۹۵۹۳۸ (۱۴۰۳/۱۱/۰۳)؛ تاریخ‌های انتصاب گزارش‌های FY1403/FY1404 (۱۴۰۳/۰۹/۱۴، ۱۴۰۳/۱۱/۰۳، ۱۴۰۴/۰۲/۰۸) تایید می‌کنند. | Cutoff ۱۴۰۴/۱۲/۲۹ از اطلاعیه ۱۳۳۶۹۷۴ و ۱۳۸۶۵۱۱ (جلسه ۱۴۰۴/۰۵/۱۳)؛ تا ۱۴۰۵/۰۶/۱۸ اطلاعیه دیگری نیست. | سطح اطمینان Confirmed</t>
  </si>
  <si>
    <t>SRC_KHSP_1404_002 | افشای نوع ۱۹ | ۱۴۰۳ | ۱ | Snapshot مبنا ۱۴۰۳
SRC_KHSP_1404_004 | افشای نوع ۱۹ | ۱۴۰۴ | ۱ | Snapshot ۱۴۰۴ و تطبیق کرسی ها | v38 TracingNo: 1295938 ؛ 1336974 ؛ 1386511</t>
  </si>
  <si>
    <t>https://www.codal.ir/Reports/Decision.aspx?LetterSerial=0rlsOOObOOOEFaa9IMoCD90IUbxA%3d%3d&amp;rt=0&amp;let=19&amp;ct=0&amp;ft=-1 ؛ https://www.codal.ir/Reports/Decision.aspx?LetterSerial=A9EKEshXRCjahGZMnLLylQ%3d%3d&amp;rt=0&amp;let=19&amp;ct=0&amp;ft=-1 ؛ https://www.codal.ir/Reports/Decision.aspx?LetterSerial=UJ1so0i61H6WpTMWJ3OsCA%3d%3d&amp;rt=0&amp;let=19&amp;ct=0&amp;ft=-1</t>
  </si>
  <si>
    <t>v38: Not Found — برای ۱۴۰۴/۱۲/۲۹: اطلاعیه ن-۴۵ در ۱۴۰۳–۱۴۰۴ نیست، گزارش فعالیت FY1404 منتشر نشده، AGM FY1404 (۱۴۰۵/۰۴/۳۱) فاقد حد نصاب (۱۴٫۲۱٪)؛ پایه نیز متناقض (گزارش FY1403: ۷ عضو؛ AGM: ۵ عضو)</t>
  </si>
  <si>
    <t>v38: Not Found — در اطلاعیه‌های ن-۴۵، گزارش فعالیت، AGM و پیوست‌ها نام نماینده حقیقی ثبت نشده («فاقد نماینده»)؛ نیازمند صورتجلسه هیئت مدیره تعیین سمت با نام نمایندگان یا منبع رسمی شرکت</t>
  </si>
  <si>
    <t>خارج از مخرج پایلوت</t>
  </si>
  <si>
    <t>v38: Cutoff ۱۴۰۳/۱۲/۲۹ از اطلاعیه ۱۳۰۹۳۸۶ (جلسه ۱۴۰۳/۱۱/۲۹؛ پیش‌تر در آرشیو نبود)؛ تا ۱۴۰۴/۰۳/۱۱ اطلاعیه دیگری نیست. | Cutoff ۱۴۰۴/۱۲/۲۹ از اطلاعیه ۱۴۴۳۷۲۱ (جلسه ۱۴۰۴/۰۹/۰۵)؛ بعدی ۱۵۶۳۳۴۲ جلسه ۱۴۰۵/۰۴/۲۰ پس از Cutoff است. | سطح اطمینان Confirmed</t>
  </si>
  <si>
    <t>Iran_BSI_v33_Phase4_2K_FinalTurnoverClosure.xlsx | وضعیت ۳۰ شرکت | سند FY1403 برای تطبیق دو ساله در دسترس نبود | v38 TracingNo: 1309386 ؛ 1433411 ؛ 1443721</t>
  </si>
  <si>
    <t>https://www.codal.ir/Reports/Decision.aspx?LetterSerial=C4XsKe3dMCJ7F1MqOaUJBw%3d%3d&amp;rt=0&amp;let=19&amp;ct=0&amp;ft=-1 ؛ https://www.codal.ir/Reports/Decision.aspx?LetterSerial=wdvkPalLR21S83nLTXWEcA%3d%3d&amp;rt=0&amp;let=19&amp;ct=0&amp;ft=-1 ؛ https://www.codal.ir/Reports/Decision.aspx?LetterSerial=Lh6dCOOObOOOOOObOOOHmUIfwOOObOOOrvn9DNRQ%3d%3d&amp;rt=0&amp;let=19&amp;ct=0&amp;ft=-1</t>
  </si>
  <si>
    <t>پوشش نهایی Measureها</t>
  </si>
  <si>
    <t>پوشش بر مبنای داده تاییدشده پس از شش Batch</t>
  </si>
  <si>
    <t>پوشش از کل ۳۰</t>
  </si>
  <si>
    <t>وضعیت پوشش</t>
  </si>
  <si>
    <t>تصمیم معماری</t>
  </si>
  <si>
    <t>منبع داده</t>
  </si>
  <si>
    <t>مقیاس پذیری با محدودیت</t>
  </si>
  <si>
    <t>پوشش بسیار قوی؛ جهت کیفیت ساده ندارد</t>
  </si>
  <si>
    <t>دارای داده برابر تعداد نرخ های عددی گردش فردی است؛ پوشش واجد شرایط = دارای داده ÷ شرکت های واجد شرایط Turnover.</t>
  </si>
  <si>
    <t>Turnover نهایی و وضعیت ۳۰ شرکت</t>
  </si>
  <si>
    <t>Measure بومی و پویا؛ ۴ شرکت مستقیم قابل اعمال نیستند و وپاسار نامشخص است</t>
  </si>
  <si>
    <t>دارای داده برابر تعداد نرخ های عددی تغییر نماینده است؛ فقط شرکت های دارای ساختار نمایندگی حقوقی تاییدشده در مخرج واجد شرایط قرار می گیرند.</t>
  </si>
  <si>
    <t>تغییر شخص حقوقی</t>
  </si>
  <si>
    <t>فقط آزمون استحکام</t>
  </si>
  <si>
    <t>Variation واقعی دارد ولی جهت کیفی ندارد</t>
  </si>
  <si>
    <t>مشابه REF08 اما متغیر مورد سنجش تغییر شخص حقوقی صاحب کرسی است.</t>
  </si>
  <si>
    <t>همپوشانی بالا با Turnover</t>
  </si>
  <si>
    <t>تعداد سهم های عددی عضو جدید تقسیم بر شرکت های واجد شرایط Turnover.</t>
  </si>
  <si>
    <t>ثبات هیئت مدیره</t>
  </si>
  <si>
    <t>مکمل ریاضی Turnover؛ همزمان در Composite استفاده نشود</t>
  </si>
  <si>
    <t>تعداد نرخ های عددی ثبات تقسیم بر شرکت های واجد شرایط Turnover. ثبات مکمل Turnover است.</t>
  </si>
  <si>
    <t>تغییر رئیس؛ کل نمونه و پوشش محافظه کارانه</t>
  </si>
  <si>
    <t>تشخیصی در این جدول</t>
  </si>
  <si>
    <t>۲۷ کد عددی موجود؛ ۲۶ بدون تعارض باز ثبت شده و چهار مورد خارج از مجموعه محافظه کارانه</t>
  </si>
  <si>
    <t>سه نامشخص: رمپنا، وپاسار، حکشتی؛ یک تعارض: فملی. شرکت فاقد کرسی حقوقی نیز می تواند تغییر رئیس داشته باشد.</t>
  </si>
  <si>
    <t>CR1A v39؛ ستون های C و F و جدول جمع بندی</t>
  </si>
  <si>
    <t>Variation نهایی خانواده Turnover</t>
  </si>
  <si>
    <t>آمار توصیفی بر پایه نرخ های تاییدشده</t>
  </si>
  <si>
    <t>N</t>
  </si>
  <si>
    <t>کمینه</t>
  </si>
  <si>
    <t>بیشینه</t>
  </si>
  <si>
    <t>میانگین</t>
  </si>
  <si>
    <t>میانه</t>
  </si>
  <si>
    <t>انحراف معیار</t>
  </si>
  <si>
    <t>تعداد صفر</t>
  </si>
  <si>
    <t>تعداد مثبت</t>
  </si>
  <si>
    <t>Variation بالا؛ مناسب توسعه، جهت کیفیت غیرخطی یا وابسته به زمینه</t>
  </si>
  <si>
    <t>N با COUNT؛ کمینه با MIN؛ بیشینه با MAX؛ میانگین با AVERAGE؛ میانه با MEDIAN؛ انحراف معیار با STDEV؛ صفر و مثبت با COUNTIF روی نرخ های تاییدشده</t>
  </si>
  <si>
    <t>Turnover نهایی، فقط سلول های عددی نرخ مربوطه</t>
  </si>
  <si>
    <t>تغییر نماینده</t>
  </si>
  <si>
    <t>Variation بالا و ایران محور؛ سازه پویا و قابل توسعه</t>
  </si>
  <si>
    <t>Variation واقعی اما بیشتر ساختاری و تشخیصی</t>
  </si>
  <si>
    <t>همپوشانی بالا با Turnover؛ مناسب Robustness</t>
  </si>
  <si>
    <t>مکمل ریاضی Turnover و نباید همزمان در Composite وارد شود</t>
  </si>
  <si>
    <t>همپوشانی و اطلاعات افزوده</t>
  </si>
  <si>
    <t>همبستگی Pearson روی مشاهدات زوجی موجود</t>
  </si>
  <si>
    <t>زوج Measure</t>
  </si>
  <si>
    <t>همبستگی Pearson</t>
  </si>
  <si>
    <t>تصمیم</t>
  </si>
  <si>
    <t>مبنای تصمیم</t>
  </si>
  <si>
    <t>هشدار</t>
  </si>
  <si>
    <t>روش محاسبه یا منبع</t>
  </si>
  <si>
    <t>Turnover و Representative Change</t>
  </si>
  <si>
    <t>همپوشانی بالا ولی نه کامل</t>
  </si>
  <si>
    <t>جدا نگه داشته شوند</t>
  </si>
  <si>
    <t>واحد تحلیل متفاوت است و نمونه هایی مثل شبندر و وامید مسیرهای متفاوت تغییر را نشان می دهند</t>
  </si>
  <si>
    <t>برای Composite همزمان بدون کنترل همپوشانی استفاده نشود</t>
  </si>
  <si>
    <t>همبستگی Pearson با تابع CORREL روی نرخ های عددی موجود در Turnover نهایی؛ برای بررسی همپوشانی و جلوگیری از دوباره شماری</t>
  </si>
  <si>
    <t>Turnover و Legal Entity Change</t>
  </si>
  <si>
    <t>همپوشانی پایین</t>
  </si>
  <si>
    <t>Legal Entity Change به عنوان Robustness یا Diagnostic</t>
  </si>
  <si>
    <t>تغییر مالک کرسی با تغییر فرد نماینده یکسان نیست</t>
  </si>
  <si>
    <t>جهت کیفیت ندارد</t>
  </si>
  <si>
    <t>Turnover و New Member Share</t>
  </si>
  <si>
    <t>همپوشانی بسیار بالا</t>
  </si>
  <si>
    <t>New Member Share فقط Robustness</t>
  </si>
  <si>
    <t>بخش عمده همان تغییر ترکیب فردی را بازتاب می دهد</t>
  </si>
  <si>
    <t>در Composite همزمان وارد نشود</t>
  </si>
  <si>
    <t>Turnover و Board Stability</t>
  </si>
  <si>
    <t>مکمل ریاضی</t>
  </si>
  <si>
    <t>فقط یکی در هر Specification</t>
  </si>
  <si>
    <t>تعریف ثبات مکمل Turnover است</t>
  </si>
  <si>
    <t>همزمان در Composite ممنوع</t>
  </si>
  <si>
    <t>نوآوری ایران محور، پویایی نمایندگی</t>
  </si>
  <si>
    <t>تغییر نماینده حقیقی با ثابت ماندن شخص حقوقی</t>
  </si>
  <si>
    <t>شاخص</t>
  </si>
  <si>
    <t>شرکت های دارای ساختار نمایندگی حقوقی تاییدشده</t>
  </si>
  <si>
    <t>پوشش کاربردی بالا در شرکت های دارای کرسی حقوقی</t>
  </si>
  <si>
    <t>محاسبه از ستون نرخ تغییر نماینده در Turnover نهایی؛ فقط شرکت های دارای ساختار نمایندگی حقوقی تاییدشده</t>
  </si>
  <si>
    <t>شرکت های دارای حداقل یک تغییر نماینده</t>
  </si>
  <si>
    <t>نشان دهنده تکرار واقعی پدیده</t>
  </si>
  <si>
    <t>درصد شرکت های دارای تغییر</t>
  </si>
  <si>
    <t>فراوانی وقوع در ساختارهای قابل سنجش</t>
  </si>
  <si>
    <t>میانگین نرخ تغییر نماینده</t>
  </si>
  <si>
    <t>شدت متوسط پویایی نمایندگی</t>
  </si>
  <si>
    <t>مقدار مرکزی</t>
  </si>
  <si>
    <t>وجود شرکت های کاملا ثابت</t>
  </si>
  <si>
    <t>وجود شرکت با تغییر کامل نماینده در کرسی های ثابت</t>
  </si>
  <si>
    <t>همبستگی با Turnover</t>
  </si>
  <si>
    <t>همپوشانی بالا اما ناقص؛ سازه جدا حفظ شود</t>
  </si>
  <si>
    <t>همبستگی تغییر شخص حقوقی با Turnover</t>
  </si>
  <si>
    <t>تغییر شخص حقوقی اطلاعات متفاوتی نسبت به Turnover دارد</t>
  </si>
  <si>
    <t>نام اصلی</t>
  </si>
  <si>
    <t>بُعد BSI</t>
  </si>
  <si>
    <t>معادل مستقیم ایران</t>
  </si>
  <si>
    <t>Proxy</t>
  </si>
  <si>
    <t>Alternative</t>
  </si>
  <si>
    <t>Coverage</t>
  </si>
  <si>
    <t>دلیل</t>
  </si>
  <si>
    <t>منبع تصمیم یا روش</t>
  </si>
  <si>
    <t>Board Independence Score</t>
  </si>
  <si>
    <t>تفکیک ساختاری</t>
  </si>
  <si>
    <t>ندارد</t>
  </si>
  <si>
    <t>S1A (پروکسی)</t>
  </si>
  <si>
    <t>—</t>
  </si>
  <si>
    <t>اقتباس با پروکسی</t>
  </si>
  <si>
    <t>۳۰/۳۰</t>
  </si>
  <si>
    <t>مستقیم حفظ نشد؛ پروکسی قوی‌ترین شواهد پروژه</t>
  </si>
  <si>
    <t>Iran_BSI_v30_Phase4_2H_PreAdvisorReview.xlsx و Iran_BSI_v31_Phase4_2I_MaximumMeasureRecovery.xlsx | ممیزی ۱۲ شاخص اصلی BSI و امکان سنجی ایران</t>
  </si>
  <si>
    <t>Board Leadership Independence Score</t>
  </si>
  <si>
    <t>مسیر داده شناسایی‌شده، محاسبه نشده</t>
  </si>
  <si>
    <t>حل‌نشده</t>
  </si>
  <si>
    <t>نیازمند تجمیع سمت‌های بیرونی رئیس در فاز آینده</t>
  </si>
  <si>
    <t>CEO Roles Score</t>
  </si>
  <si>
    <t>همان مسیر</t>
  </si>
  <si>
    <t>همان دلیل</t>
  </si>
  <si>
    <t>Board Chair Roles Score (تفکیک)</t>
  </si>
  <si>
    <t>Board Roles Excluding CEO Score</t>
  </si>
  <si>
    <t>محدودتر</t>
  </si>
  <si>
    <t>همان دلیل، محدودتر</t>
  </si>
  <si>
    <t>Board Composition Score</t>
  </si>
  <si>
    <t>تنوع</t>
  </si>
  <si>
    <t>ادغام در S1A/اندازه هیئت</t>
  </si>
  <si>
    <t>نیازی به شاخص مستقل نیست</t>
  </si>
  <si>
    <t>Board of Directors Diversity Score</t>
  </si>
  <si>
    <t>تنوع سابقه حرفه‌ای</t>
  </si>
  <si>
    <t>۲۸/۳۰</t>
  </si>
  <si>
    <t>دو پروکسی مکمل</t>
  </si>
  <si>
    <t>Board Age Diversity Score</t>
  </si>
  <si>
    <t>حذف‌شده</t>
  </si>
  <si>
    <t>۰/۳۰</t>
  </si>
  <si>
    <t>بدون منبع رسمی، تایید‌شده با جستجوی فعال</t>
  </si>
  <si>
    <t>Board Gender Diversity Score</t>
  </si>
  <si>
    <t>Board of Directors Roles Score (نابرابری)</t>
  </si>
  <si>
    <t>نابرابری</t>
  </si>
  <si>
    <t>بدون طراحی مفهومی ایرانی</t>
  </si>
  <si>
    <t>Board Chair Roles Score (نابرابری)</t>
  </si>
  <si>
    <t>CR1A/CR1B</t>
  </si>
  <si>
    <t>CR1A: ۲۶ از ۳۰ محافظه کارانه؛ ۲۷ کد موجود. CR1B در v39 بازبینی نشد.</t>
  </si>
  <si>
    <t>جهت مبهم؛ خارج از ترکیب کیفیت پیش‌فرض</t>
  </si>
  <si>
    <t>Board Chair Refreshment Score</t>
  </si>
  <si>
    <t>مدت تصدی/تعداد تغییر رئیس</t>
  </si>
  <si>
    <t>اقتباس با پروکسی (Robustness)</t>
  </si>
  <si>
    <t>۳۰/۳۰ (مقطعی)</t>
  </si>
  <si>
    <t>رابطه غیرخطی</t>
  </si>
  <si>
    <t>شمارش نهایی</t>
  </si>
  <si>
    <t>مستقیم=۰ | Proxy=۴ | فقط Robustness=۱ | حذف‌شده=۳ | حل‌نشده=۴</t>
  </si>
  <si>
    <t>شمارش از وضعیت ردیف های ۲ تا ۱۳ همین برگه</t>
  </si>
  <si>
    <t>Batch</t>
  </si>
  <si>
    <t>Source_ID</t>
  </si>
  <si>
    <t>نوع سند</t>
  </si>
  <si>
    <t>سال یا تاریخ</t>
  </si>
  <si>
    <t>صفحه</t>
  </si>
  <si>
    <t>لینک یا منشأ</t>
  </si>
  <si>
    <t>نقش در محاسبه</t>
  </si>
  <si>
    <t>فایل منبع</t>
  </si>
  <si>
    <t>قاعده استفاده از منبع</t>
  </si>
  <si>
    <t>SRC_SHBN_1404_007</t>
  </si>
  <si>
    <t>T19 اصلاحیه</t>
  </si>
  <si>
    <t>جلسه هیئت مدیره ۱۴۰۳/۱۲/۲۷</t>
  </si>
  <si>
    <t>صفحه ۱</t>
  </si>
  <si>
    <t>https://www.codal.ir/Reports/Decision.aspx?LetterSerial=ULk65ZOHpAkFOOObOOOb3pLpblJQ%3d%3d&amp;rt=0&amp;let=19&amp;ct=0&amp;ft=-1</t>
  </si>
  <si>
    <t>Roster مستقیم ۱۴۰۳</t>
  </si>
  <si>
    <t>Iran_BSI_Turnover_Batch1_3Firms_Verified.xlsx</t>
  </si>
  <si>
    <t>داده فقط در صورت انطباق با FY و Cutoff استفاده شده؛ در موارد تعارض، Snapshot معتبرتر یا Visual Verification مبنا بوده است</t>
  </si>
  <si>
    <t>SRC_SHBN_1404_003</t>
  </si>
  <si>
    <t>T19</t>
  </si>
  <si>
    <t>جلسه هیئت مدیره ۱۴۰۴/۱۰/۱۸</t>
  </si>
  <si>
    <t>https://www.codal.ir/Reports/Decision.aspx?LetterSerial=kealwqnfPYdWwbR3UB9uZw%3d%3d&amp;rt=0&amp;let=19&amp;ct=0&amp;ft=-1</t>
  </si>
  <si>
    <t>Roster مستقیم ۱۴۰۴</t>
  </si>
  <si>
    <t>SRC_PARS_1404_008</t>
  </si>
  <si>
    <t>جلسه هیئت مدیره ۱۴۰۴/۰۱/۳۰</t>
  </si>
  <si>
    <t>https://www.codal.ir/Reports/Decision.aspx?LetterSerial=sjHofZygVLXICVj8iXL3Aw%3d%3d&amp;rt=0&amp;let=19&amp;ct=0&amp;ft=-1</t>
  </si>
  <si>
    <t>ستون نماینده قبلی برای بازسازی وضعیت نزدیک پایان ۱۴۰۳</t>
  </si>
  <si>
    <t>SRC_PARS_1404_005</t>
  </si>
  <si>
    <t>جلسه هیئت مدیره ۱۴۰۴/۰۷/۲۶</t>
  </si>
  <si>
    <t>https://www.codal.ir/Reports/Decision.aspx?LetterSerial=1kqm2T6e5zV5EQQQaQQQKdlIj9HA%3d%3d&amp;rt=0&amp;let=19&amp;ct=0&amp;ft=-1</t>
  </si>
  <si>
    <t>آخرین Snapshot تاییدشده پیش از Cutoff ۱۴۰۴ در آرشیو</t>
  </si>
  <si>
    <t>SRC_SHTR_1403_001</t>
  </si>
  <si>
    <t>گزارش فعالیت هیئت مدیره</t>
  </si>
  <si>
    <t>دوره منتهی به ۱۴۰۳/۱۲/۳۰</t>
  </si>
  <si>
    <t>PDF صفحه ۱۶، چاپی ۱۴</t>
  </si>
  <si>
    <t>https://www.codal.ir/Reports/Attachment.aspx?LetterSerial=W3P2HVjIaDXFbdMemqSeUA%3d%3d</t>
  </si>
  <si>
    <t>SRC_SHTR_1404_002</t>
  </si>
  <si>
    <t>دوره منتهی به ۱۴۰۴/۱۲/۲۹</t>
  </si>
  <si>
    <t>PDF صفحه ۱۷، چاپی ۱۵</t>
  </si>
  <si>
    <t>https://www.codal.ir/Reports/Attachment.aspx?LetterSerial=F0veQQQaQQQX4tai7nAftHYyrDhg%3d%3d</t>
  </si>
  <si>
    <t>SRC_VTEJ_1404_004</t>
  </si>
  <si>
    <t>گزارش فعالیت هیئت مدیره مربوط به سال مالی ۱۴۰۳</t>
  </si>
  <si>
    <t>۱۴۰۳</t>
  </si>
  <si>
    <t>صفحه ۳۷</t>
  </si>
  <si>
    <t>آرشیو محلی پروژه</t>
  </si>
  <si>
    <t>منبع جایگزین سالم که در v33 ثبت شده بود</t>
  </si>
  <si>
    <t>Iran_BSI_Turnover_Batch2_4Firms_Reviewed.xlsx</t>
  </si>
  <si>
    <t>SRC_VTEJ_1404_001</t>
  </si>
  <si>
    <t>گزارش فعالیت هیئت مدیره مربوط به سال مالی ۱۴۰۴</t>
  </si>
  <si>
    <t>۱۴۰۴</t>
  </si>
  <si>
    <t>صفحات ۴۴، ۴۶ و ۴۷</t>
  </si>
  <si>
    <t>ترکیب هیئت در تاریخ ۱۴۰۴/۱۲/۲۹</t>
  </si>
  <si>
    <t>SRC_RMPN_1404_011</t>
  </si>
  <si>
    <t>افشای نوع ۱۹، جلسه هیئت مدیره ۱۴۰۴/۰۲/۲۱</t>
  </si>
  <si>
    <t>بازسازی ۱۴۰۳</t>
  </si>
  <si>
    <t>https://www.codal.ir/Reports/Decision.aspx?LetterSerial=gsard4xmaj4Zi8yOS8AWMA%3d%3d&amp;rt=5&amp;let=19&amp;ct=0&amp;ft=-1</t>
  </si>
  <si>
    <t>ستون نماینده قبلی برای بازسازی Cutoff ۱۴۰۳ استفاده شد</t>
  </si>
  <si>
    <t>SRC_RMPN_1404_008</t>
  </si>
  <si>
    <t>افشای نوع ۱۹، جلسه هیئت مدیره ۱۴۰۴/۱۰/۲۸</t>
  </si>
  <si>
    <t>صفحات ۱ و ۲</t>
  </si>
  <si>
    <t>https://www.codal.ir/Reports/Decision.aspx?LetterSerial=4P4QQQaQQQssbMX9ZMuZVciqBKOOObOOOg%3d%3d&amp;rt=5&amp;let=19&amp;ct=0&amp;ft=-1</t>
  </si>
  <si>
    <t>آخرین افشای نوع ۱۹ موجود پیش از Cutoff ۱۴۰۴/۱۲/۲۹</t>
  </si>
  <si>
    <t>SRC_FKHZ_1404_002</t>
  </si>
  <si>
    <t>گزارش فعالیت هیئت مدیره منتهی به ۱۴۰۳/۱۲/۳۰</t>
  </si>
  <si>
    <t>صفحه ۳۴</t>
  </si>
  <si>
    <t>آرشیو رسمی کدال در بسته کاربر</t>
  </si>
  <si>
    <t>روستر کامل ۱۴۰۳</t>
  </si>
  <si>
    <t>SRC_FKHZ_1404_004</t>
  </si>
  <si>
    <t>افشای نوع ۱۹، جلسه هیئت مدیره ۱۴۰۴/۰۵/۲۷</t>
  </si>
  <si>
    <t>آخرین افشای نوع ۱۹ پیش از Cutoff</t>
  </si>
  <si>
    <t>SRC_VPSR_1404_001</t>
  </si>
  <si>
    <t>گزارش ۴۵ صفحه ای</t>
  </si>
  <si>
    <t>بسته کاربر منبع FY1404 یا Type19 مناسب ندارد</t>
  </si>
  <si>
    <t>SRC_SHST_1404_015</t>
  </si>
  <si>
    <t>افشای نوع ۱۹</t>
  </si>
  <si>
    <t>۱</t>
  </si>
  <si>
    <t>https://www.codal.ir/Reports/Decision.aspx?LetterSerial=b8oxHadTuSstqVNc5Bqzjw%3d%3d&amp;rt=2&amp;let=19&amp;ct=0&amp;ft=-1</t>
  </si>
  <si>
    <t>Snapshot مبنا برای ۱۴۰۳</t>
  </si>
  <si>
    <t>Iran_BSI_Turnover_Batch3_4Firms_Verified.xlsx</t>
  </si>
  <si>
    <t>SRC_SHST_1404_007</t>
  </si>
  <si>
    <t>https://www.codal.ir/Reports/Decision.aspx?LetterSerial=pk2gUF4FVfw9cOOObOOOOR6kSTDg%3d%3d&amp;rt=2&amp;let=19&amp;ct=0&amp;ft=-1</t>
  </si>
  <si>
    <t>Snapshot مبنا برای ۱۴۰۴</t>
  </si>
  <si>
    <t>SRC_SHPN_1404_002</t>
  </si>
  <si>
    <t>https://www.codal.ir/Reports/Decision.aspx?LetterSerial=BgB1TPEYicGYh74gmrG9mA%3d%3d&amp;rt=0&amp;let=19&amp;ct=0&amp;ft=-1</t>
  </si>
  <si>
    <t>SRC_SHPN_1404_004</t>
  </si>
  <si>
    <t>۱ تا ۲</t>
  </si>
  <si>
    <t>https://www.codal.ir/Reports/Decision.aspx?LetterSerial=zWRtzdFgEWKY0H4XNrzRzA%3d%3d&amp;rt=0&amp;let=19&amp;ct=0&amp;ft=-1</t>
  </si>
  <si>
    <t>SRC_VGHD_1404_002</t>
  </si>
  <si>
    <t>https://www.codal.ir/Reports/Decision.aspx?LetterSerial=b9uqvOIQIMvyGYAfsuoWUg%3d%3d&amp;rt=2&amp;let=19&amp;ct=0&amp;ft=-1</t>
  </si>
  <si>
    <t>SRC_VGHD_1404_006</t>
  </si>
  <si>
    <t>https://www.codal.ir/Reports/Decision.aspx?LetterSerial=ytYjZCpQQQaQQQ34BFQkm8DLxX9A%3d%3d&amp;rt=2&amp;let=19&amp;ct=0&amp;ft=-1</t>
  </si>
  <si>
    <t>SRC_NOURI_1403_001</t>
  </si>
  <si>
    <t>۳۹</t>
  </si>
  <si>
    <t>https://www.codal.ir/Reports/Attachment.aspx?LetterSerial=qQQQaQQQXL8Mm5NCUb8eyBSic7hA%3d%3d</t>
  </si>
  <si>
    <t>SRC_NOOR_1404_007 + SRC_NOOR_1404_005</t>
  </si>
  <si>
    <t>گزارش فعالیت هیئت مدیره و Cross Check افشای نوع ۱۹</t>
  </si>
  <si>
    <t>۴۱ و افشای نوع ۱۹ صفحه ۱</t>
  </si>
  <si>
    <t>https://www.codal.ir/Reports/Attachment.aspx?LetterSerial=lWuukNFzDitnWL7VD4weCA%3d%3d</t>
  </si>
  <si>
    <t>SRC_FOLD_1403_001</t>
  </si>
  <si>
    <t>۴</t>
  </si>
  <si>
    <t>https://www.codal.ir/Reports/Attachment.aspx?LetterSerial=lIOOObOOOFuv6MQlLw20bmBKF3Cw%3d%3d</t>
  </si>
  <si>
    <t>Iran_BSI_Turnover_Batch4_4Firms_Verified.xlsx</t>
  </si>
  <si>
    <t>SRC_FOLD_1404_002</t>
  </si>
  <si>
    <t>۵ و ۳۱</t>
  </si>
  <si>
    <t>https://www.codal.ir/Reports/Attachment.aspx?LetterSerial=DjTPnm9Pa79X4Gv1Zp8FQQQaQQQQ%3d%3d</t>
  </si>
  <si>
    <t>Snapshot مبنا برای ۱۴۰۴ و تاریخ انتصاب اعضا</t>
  </si>
  <si>
    <t>SRC_KCHD_1403_001</t>
  </si>
  <si>
    <t>https://www.codal.ir/Reports/Attachment.aspx?LetterSerial=RjOGt7pH1eRnl2ioIPNqDg%3d%3d</t>
  </si>
  <si>
    <t>Snapshot مبنا برای ۱۴۰۳ و ثبت صریح کرسی خالی</t>
  </si>
  <si>
    <t>SRC_KCHD_1404_006</t>
  </si>
  <si>
    <t>https://www.codal.ir/Reports/Decision.aspx?LetterSerial=XPg1kJyBIkadWnCXHnsdKg%3d%3d&amp;rt=0&amp;let=19&amp;ct=0&amp;ft=-1</t>
  </si>
  <si>
    <t>SRC_KGOL_1404_002</t>
  </si>
  <si>
    <t>https://www.codal.ir/Reports/Decision.aspx?LetterSerial=V8TQGa6IRAmh3pwzvDL0KQ%3d%3d&amp;rt=0&amp;let=19&amp;ct=0&amp;ft=-1</t>
  </si>
  <si>
    <t>Snapshot مبنا برای پایان ۱۴۰۳ و جلوگیری از Look Ahead</t>
  </si>
  <si>
    <t>SRC_KGOL_1404_004</t>
  </si>
  <si>
    <t>https://www.codal.ir/Reports/Decision.aspx?LetterSerial=IYIOOObOOO6mh6t3bHqdV5BigMrg%3d%3d&amp;rt=0&amp;let=19&amp;ct=0&amp;ft=-1</t>
  </si>
  <si>
    <t>SRC_PRSN_1403_001</t>
  </si>
  <si>
    <t>۵۰</t>
  </si>
  <si>
    <t>https://www.codal.ir/Reports/Attachment.aspx?LetterSerial=Pzx8AUWEOOObOOOMcLjZdiSXNAoA%3d%3d</t>
  </si>
  <si>
    <t>SRC_PRSN_1404_007</t>
  </si>
  <si>
    <t>۳۷ تا ۳۸</t>
  </si>
  <si>
    <t>https://www.codal.ir/Reports/Attachment.aspx?LetterSerial=L6jPydiKkSCQR9kVCKMgkg%3d%3d</t>
  </si>
  <si>
    <t>SRC_AKHB_1404_002</t>
  </si>
  <si>
    <t>۹۳ تا ۹۴</t>
  </si>
  <si>
    <t>https://www.codal.ir/Reports/Attachment.aspx?LetterSerial=l18osNfAAH2DvvstKQQQaQQQYuHQ%3d%3d</t>
  </si>
  <si>
    <t>Iran_BSI_Turnover_Batch5_4Firms_Verified.xlsx</t>
  </si>
  <si>
    <t>SRC_AKHB_1404_003</t>
  </si>
  <si>
    <t>https://www.codal.ir/Reports/Decision.aspx?LetterSerial=GSIO5iJOn2Ini6eniOOOObOOOopw%3d%3d&amp;rt=5&amp;let=19&amp;ct=0&amp;ft=-1</t>
  </si>
  <si>
    <t>Snapshot اصلی ۱۴۰۴ و تایید نمایندگان</t>
  </si>
  <si>
    <t>SRC_AKHB_1404_005</t>
  </si>
  <si>
    <t>https://www.codal.ir/Reports/Decision.aspx?LetterSerial=iXcFNxwCjn4aV4ptXi6QQQaQQQjA%3d%3d&amp;rt=5&amp;let=19&amp;ct=0&amp;ft=-1</t>
  </si>
  <si>
    <t>کنترل تغییر اشخاص حقوقی در طول سال</t>
  </si>
  <si>
    <t>SRC_JAM_1404_002</t>
  </si>
  <si>
    <t>۳۵</t>
  </si>
  <si>
    <t>https://www.codal.ir/Reports/Attachment.aspx?LetterSerial=7DOfnJSrljlS4F1ZUoECfA%3d%3d</t>
  </si>
  <si>
    <t>SRC_JAM_1404_008</t>
  </si>
  <si>
    <t>https://www.codal.ir/Reports/Decision.aspx?LetterSerial=BY8YXlJLNgWdHoQQQaQQQN2kMTZQ%3d%3d&amp;rt=0&amp;let=19&amp;ct=0&amp;ft=-1</t>
  </si>
  <si>
    <t>تایید نام رسمی کاوشگران بازار سرمایه</t>
  </si>
  <si>
    <t>SRC_JAM_1404_005</t>
  </si>
  <si>
    <t>https://www.codal.ir/Reports/Decision.aspx?LetterSerial=zrRXQNzllX2hozqxWf2Nng%3d%3d&amp;rt=0&amp;let=19&amp;ct=0&amp;ft=-1</t>
  </si>
  <si>
    <t>آخرین Snapshot قابل اتکا پیش از Cutoff</t>
  </si>
  <si>
    <t>SRC_VMDN_1404_002</t>
  </si>
  <si>
    <t>۴۰</t>
  </si>
  <si>
    <t>https://www.codal.ir/Reports/Attachment.aspx?LetterSerial=AcoEbrF1YWBxnIP9D2INbA%3d%3d</t>
  </si>
  <si>
    <t>SRC_VMDN_1404_001</t>
  </si>
  <si>
    <t>۴۳</t>
  </si>
  <si>
    <t>https://www.codal.ir/Reports/Attachment.aspx?LetterSerial=bRnwYafN0uOG5s7eZOOObOOObCPw%3d%3d</t>
  </si>
  <si>
    <t>Snapshot سال ۱۴۰۴</t>
  </si>
  <si>
    <t>SRC_VMDN_1404_004</t>
  </si>
  <si>
    <t>https://www.codal.ir/Reports/Decision.aspx?LetterSerial=GYYJgW0mQQQaQQQdbvnpR6QLaHlA%3d%3d&amp;rt=2&amp;let=19&amp;ct=0&amp;ft=-1</t>
  </si>
  <si>
    <t>تایید تغییر نماینده فولاد سنگ</t>
  </si>
  <si>
    <t>SRC_VMDN_1404_003</t>
  </si>
  <si>
    <t>https://www.codal.ir/Reports/Decision.aspx?LetterSerial=AHwQQQaQQQkHcUkc0pfBa2dXOOObOOOE3Q%3d%3d&amp;rt=2&amp;let=19&amp;ct=0&amp;ft=-1</t>
  </si>
  <si>
    <t>تایید تغییر نماینده فولاد مبارکه و ریاست</t>
  </si>
  <si>
    <t>SRC_VAMD_1404_002</t>
  </si>
  <si>
    <t>۶۹</t>
  </si>
  <si>
    <t>https://www.codal.ir/Reports/Attachment.aspx?LetterSerial=CM4mqa3Wz2h9LMqk4uVACQ%3d%3d</t>
  </si>
  <si>
    <t>SRC_VAMD_1404_001</t>
  </si>
  <si>
    <t>https://www.codal.ir/Reports/Attachment.aspx?LetterSerial=L3pmVuuRgm42MhLxuM1ElQ%3d%3d</t>
  </si>
  <si>
    <t>SRC_VAMD_1404_005</t>
  </si>
  <si>
    <t>افشای نوع ۱۹ اصلاحیه</t>
  </si>
  <si>
    <t>https://www.codal.ir/Reports/Decision.aspx?LetterSerial=1UEyCQ9gyduKzNiiDDNXUA%3d%3d&amp;rt=2&amp;let=19&amp;ct=0&amp;ft=-1</t>
  </si>
  <si>
    <t>کنترل تغییر اشخاص حقوقی و تداوم نمایندگان</t>
  </si>
  <si>
    <t>SRC_VAMD_1404_006</t>
  </si>
  <si>
    <t>https://www.codal.ir/Reports/Decision.aspx?LetterSerial=heZfln7kl6v8fiuPpe5P4g%3d%3d&amp;rt=2&amp;let=19&amp;ct=0&amp;ft=-1</t>
  </si>
  <si>
    <t>کنترل مستقل ترکیب</t>
  </si>
  <si>
    <t>SRC_KHSP_1404_002</t>
  </si>
  <si>
    <t>https://www.codal.ir/Reports/Decision.aspx?LetterSerial=0rlsOOObOOOEFaa9IMoCD90IUbxA%3d%3d&amp;rt=0&amp;let=19&amp;ct=0&amp;ft=-1</t>
  </si>
  <si>
    <t>Snapshot مبنا ۱۴۰۳</t>
  </si>
  <si>
    <t>Iran_BSI_Turnover_Batch6_5Firms_Final.xlsx</t>
  </si>
  <si>
    <t>SRC_KHSP_1404_004</t>
  </si>
  <si>
    <t>https://www.codal.ir/Reports/Decision.aspx?LetterSerial=UJ1so0i61H6WpTMWJ3OsCA%3d%3d&amp;rt=0&amp;let=19&amp;ct=0&amp;ft=-1</t>
  </si>
  <si>
    <t>Snapshot ۱۴۰۴ و تطبیق کرسی ها</t>
  </si>
  <si>
    <t>SRC_HMRH_1404_002</t>
  </si>
  <si>
    <t>۵</t>
  </si>
  <si>
    <t>https://www.codal.ir/Reports/Attachment.aspx?LetterSerial=qF6WQQQaQQQvb3G9yQQQaQQQVuknoGcUQQ%3d%3d</t>
  </si>
  <si>
    <t>SRC_HMRH_1404_001</t>
  </si>
  <si>
    <t>https://www.codal.ir/Reports/Attachment.aspx?LetterSerial=Ln6R9zsWXNJqeuz97OOObOOOaACw%3d%3d</t>
  </si>
  <si>
    <t>Snapshot مبنا ۱۴۰۴</t>
  </si>
  <si>
    <t>SRC_HMRH_1404_005</t>
  </si>
  <si>
    <t>https://www.codal.ir/Reports/Decision.aspx?LetterSerial=EkFsjyhmhfXBQoQQQaQQQTg7cqCw%3d%3d&amp;rt=5&amp;let=19&amp;ct=0&amp;ft=-1</t>
  </si>
  <si>
    <t>بازتایید ثبات نمایندگان و اشخاص حقوقی</t>
  </si>
  <si>
    <t>SRC_MELT_1404_006</t>
  </si>
  <si>
    <t>https://www.codal.ir/Reports/Decision.aspx?LetterSerial=pMyRiSQQQaQQQwMIoymmCCqmzwtg%3d%3d&amp;rt=3&amp;let=19&amp;ct=0&amp;ft=-1</t>
  </si>
  <si>
    <t>Snapshot اشخاص حقیقی ۱۴۰۳</t>
  </si>
  <si>
    <t>SRC_MELT_1404_005</t>
  </si>
  <si>
    <t>https://www.codal.ir/Reports/Decision.aspx?LetterSerial=jqQzOOObOOOZ5mOOObOOO0IdbSC6088ERA%3d%3d&amp;rt=3&amp;let=19&amp;ct=0&amp;ft=-1</t>
  </si>
  <si>
    <t>Snapshot اشخاص حقیقی ۱۴۰۴؛ فقط تغییر سمت</t>
  </si>
  <si>
    <t>SRC_VBSD_1404_002</t>
  </si>
  <si>
    <t>۳۸ تا ۳۹</t>
  </si>
  <si>
    <t>https://www.codal.ir/Reports/Attachment.aspx?LetterSerial=HChwyLb11ZnzYeIEeB3Jng%3d%3d</t>
  </si>
  <si>
    <t>SRC_VBSD_1404_001</t>
  </si>
  <si>
    <t>۴۵ تا ۴۶</t>
  </si>
  <si>
    <t>https://www.codal.ir/Reports/Attachment.aspx?LetterSerial=p0cfFj1rDsXiFZsu35tCWw%3d%3d</t>
  </si>
  <si>
    <t>۹</t>
  </si>
  <si>
    <t>FY1403 موجود است؛ FY1404 در آرشیو بارگذاری شده یافت نشد</t>
  </si>
  <si>
    <t>v33</t>
  </si>
  <si>
    <t>SRC_ZGRS_1404_002 (p.26, FY1403) و SRC_ZGRS_1404_001 (p.26, FY1404)</t>
  </si>
  <si>
    <t>بازخوانی کامل این فاز؛ بدون دانلود جدید</t>
  </si>
  <si>
    <t>Iran_BSI_v33_Phase4_2K_FinalTurnoverClosure.xlsx</t>
  </si>
  <si>
    <t>SRC_SHBN_1404_001 (p.55-56 کمیته حسابرسی، p.82-84 روستر هیئت‌مدیره)</t>
  </si>
  <si>
    <t>بازخوانی جزئی این فاز با الگوی جستجوی عربی؛ بدون دانلود جدید</t>
  </si>
  <si>
    <t>مرحله</t>
  </si>
  <si>
    <t>تغییر</t>
  </si>
  <si>
    <t>مبنای شواهد</t>
  </si>
  <si>
    <t>اثر</t>
  </si>
  <si>
    <t>منبع یا روش کنترل</t>
  </si>
  <si>
    <t>پوشش Turnover برابر ۵ از ۲۸ و معماری ۱۰ Measure در ۸ Construct</t>
  </si>
  <si>
    <t>فایل v33</t>
  </si>
  <si>
    <t>Baseline</t>
  </si>
  <si>
    <t>افزوده شدن شبندر، پارس، شتران</t>
  </si>
  <si>
    <t>بررسی دستی و بصری PDF</t>
  </si>
  <si>
    <t>پوشش به ۸ شرکت</t>
  </si>
  <si>
    <t>Iran_BSI_Turnover_Batch1_*.xlsx و گزارش فارسی همان Batch</t>
  </si>
  <si>
    <t>افزوده شدن وتجارت، رمپنا، فخوز؛ وپاسار حل نشده</t>
  </si>
  <si>
    <t>تطبیق مستقیم و chronology</t>
  </si>
  <si>
    <t>پوشش به ۱۱ شرکت</t>
  </si>
  <si>
    <t>Iran_BSI_Turnover_Batch2_*.xlsx و گزارش فارسی همان Batch</t>
  </si>
  <si>
    <t>افزوده شدن شستا، شپنا، وغدیر، نوری</t>
  </si>
  <si>
    <t>افشای نوع ۱۹ و کنترل Cutoff</t>
  </si>
  <si>
    <t>پوشش به ۱۵ شرکت</t>
  </si>
  <si>
    <t>Iran_BSI_Turnover_Batch3_*.xlsx و گزارش فارسی همان Batch</t>
  </si>
  <si>
    <t>افزوده شدن فولاد، کچاد، کگل، پارسان</t>
  </si>
  <si>
    <t>روستر دو سال و کنترل vacancy</t>
  </si>
  <si>
    <t>پوشش به ۱۹ شرکت</t>
  </si>
  <si>
    <t>Iran_BSI_Turnover_Batch4_*.xlsx و گزارش فارسی همان Batch</t>
  </si>
  <si>
    <t>افزوده شدن اخابر، جم، ومعادن، وامید</t>
  </si>
  <si>
    <t>بررسی بصری و کنترل سال مالی</t>
  </si>
  <si>
    <t>پوشش به ۲۳ شرکت</t>
  </si>
  <si>
    <t>Iran_BSI_Turnover_Batch5_*.xlsx و گزارش فارسی همان Batch</t>
  </si>
  <si>
    <t>افزوده شدن خساپا، همراه، وبملت، وبصادر</t>
  </si>
  <si>
    <t>تطبیق نهایی پنج شرکت باقیمانده</t>
  </si>
  <si>
    <t>پوشش به ۲۷ از ۲۸</t>
  </si>
  <si>
    <t>Iran_BSI_Turnover_Batch6_*.xlsx و گزارش فارسی همان Batch</t>
  </si>
  <si>
    <t>v34</t>
  </si>
  <si>
    <t>ارتقای REF05 و REF08 به مقیاس پذیری با محدودیت</t>
  </si>
  <si>
    <t>پوشش ۹۶٫۴٪ Turnover و پوشش کامل در ساختارهای نمایندگی تاییدشده</t>
  </si>
  <si>
    <t>۱۲ Measure در ۱۰ Construct</t>
  </si>
  <si>
    <t>فایل های فاز مربوطه و برگه های ثبت منابع</t>
  </si>
  <si>
    <t>Exactly 30 canonical firms</t>
  </si>
  <si>
    <t>تایید</t>
  </si>
  <si>
    <t>۳۰ ردیف در Turnover نهایی</t>
  </si>
  <si>
    <t>COUNT ردیف های شرکت در Turnover نهایی و تطبیق با Universe ۳۰ شرکت</t>
  </si>
  <si>
    <t>Turnover eligible denominator</t>
  </si>
  <si>
    <t>29 شرکت؛ حکشتی خارج از مخرج؛ وپاسار حل نشده (v38)</t>
  </si>
  <si>
    <t>COUNTIF ستون واجد شرایط Turnover در Turnover نهایی</t>
  </si>
  <si>
    <t>پوشش عددی گردش اعضا</t>
  </si>
  <si>
    <t>28 از 29 (v38)</t>
  </si>
  <si>
    <t>COUNT نرخ های عددی گردش فردی در Turnover نهایی</t>
  </si>
  <si>
    <t>Missing converted to zero</t>
  </si>
  <si>
    <t>بازبینی Missingness و فرمول ها؛ سلول خالی یا N/A به صفر تبدیل نشده است</t>
  </si>
  <si>
    <t>Representative Change only with legal entity continuity</t>
  </si>
  <si>
    <t>چهار شرکت فردی مستقیم N/A و وپاسار نامشخص</t>
  </si>
  <si>
    <t>قاعده REF08 در راهنمای محاسبات و منابع و ستون های J تا L در Turnover نهایی</t>
  </si>
  <si>
    <t>Vacancy treated separately</t>
  </si>
  <si>
    <t>کچاد در مخرج فردی ۴ کرسی قابل مقایسه دارد</t>
  </si>
  <si>
    <t>قاعده کرسی خالی در روش محاسبه Turnover نهایی</t>
  </si>
  <si>
    <t>Look Ahead controlled</t>
  </si>
  <si>
    <t>موارد گزارش سالانه با اطلاعات پس از Cutoff با Type 19 اصلاح شدند</t>
  </si>
  <si>
    <t>قاعده تغییر سمت در روش محاسبه Turnover نهایی</t>
  </si>
  <si>
    <t>Turnover and Stability same composite</t>
  </si>
  <si>
    <t>ممنوع؛ مکمل ریاضی</t>
  </si>
  <si>
    <t>ثبت منابع Batchها و Source_IDها</t>
  </si>
  <si>
    <t>Architecture counts</t>
  </si>
  <si>
    <t>۱۲ Measure قابل توسعه در ۱۰ Construct</t>
  </si>
  <si>
    <t>فرمول های Coverage، Variation و Correlation از Turnover نهایی</t>
  </si>
  <si>
    <t>Ready for advisor</t>
  </si>
  <si>
    <t>Extraction پایلوت متوقف شود</t>
  </si>
  <si>
    <t>مقایسه شمارش معماری به روز شده با Constructهای مستقل</t>
  </si>
  <si>
    <t>محاسبه CR1A v39</t>
  </si>
  <si>
    <t>انجام شد</t>
  </si>
  <si>
    <t>۲۷ موجود؛ ۲۶ محافظه کارانه؛ سه نامشخص و یک تعارض</t>
  </si>
  <si>
    <t>CR1A v39</t>
  </si>
  <si>
    <t>حل سندی سه شرکت</t>
  </si>
  <si>
    <t>کامل نشد</t>
  </si>
  <si>
    <t>وتجارت، وپاسار و حکشتی با محدودیت صریح باقی مانده اند.</t>
  </si>
  <si>
    <t>کنترل فرمول و ذخیره نتیجه</t>
  </si>
  <si>
    <t>فرمول ها بازمحاسبه و نتیجه ذخیره شد؛ خطای محاسباتی صفر. موارد دارای ورودی متنی تاریخی همچنان با پرچم باز هستند.</t>
  </si>
  <si>
    <t>تغییرات ممیزی v36</t>
  </si>
  <si>
    <t>فقط اصلاحات تاییدشده با منبع اعمال شد؛ v35 اصلی دست‌نخورده است.</t>
  </si>
  <si>
    <t>مورد</t>
  </si>
  <si>
    <t>خودرو G,S,P</t>
  </si>
  <si>
    <t>0,5,0 → 1,4,1</t>
  </si>
  <si>
    <t>SRC_IKCO_1404_001_original ص۵۳</t>
  </si>
  <si>
    <t>خودرو J,K,M,N</t>
  </si>
  <si>
    <t>0,5,0,5 → Missing</t>
  </si>
  <si>
    <t>عدم تایید؛ Missing به صفر تبدیل نشد</t>
  </si>
  <si>
    <t>فارس K,N</t>
  </si>
  <si>
    <t>4 → 5</t>
  </si>
  <si>
    <t>SRC_FARS_1404_010 ص۴۲</t>
  </si>
  <si>
    <t>جدول استاد / معماری</t>
  </si>
  <si>
    <t>تعداد دارای داده</t>
  </si>
  <si>
    <t>S1A 28، VAR06 27، CR1A 23، AUD01 23، AUD02 11، IRN01/02 29، SEP07 26، REF08 22</t>
  </si>
  <si>
    <t>Audit v36</t>
  </si>
  <si>
    <t>ستون جدید</t>
  </si>
  <si>
    <t>وضعیت و یادداشت ممیزی v36</t>
  </si>
  <si>
    <t>متن REF08</t>
  </si>
  <si>
    <t>۲۳ → ۲۲ مشاهده</t>
  </si>
  <si>
    <t>تاپیکو،کچاد،پارسان،وتجارت،جم،خساپا</t>
  </si>
  <si>
    <t>علامت</t>
  </si>
  <si>
    <t>NEEDS_SOURCE_REVIEW بدون تغییر عدد</t>
  </si>
  <si>
    <t>Audit v36 Conflict Log</t>
  </si>
  <si>
    <t>Candidateهای جدید</t>
  </si>
  <si>
    <t>وارد Composite نشدند؛ فقط در فایل Candidates</t>
  </si>
  <si>
    <t>خلاصه ممیزی مستقل v35 (Iran BSI)</t>
  </si>
  <si>
    <t>تعداد شرکت‌ها</t>
  </si>
  <si>
    <t>شرکت‌های یکتا</t>
  </si>
  <si>
    <t>بدون تکرار</t>
  </si>
  <si>
    <t>Measure ممیزی‌شده</t>
  </si>
  <si>
    <t>۱۲ اصلی + ۳ Robustness</t>
  </si>
  <si>
    <t>VERIFIED کامل</t>
  </si>
  <si>
    <t>Source Gaps</t>
  </si>
  <si>
    <t>شرکت بدون Source_URL</t>
  </si>
  <si>
    <t>Formula Errors (cached scan v35)</t>
  </si>
  <si>
    <t>۲۸۳ فرمول؛ بدون #REF!/#DIV/0!/#VALUE!/#NAME?/#N/A</t>
  </si>
  <si>
    <t>Cross Sheet Inconsistencies</t>
  </si>
  <si>
    <t>تعداد ردیف‌های Conflict Log</t>
  </si>
  <si>
    <t>نقض هویت S=H−G</t>
  </si>
  <si>
    <t>نقض هویت K=N−M</t>
  </si>
  <si>
    <t>نقض P≥G</t>
  </si>
  <si>
    <t>AUD01 پوشش ممیزی (X/30)</t>
  </si>
  <si>
    <t>REF05 پوشش ممیزی (X/eligible)</t>
  </si>
  <si>
    <t>حکم ممیزی</t>
  </si>
  <si>
    <t>اصلاح عددی خودرو/فارس و شش اصلاح پوشش</t>
  </si>
  <si>
    <t>ممیزی سطح Workbook</t>
  </si>
  <si>
    <t>بررسی ساختار و سازگاری بین‌برگه‌ای v35 (فایل اصلی دست‌نخورده).</t>
  </si>
  <si>
    <t>بررسی</t>
  </si>
  <si>
    <t>تعداد برگه‌های v35</t>
  </si>
  <si>
    <t>OK</t>
  </si>
  <si>
    <t>دقیقا ۳۰ شرکت</t>
  </si>
  <si>
    <t>Turnover نهایی ردیف ۴–۳۳</t>
  </si>
  <si>
    <t>تکرار شرکت/شرکت-سال</t>
  </si>
  <si>
    <t>یکتا</t>
  </si>
  <si>
    <t>ناسازگاری Summary و Raw (S1A, VAR06, CR1A, SEP07, AUD01/02, IRN, REF08)</t>
  </si>
  <si>
    <t>Conflict Log C01–C07,C22</t>
  </si>
  <si>
    <t>FAIL</t>
  </si>
  <si>
    <t>Advisor Table در برابر Specialist Sheets</t>
  </si>
  <si>
    <t>ناسازگار</t>
  </si>
  <si>
    <t>AUD02 Scale-Up vs Robustness؛ IRN02 مکمل</t>
  </si>
  <si>
    <t>Coverage در برابر Firm Data</t>
  </si>
  <si>
    <t>ناسازگار برای خودرو/فارس</t>
  </si>
  <si>
    <t>Conflict Log C08/C09</t>
  </si>
  <si>
    <t>Variation در برابر Raw</t>
  </si>
  <si>
    <t>ناسازگار برای SEP07</t>
  </si>
  <si>
    <t>Variation صفر</t>
  </si>
  <si>
    <t>Candidate Decisions در برابر Architecture</t>
  </si>
  <si>
    <t>شمارش ۱۲ Measure در ۱۰ Construct دوبارشماری دارد</t>
  </si>
  <si>
    <t>IRN01/IRN02</t>
  </si>
  <si>
    <t>خطای فرمول</t>
  </si>
  <si>
    <t>Cached values</t>
  </si>
  <si>
    <t>ممیزی ۳۰ شرکت</t>
  </si>
  <si>
    <t>Universe دقیقا ۳۰ شرکت؛ بدون تکرار شرکت. وضعیت ممیزی بر پایه آزمون هویت‌های ریاضی و بررسی منبع.</t>
  </si>
  <si>
    <t>#</t>
  </si>
  <si>
    <t>گروه منبع v35</t>
  </si>
  <si>
    <t>کیفیت شواهد v35</t>
  </si>
  <si>
    <t>پایان سال مالی</t>
  </si>
  <si>
    <t>Source_URL موجود</t>
  </si>
  <si>
    <t>12/29</t>
  </si>
  <si>
    <t xml:space="preserve">Iran_BSI_v33_Phase4_2K_FinalTurnoverClosure.xlsx | برگه های </t>
  </si>
  <si>
    <t>02/31</t>
  </si>
  <si>
    <t>RISK: ≥3 عضو پس از Cutoff FY1403؛ Snapshot FY1403 ناهمتراز</t>
  </si>
  <si>
    <t>03/31</t>
  </si>
  <si>
    <t>اصلاح عددی بر اساس سند منبع (Audit Conflict Log)</t>
  </si>
  <si>
    <t>MEMBERSHIP_START_RECONSTRUCTION</t>
  </si>
  <si>
    <t>Iran_BSI_v33_Phase4_2K_FinalTurnoverClosure.xlsx | روش MEMBE</t>
  </si>
  <si>
    <t xml:space="preserve">SRC_ZGRS_1404_002 (p.26, FY1403) و SRC_ZGRS_1404_001 (p.26, </t>
  </si>
  <si>
    <t>ناسازگاری هویت: Q≠H</t>
  </si>
  <si>
    <t>SRC_SHBN_1404_007 | T19 اصلاحیه | جلسه هیئت مدیره ۱۴۰۳/۱۲/۲۷</t>
  </si>
  <si>
    <t xml:space="preserve">SRC_PARS_1404_008 | T19 | جلسه هیئت مدیره ۱۴۰۴/۰۱/۳۰ | صفحه </t>
  </si>
  <si>
    <t xml:space="preserve">SRC_SHTR_1403_001 | گزارش فعالیت هیئت مدیره | دوره منتهی به </t>
  </si>
  <si>
    <t>SRC_VTEJ_1404_004 | گزارش فعالیت هیئت مدیره مربوط به سال مال</t>
  </si>
  <si>
    <t>ناسازگاری هویت: Q≠H، P&lt;G</t>
  </si>
  <si>
    <t>SRC_RMPN_1404_011 | افشای نوع ۱۹، جلسه هیئت مدیره ۱۴۰۴/۰۲/۲۱</t>
  </si>
  <si>
    <t>SRC_FKHZ_1404_002 | گزارش فعالیت هیئت مدیره منتهی به ۱۴۰۳/۱۲</t>
  </si>
  <si>
    <t xml:space="preserve">SRC_SHST_1404_015 | افشای نوع ۱۹ | ۱۴۰۳ | ۱ | Snapshot مبنا </t>
  </si>
  <si>
    <t xml:space="preserve">SRC_SHPN_1404_002 | افشای نوع ۱۹ | ۱۴۰۳ | ۱ | Snapshot مبنا </t>
  </si>
  <si>
    <t>09/30</t>
  </si>
  <si>
    <t xml:space="preserve">SRC_VGHD_1404_002 | افشای نوع ۱۹ | ۱۴۰۳ | ۱ | Snapshot مبنا </t>
  </si>
  <si>
    <t>SRC_NOURI_1403_001 | گزارش فعالیت هیئت مدیره | ۱۴۰۳ | ۳۹ | S</t>
  </si>
  <si>
    <t>SRC_FOLD_1403_001 | گزارش فعالیت هیئت مدیره | ۱۴۰۳ | ۴ | Sna</t>
  </si>
  <si>
    <t>SRC_KCHD_1403_001 | گزارش فعالیت هیئت مدیره | ۱۴۰۳ | ۴ | Sna</t>
  </si>
  <si>
    <t>ناسازگاری هویت: K≠N−M، Q≠H، P&gt;0 با G=0</t>
  </si>
  <si>
    <t xml:space="preserve">SRC_KGOL_1404_002 | افشای نوع ۱۹ | ۱۴۰۳ | ۱ | Snapshot مبنا </t>
  </si>
  <si>
    <t>06/31</t>
  </si>
  <si>
    <t>SRC_PRSN_1403_001 | گزارش فعالیت هیئت مدیره | ۱۴۰۳ | ۵۰ | Sn</t>
  </si>
  <si>
    <t>ناسازگاری هویت: Q≠H، P&gt;0 با G=0</t>
  </si>
  <si>
    <t>SRC_AKHB_1404_002 | گزارش فعالیت هیئت مدیره | ۱۴۰۳ | ۹۳ تا ۹</t>
  </si>
  <si>
    <t>SRC_JAM_1404_002 | گزارش فعالیت هیئت مدیره | ۱۴۰۳ | ۳۵ | Sna</t>
  </si>
  <si>
    <t>ناسازگاری هویت: P&lt;G</t>
  </si>
  <si>
    <t>SRC_VMDN_1404_002 | گزارش فعالیت هیئت مدیره | ۱۴۰۳ | ۴۰ | Sn</t>
  </si>
  <si>
    <t>10/30</t>
  </si>
  <si>
    <t>SRC_VAMD_1404_002 | گزارش فعالیت هیئت مدیره | ۱۴۰۳ | ۶۹ | Sn</t>
  </si>
  <si>
    <t xml:space="preserve">SRC_KHSP_1404_002 | افشای نوع ۱۹ | ۱۴۰۳ | ۱ | Snapshot مبنا </t>
  </si>
  <si>
    <t>SRC_HMRH_1404_002 | گزارش فعالیت هیئت مدیره | ۱۴۰۳ | ۵ | Sna</t>
  </si>
  <si>
    <t>SRC_MELT_1404_006 | افشای نوع ۱۹ | ۱۴۰۳ | ۱ | Snapshot اشخاص</t>
  </si>
  <si>
    <t>SRC_VBSD_1404_002 | گزارش فعالیت هیئت مدیره | ۱۴۰۳ | ۳۸ تا ۳</t>
  </si>
  <si>
    <t>SRC_VPSR_1404_001 | گزارش فعالیت هیئت مدیره منتهی به ۱۴۰۳/۱۲</t>
  </si>
  <si>
    <t>Turnover حل‌نشده؛ هیچ مقداری حدس زده نشده</t>
  </si>
  <si>
    <t xml:space="preserve">Iran_BSI_v33_Phase4_2K_FinalTurnoverClosure.xlsx | شرکت های </t>
  </si>
  <si>
    <t>خارج از مخرج Turnover؛ N/A صحیح بر پایه v35</t>
  </si>
  <si>
    <t>محدودیت داده</t>
  </si>
  <si>
    <t>MISSING_PRIOR_YEAR</t>
  </si>
  <si>
    <t xml:space="preserve">Iran_BSI_v33_Phase4_2K_FinalTurnoverClosure.xlsx | وضعیت ۳۰ </t>
  </si>
  <si>
    <t>ممیزی ۱۵ Measure (۱۲ اصلی + ۳ Robustness)</t>
  </si>
  <si>
    <t>وضعیت ممیزی بر پایه بازتولید از داده خام v22/v25/v29/v31 و منابع PDF. DO_NOT_COMBINE برای ROB_STABILITY طبقه Redundancy است.</t>
  </si>
  <si>
    <t>Measure</t>
  </si>
  <si>
    <t>نام</t>
  </si>
  <si>
    <t>منبع بازتولید</t>
  </si>
  <si>
    <t>یادداشت منبع</t>
  </si>
  <si>
    <t>پروکسی است، نه استقلال صریح؛ ۲ شرکت Duty_Status افشا نشده</t>
  </si>
  <si>
    <t>v22 Canonical Board Members (Duty_Status)</t>
  </si>
  <si>
    <t>Source_ID در Audit منابع؛ مقدار per-firm غیرتوروور در v35 hardcode است</t>
  </si>
  <si>
    <t>Blau حساس به اندازه هیئت (N≈5)</t>
  </si>
  <si>
    <t>تنوع سابقه حرفه‌ای (Strict)</t>
  </si>
  <si>
    <t>تنوع حرفه‌ای</t>
  </si>
  <si>
    <t>پوشش ۲۷ نه ۲۸؛ ۲۶ عضو UNCLASSIFIED؛ بار قضاوت انسانی</t>
  </si>
  <si>
    <t>تخصص</t>
  </si>
  <si>
    <t>همپوشانی با سابقه حرفه‌ای/تحصیلی</t>
  </si>
  <si>
    <t>تغییر رئیس هیئت‌مدیره</t>
  </si>
  <si>
    <t>۲۶ از ۳۰ بدون تعارض باز ثبت شده؛ ۲۷ کد خام؛ یک تعارض فملی و سه نامشخص</t>
  </si>
  <si>
    <t>CR1A v39؛ ستون V فایل v38 و بازسازی سطح کرسی</t>
  </si>
  <si>
    <t>بازمحاسبه v39 انجام شد؛ اعتبار شواهد قبلی با محدودیت حفظ شده و بازخوانی مستقل همه منابع ادعا نمی شود.</t>
  </si>
  <si>
    <t>۲۲→۲۳؛ ۶ شرکت Keyword Hit نیازمند بازبینی صفحه</t>
  </si>
  <si>
    <t>v31 AC_EXISTENCE_30 + norm_scan</t>
  </si>
  <si>
    <t>۱۱ نه ۱۵ اندازه دقیق</t>
  </si>
  <si>
    <t>v31 AC_ROSTER</t>
  </si>
  <si>
    <t>تقریبا Dummy بانکی (وبصادر/وبملت/وتجارت)</t>
  </si>
  <si>
    <t>مکمل دقیق IRN01 (IRN01+IRN02=1)</t>
  </si>
  <si>
    <t>تفکیک CEO و Chair</t>
  </si>
  <si>
    <t>Variation صفر در ۲۶ شناخته‌شده؛ برابر S3 از v22</t>
  </si>
  <si>
    <t>v22 Chair_Flag/CEO_Flag</t>
  </si>
  <si>
    <t>نرخ گردش شخص حقیقی</t>
  </si>
  <si>
    <t>خودرو ۱/۵ نه ۰/۵؛ جهت غیرخطی</t>
  </si>
  <si>
    <t>Turnover نهایی G/H</t>
  </si>
  <si>
    <t>فارس ۳/۵؛ خودرو Missing؛ تاپیکو و کچاد بازبینی</t>
  </si>
  <si>
    <t>Turnover نهایی J/K</t>
  </si>
  <si>
    <t>Legal Entity Change Rate</t>
  </si>
  <si>
    <t>استحکام</t>
  </si>
  <si>
    <t>جهت کیفی ندارد؛ r=0.217 با Turnover</t>
  </si>
  <si>
    <t>Turnover نهایی M/N</t>
  </si>
  <si>
    <t>New Member Share</t>
  </si>
  <si>
    <t>r=0.892 با Turnover؛ ۵ ناسازگاری P/G</t>
  </si>
  <si>
    <t>Turnover نهایی P/Q</t>
  </si>
  <si>
    <t>Board Stability</t>
  </si>
  <si>
    <t>DO_NOT_COMBINE</t>
  </si>
  <si>
    <t>مکمل ریاضی Turnover (r=−1)</t>
  </si>
  <si>
    <t>Turnover نهایی S/T</t>
  </si>
  <si>
    <t>ممیزی فرمول‌ها: صورت، مخرج، واجد شرایط بودن، قاعده Missing</t>
  </si>
  <si>
    <t>برای هر Measure فعال: فرمول، صورت، مخرج، شرط واجدیت، قاعده Missing، جهت‌دهی و منبع.</t>
  </si>
  <si>
    <t>Formula</t>
  </si>
  <si>
    <t>Numerator</t>
  </si>
  <si>
    <t>Denominator</t>
  </si>
  <si>
    <t>Eligibility</t>
  </si>
  <si>
    <t>Missing rule</t>
  </si>
  <si>
    <t>Identity / Check</t>
  </si>
  <si>
    <t>Source</t>
  </si>
  <si>
    <t>REF05 Natural Person Turnover Rate</t>
  </si>
  <si>
    <t>G/H</t>
  </si>
  <si>
    <t>G=کرسی‌هایی که شخص حقیقی در FY1404 نسبت به Cutoff FY1403 تغییر کرده</t>
  </si>
  <si>
    <t>H=کرسی‌های قابل مقایسه در هر دو Snapshot</t>
  </si>
  <si>
    <t>هر دو Snapshot کامل و هویت روشن</t>
  </si>
  <si>
    <t>Missing ⇒ خالی (نه صفر)</t>
  </si>
  <si>
    <t>Role-only change ≠ turnover؛ کرسی خالی ≠ تغییر</t>
  </si>
  <si>
    <t>Iran_BSI_v35 | راهنمای محاسبات و منابع</t>
  </si>
  <si>
    <t>REF08 Representative Change With Fixed Legal Entity</t>
  </si>
  <si>
    <t>J/K</t>
  </si>
  <si>
    <t>J=کرسی‌هایی که شخص حقوقی ثابت و نماینده تغییر کرد</t>
  </si>
  <si>
    <t>K=کرسی‌هایی با شخص حقوقی ثابت در هر دو Snapshot</t>
  </si>
  <si>
    <t>ساختار شخص حقوقی قابل اعمال</t>
  </si>
  <si>
    <t>نبود شخص حقوقی ⇒ NOT_APPLICABLE</t>
  </si>
  <si>
    <t>J≤G</t>
  </si>
  <si>
    <t>Representative Change Rate (کلی)</t>
  </si>
  <si>
    <t>همان REF08</t>
  </si>
  <si>
    <t>همان</t>
  </si>
  <si>
    <t>مترادف REF08 در v35</t>
  </si>
  <si>
    <t>M/N</t>
  </si>
  <si>
    <t>M=کرسی‌هایی که شخص حقوقی صاحب کرسی عوض شد</t>
  </si>
  <si>
    <t>N=کرسی‌های دارای شخص حقوقی</t>
  </si>
  <si>
    <t>ساختار حقوقی قابل اعمال</t>
  </si>
  <si>
    <t>N/A نه صفر</t>
  </si>
  <si>
    <t>K=N−M</t>
  </si>
  <si>
    <t>P/Q</t>
  </si>
  <si>
    <t>P=اعضای FY1404 که در Snapshot FY1403 نبودند</t>
  </si>
  <si>
    <t>Q=اندازه هیئت FY1404</t>
  </si>
  <si>
    <t>روستر FY1404 کامل</t>
  </si>
  <si>
    <t>Missing ⇒ خالی</t>
  </si>
  <si>
    <t>P≥G (۵ نقض)</t>
  </si>
  <si>
    <t>S/T = 1−Turnover</t>
  </si>
  <si>
    <t>S=H−G</t>
  </si>
  <si>
    <t>T=H</t>
  </si>
  <si>
    <t>مانند Turnover</t>
  </si>
  <si>
    <t>S=H−G برقرار در همه ۲۷</t>
  </si>
  <si>
    <t>Chair Change CR1A</t>
  </si>
  <si>
    <t>indicator(Chair_FY1404≠Chair_FY1403 در پنجره مشترک)</t>
  </si>
  <si>
    <t>تغییر=1</t>
  </si>
  <si>
    <t>شرکت‌های دارای هویت رئیس در هر دو نقطه</t>
  </si>
  <si>
    <t>زنجیره زمانی رئیس</t>
  </si>
  <si>
    <t>ناشناخته ⇒ Missing</t>
  </si>
  <si>
    <t>تعارض تاپیکو و کچاد با بازسازی v38 رفع شد؛ تعارض فملی باز است؛ حساسیت جم به تاریخ انتشار حفظ شد.</t>
  </si>
  <si>
    <t>CALCULATION_UPDATED_SOURCE_REVIEW_OPEN</t>
  </si>
  <si>
    <t>CR1A v39؛ مقایسه نام رئیس و لینک مستقیم به ورودی v38</t>
  </si>
  <si>
    <t>Education Diversity V1</t>
  </si>
  <si>
    <t>1−Σp²</t>
  </si>
  <si>
    <t>p=سهم هر رشته هماهنگ‌شده</t>
  </si>
  <si>
    <t>اندازه هیئت با رشته معلوم</t>
  </si>
  <si>
    <t>حداقل ۲ عضو با رشته معلوم</t>
  </si>
  <si>
    <t>COULD_NOT_VERIFY ⇒ خالی</t>
  </si>
  <si>
    <t>Blau خام؛ Normalized فقط Robustness</t>
  </si>
  <si>
    <t>Professional Background Diversity VAR06_Strict</t>
  </si>
  <si>
    <t>1−Σp² روی گروه‌های Strict</t>
  </si>
  <si>
    <t>p=سهم گروه سابقه Strict</t>
  </si>
  <si>
    <t>اعضای با گروه Strict غیر-UNCLASSIFIED</t>
  </si>
  <si>
    <t>حداقل ۲ عضو طبقه‌بندی‌شده</t>
  </si>
  <si>
    <t>UNCLASSIFIED حذف از مخرج</t>
  </si>
  <si>
    <t>خودرو None</t>
  </si>
  <si>
    <t>Financial Expertise Share VAR10</t>
  </si>
  <si>
    <t>FinExp/N</t>
  </si>
  <si>
    <t>FinExp=اعضای با تخصص مالی مستند</t>
  </si>
  <si>
    <t>N=اعضای با مدرک/سابقه معلوم</t>
  </si>
  <si>
    <t>شواهد تحصیل/سابقه</t>
  </si>
  <si>
    <t>مدرک ناشناخته ⇒ خالی</t>
  </si>
  <si>
    <t>همپوشانی با V1/VAR06</t>
  </si>
  <si>
    <t>Structural Independence Proxy S1A</t>
  </si>
  <si>
    <t>NonExec/N</t>
  </si>
  <si>
    <t>NonExec=اعضای غیرموظف</t>
  </si>
  <si>
    <t>N=اعضای با Duty_Status معلوم</t>
  </si>
  <si>
    <t>Duty_Status افشا شده</t>
  </si>
  <si>
    <t>NOT_DISCLOSED ⇒ خارج از مخرج</t>
  </si>
  <si>
    <t>پروکسی؛ نه استقلال صریح</t>
  </si>
  <si>
    <t>AUD01 Audit Committee Existence</t>
  </si>
  <si>
    <t>indicator</t>
  </si>
  <si>
    <t>1 اگر افشای صریح</t>
  </si>
  <si>
    <t>شرکت‌های با سند معتبر</t>
  </si>
  <si>
    <t>افشای رسمی</t>
  </si>
  <si>
    <t>نبود افشا ⇒ NOT_DISCLOSED نه 0</t>
  </si>
  <si>
    <t>شبندر اصلاح</t>
  </si>
  <si>
    <t>AUD02 Audit Committee Size</t>
  </si>
  <si>
    <t>count</t>
  </si>
  <si>
    <t>تعداد اعضا</t>
  </si>
  <si>
    <t>AC وجود دارد و روستر کامل</t>
  </si>
  <si>
    <t>نبود روستر ⇒ خالی</t>
  </si>
  <si>
    <t>۱۱ دقیق</t>
  </si>
  <si>
    <t>IRN01 Legal Entity Seat Share</t>
  </si>
  <si>
    <t>LE/N</t>
  </si>
  <si>
    <t>LE=کرسی با شخص حقوقی</t>
  </si>
  <si>
    <t>N=اعضا</t>
  </si>
  <si>
    <t>روستر کامل</t>
  </si>
  <si>
    <t>IRN01+IRN02=1</t>
  </si>
  <si>
    <t>SEP07 CEO–Chair Separation</t>
  </si>
  <si>
    <t>indicator(Chair≠CEO)</t>
  </si>
  <si>
    <t>1 اگر جدا</t>
  </si>
  <si>
    <t>شرکت‌های با هر دو نقش مشخص</t>
  </si>
  <si>
    <t>روستر</t>
  </si>
  <si>
    <t>ناشناخته ⇒ خالی</t>
  </si>
  <si>
    <t>ممیزی منابع (Source_ID / URL / Evidence_Method)</t>
  </si>
  <si>
    <t>قاعده: بدون Source ⇒ VERIFIED نیست. ۹ شرکت در Turnover نهایی URL ندارند؛ برای ۴ شرکت پایه (فملی/تاپیکو/فارس/خودرو) ردیف رجیستری وجود ندارد.</t>
  </si>
  <si>
    <t>Document</t>
  </si>
  <si>
    <t>Fiscal_Year</t>
  </si>
  <si>
    <t>ثبت منبع</t>
  </si>
  <si>
    <t>Source_URL</t>
  </si>
  <si>
    <t>Evidence_Method</t>
  </si>
  <si>
    <t>Evidence_Quality v35</t>
  </si>
  <si>
    <t>Gap</t>
  </si>
  <si>
    <t>Codal (ن-۴۵ / ن-۱۱ / گزارش سالانه)</t>
  </si>
  <si>
    <t>FY1403/FY1404</t>
  </si>
  <si>
    <t>فقط ارجاع v33؛ بدون ردیف رجیستری</t>
  </si>
  <si>
    <t>SOURCE_GAP</t>
  </si>
  <si>
    <t>ثبت در ثبت منابع Batchها</t>
  </si>
  <si>
    <t>VERIFIED</t>
  </si>
  <si>
    <t>https://www.codal.ir/Reports/Attachment.aspx?LetterSerial=RjOGt7pH1eRnl2ioIPNqDg%3d%3d
https://www.codal.ir/Reports/Decision.aspx?LetterSerial=XPg1kJyBIkadWnCXHnsdKg%3d%3d&amp;rt=0&amp;let=19&amp;ct=0&amp;ft=-1</t>
  </si>
  <si>
    <t>https://www.codal.ir/Reports/Attachment.aspx?LetterSerial=Pzx8AUWEOOObOOOMcLjZdiSXNAoA%3d%3d
https://www.codal.ir/Reports/Attachment.aspx?LetterSerial=L6jPydiKkSCQR9kVCKMgkg%3d%3d</t>
  </si>
  <si>
    <t>https://www.codal.ir/Reports/Attachment.aspx?LetterSerial=7DOfnJSrljlS4F1ZUoECfA%3d%3d
https://www.codal.ir/Reports/Decision.aspx?LetterSerial=BY8YXlJLNgWdHoQQQaQQQN2kMTZQ%3d%3d&amp;rt=0&amp;let=19&amp;ct=0&amp;ft=-1
https://www.codal.ir/Reports/Decision.aspx?LetterSerial=zrRXQNzllX2hozqxWf2Nng%3d%3d&amp;rt=0&amp;let=19&amp;ct=0&amp;ft=-1</t>
  </si>
  <si>
    <t>ممیزی Cutoff و Look-Ahead</t>
  </si>
  <si>
    <t>تاریخ انتشار با سال مالی یکی گرفته نشده است. شرکت‌های با سال مالی غیرتقویمی با Cutoff مشترک ۱۴۰۳/۱۲/۲۹ و ۱۴۰۴/۱۲/۲۹ سنجیده می‌شوند.</t>
  </si>
  <si>
    <t>Cutoff FY1403</t>
  </si>
  <si>
    <t>Cutoff FY1404</t>
  </si>
  <si>
    <t>نوع سال مالی</t>
  </si>
  <si>
    <t>قاعده</t>
  </si>
  <si>
    <t>Look-Ahead Flag</t>
  </si>
  <si>
    <t>1403/12/29</t>
  </si>
  <si>
    <t>1404/12/29</t>
  </si>
  <si>
    <t>تقویمی</t>
  </si>
  <si>
    <t>Publication date ≠ Fiscal year؛ Status-as-of باید ≤ Cutoff</t>
  </si>
  <si>
    <t>بدون نشانه Look-Ahead</t>
  </si>
  <si>
    <t>غیرتقویمی</t>
  </si>
  <si>
    <t>RISK</t>
  </si>
  <si>
    <t>کنترل‌شده (Look Ahead حذف شد)</t>
  </si>
  <si>
    <t>CONTROLLED</t>
  </si>
  <si>
    <t>کنترل‌شده (Cutoff کنترل شد)</t>
  </si>
  <si>
    <t>کنترل‌شده (Look Ahead گزارش سالانه حذف شد)</t>
  </si>
  <si>
    <t>N/A</t>
  </si>
  <si>
    <t>ممیزی Missingness (هشت دسته جدا)</t>
  </si>
  <si>
    <t>تعداد شرکت به تفکیک دلیل نبود داده (شمارش ممیز از v35/v22/v31). TRUE_ZERO فقط وقتی شواهد صریح صفر وجود دارد.</t>
  </si>
  <si>
    <t>TRUE_ZERO</t>
  </si>
  <si>
    <t>NOT_DISCLOSED</t>
  </si>
  <si>
    <t>NOT_APPLICABLE</t>
  </si>
  <si>
    <t>جمع (فرمول)</t>
  </si>
  <si>
    <t>REF05 Turnover</t>
  </si>
  <si>
    <t>Missing هرگز به صفر تبدیل نشد؛ TRUE_ZERO فقط با شواهد صریح</t>
  </si>
  <si>
    <t>REF08 Rep Change</t>
  </si>
  <si>
    <t>VAR06</t>
  </si>
  <si>
    <t>۱۲ صفر واقعی در مجموعه محافظه کارانه؛ یک تعارض فملی و سه نامشخص. جمع ستون J شامل صفرهای واقعی و علل نبود داده است، نه فقط تعداد داده گمشده.</t>
  </si>
  <si>
    <t>ممیزی Coverage: X/30 و X/Eligible</t>
  </si>
  <si>
    <t>ردیف CR1A در v39 همگام شد. سایر ردیف های ممیزی با تاریخچه قبلی حفظ شده اند. ستون B در فایل مبنا متن دارد و محاسبات تاریخی آن تا بازیابی عدد معتبر خالی می مانند.</t>
  </si>
  <si>
    <t>دارای داده v35</t>
  </si>
  <si>
    <t>واجد شرایط v35</t>
  </si>
  <si>
    <t>پوشش واجد شرایط v35 (فرمول)</t>
  </si>
  <si>
    <t>پوشش از ۳۰ v35 (فرمول)</t>
  </si>
  <si>
    <t>دارای داده ممیزی</t>
  </si>
  <si>
    <t>واجد شرایط ممیزی</t>
  </si>
  <si>
    <t>پوشش واجد شرایط ممیزی (فرمول)</t>
  </si>
  <si>
    <t>پوشش از ۳۰ ممیزی (فرمول)</t>
  </si>
  <si>
    <t>تفاوت (فرمول)</t>
  </si>
  <si>
    <t>گزارش دوگانه (فرمول)</t>
  </si>
  <si>
    <t>کنترل ورودی تاریخی</t>
  </si>
  <si>
    <t>Duty_Status NOT_DISCLOSED در v22 (۴ ردیف عضو)</t>
  </si>
  <si>
    <t>BASELINE_COUNT_NOT_NUMERIC</t>
  </si>
  <si>
    <t>مطابق v22 (دو شرکت بدون داده کافی)</t>
  </si>
  <si>
    <t>خودرو Blau=None در v25</t>
  </si>
  <si>
    <t>تخصص مالی</t>
  </si>
  <si>
    <t>v25: بدون N/A</t>
  </si>
  <si>
    <t>۲۶ از ۳۰ پوشش محافظه کارانه؛ ۲۷ کد موجود. یک تعارض فملی و سه نامشخص. این شمارش تایید مستقل جدید همه اسناد نیست.</t>
  </si>
  <si>
    <t>شبندر YES (SRC_SHBN_1404_001 ص۵۶)؛ ۶ مورد دیگر فقط Keyword Hit</t>
  </si>
  <si>
    <t>اندازه دقیق فقط ۱۱ شرکت</t>
  </si>
  <si>
    <t>Variation صفر در ۲۶ شناخته‌شده</t>
  </si>
  <si>
    <t>مقدار خودرو اصلاح شد (۱/۵)</t>
  </si>
  <si>
    <t>خودرو Missing تا بازبینی سند</t>
  </si>
  <si>
    <t>ممیزی Natural Person Turnover Rate</t>
  </si>
  <si>
    <t>Turnover = G/H. هویت‌ها به‌صورت فرمول اکسل بررسی شده‌اند. ستون‌های اصلاح‌شده فقط شامل اصلاحات تاییدشده با سند منبع هستند؛ خالی به معنی Missing است نه صفر.</t>
  </si>
  <si>
    <t>G صورت گردش</t>
  </si>
  <si>
    <t>H مخرج</t>
  </si>
  <si>
    <t>J صورت تغییر نماینده</t>
  </si>
  <si>
    <t>K مخرج</t>
  </si>
  <si>
    <t>M صورت تغییر حقوقی</t>
  </si>
  <si>
    <t>N مخرج</t>
  </si>
  <si>
    <t>P عضو جدید</t>
  </si>
  <si>
    <t>Q مخرج عضو جدید</t>
  </si>
  <si>
    <t>S ثبات</t>
  </si>
  <si>
    <t>نرخ گردش (فرمول)</t>
  </si>
  <si>
    <t>P≥G</t>
  </si>
  <si>
    <t>G اصلاح‌شده</t>
  </si>
  <si>
    <t>H اصلاح‌شده</t>
  </si>
  <si>
    <t>نرخ گردش اصلاح‌شده (فرمول)</t>
  </si>
  <si>
    <t>Calculation_Method / Evidence_Method</t>
  </si>
  <si>
    <t>Notes</t>
  </si>
  <si>
    <t>DIRECT_ROSTER_COMPARISON | Turnover=G/H</t>
  </si>
  <si>
    <t>تایید قبلی</t>
  </si>
  <si>
    <t>MEMBERSHIP_START_RECONSTRUCTION | Turnover=G/H</t>
  </si>
  <si>
    <t>بازسازی از تاریخ شروع عضویت؛ محدودیت روش حفظ شد</t>
  </si>
  <si>
    <t>MULTI_SOURCE_ROSTER_COMPARISON | Turnover=G/H</t>
  </si>
  <si>
    <t>TYPE19_CHRONOLOGY | Turnover=G/H</t>
  </si>
  <si>
    <t>DIRECT_ROSTER_COMPARISON_WITH_BOARD_SIZE_CHANGE | Turnover=G/H</t>
  </si>
  <si>
    <t>ساختار نمایندگی شخص حقوقی در گزارش مبنا وجود ندارد</t>
  </si>
  <si>
    <t>MULTI_SOURCE_RECONCILIATION | Turnover=G/H</t>
  </si>
  <si>
    <t>DIRECT_TYPE19_COMPARISON | Turnover=G/H</t>
  </si>
  <si>
    <t>ANNUAL_REPORT_PLUS_TYPE19 | Turnover=G/H</t>
  </si>
  <si>
    <t>DIRECT_ANNUAL_REPORT_COMPARISON | Turnover=G/H</t>
  </si>
  <si>
    <t>یک کرسی خالی از مخرج Turnover حذف شد</t>
  </si>
  <si>
    <t>ساختار شخص حقوقی برای این Measure قابل اعمال نبود</t>
  </si>
  <si>
    <t>VISUAL_PLUS_TYPE19_RECONCILIATION | Turnover=G/H</t>
  </si>
  <si>
    <t>گزارش سالانه ۱۴۰۴ به دلیل اطلاعات پس از Cutoff مبنا نشد</t>
  </si>
  <si>
    <t>DIRECT_REPORT_PLUS_TYPE19 | Turnover=G/H</t>
  </si>
  <si>
    <t>DIRECT_FISCAL_YEAR_COMPARISON | Turnover=G/H</t>
  </si>
  <si>
    <t>جابجایی یک فرد میان دو کرسی حقوقی از عضو جدید تفکیک شد</t>
  </si>
  <si>
    <t>DIRECT_ANNUAL_REPORT_PLUS_TYPE19 | Turnover=G/H</t>
  </si>
  <si>
    <t>UNRESOLVED</t>
  </si>
  <si>
    <t>ARCHIVE_AVAILABILITY_CHECK | Turnover=G/H</t>
  </si>
  <si>
    <t>FY1403 موجود است اما Snapshot قابل اتکای FY1404 در آرشیو بارگذاری شده وجود ندارد</t>
  </si>
  <si>
    <t>SEAT_LEVEL_ONLY | Turnover=G/H</t>
  </si>
  <si>
    <t>سطح کرسی بدون نماینده حقیقی قابل شناسایی</t>
  </si>
  <si>
    <t>MISSING_PRIOR_YEAR | Turnover=G/H</t>
  </si>
  <si>
    <t>سند FY1403 برای تطبیق دو سال در پایلوت موجود نیست</t>
  </si>
  <si>
    <t>ممیزی Representative Change Rate و Rep Change With Fixed Legal Entity</t>
  </si>
  <si>
    <t>قاعده: نبود شخص حقوقی ⇒ Rep Change صفر نیست (N/A). کرسی خالی ≠ تغییر نماینده. خودرو: مخرج/صورت تا بازبینی سند Missing شد نه صفر.</t>
  </si>
  <si>
    <t>J v35</t>
  </si>
  <si>
    <t>K v35</t>
  </si>
  <si>
    <t>نرخ v35 (فرمول)</t>
  </si>
  <si>
    <t>J اصلاح‌شده</t>
  </si>
  <si>
    <t>K اصلاح‌شده</t>
  </si>
  <si>
    <t>نرخ اصلاح‌شده (فرمول)</t>
  </si>
  <si>
    <t>دلیل N/A یا Missing</t>
  </si>
  <si>
    <t>Formula / Calculation_Method</t>
  </si>
  <si>
    <t>RepChange = J/K (فقط کرسی‌هایی که شخص حقوقی در هر دو Snapshot ثابت است)</t>
  </si>
  <si>
    <t>NOT_APPLICABLE: ساختار نمایندگی حقوقی ندارد (ولی v22 برای وتجارت/پارسان شخص حقوقی ثبت دارد → بازبینی)</t>
  </si>
  <si>
    <t>NOT_APPLICABLE: اعضای حقیقی مستقیم</t>
  </si>
  <si>
    <t>ممیزی Legal Entity Change Rate</t>
  </si>
  <si>
    <t>M/N بر پایه کرسی‌های دارای شخص حقوقی در دو Snapshot. وابستگی K=N−M در Audit Turnover بررسی شده است.</t>
  </si>
  <si>
    <t>M v35</t>
  </si>
  <si>
    <t>N v35</t>
  </si>
  <si>
    <t>M اصلاح‌شده</t>
  </si>
  <si>
    <t>N اصلاح‌شده</t>
  </si>
  <si>
    <t>Formula / Method</t>
  </si>
  <si>
    <t>LegalChange = M/N؛ ROB_LEGAL فقط Robustness (جهت کیفی ندارد)</t>
  </si>
  <si>
    <t>ممیزی خانواده تنوع (تحصیلی، حرفه‌ای، تخصص مالی)</t>
  </si>
  <si>
    <t>بازتولید فرمول و بررسی مخرج از داده خام تحلیل‌شده v22/v25. بدون دوباره‌شماری Blau خام و نرمال‌شده.</t>
  </si>
  <si>
    <t>Raw data / Source</t>
  </si>
  <si>
    <t>V1 Education Blau</t>
  </si>
  <si>
    <t>v22 Education_Field_Harmonized (142 عضو)</t>
  </si>
  <si>
    <t>حساس به N=۵: مقدار ممکن محدود (0، 0.32، 0.48، 0.56، 0.64، 0.72، 0.8)</t>
  </si>
  <si>
    <t>VAR06 Professional Strict</t>
  </si>
  <si>
    <t>v25: 137 عضو؛ EXE 39، GOV 33، UNCLASSIFIED_FUNCTIONAL 26، FIN 15، OPS 10، COULD_NOT_VERIFY 9، LEG 4</t>
  </si>
  <si>
    <t>۲۷/۲۸</t>
  </si>
  <si>
    <t>خودرو None؛ ۲۶ عضو UNCLASSIFIED مخرج را کم می‌کند</t>
  </si>
  <si>
    <t>VAR10 Financial Expertise Share</t>
  </si>
  <si>
    <t>v25 Financial Expertise (۲۸ شرکت)</t>
  </si>
  <si>
    <t>۲۸/۲۸</t>
  </si>
  <si>
    <t>همپوشانی با V1 (مالی/حسابداری/اقتصاد=21 عضو) و VAR06 (FIN=15)</t>
  </si>
  <si>
    <t>Raw vs Normalized Blau</t>
  </si>
  <si>
    <t>Blau/(1−1/k)</t>
  </si>
  <si>
    <t>تبدیل ریاضی</t>
  </si>
  <si>
    <t>PARTIALLY_OVERLAPPING؛ فقط Robustness</t>
  </si>
  <si>
    <t>ممیزی استقلال (Structural Independence Proxy)</t>
  </si>
  <si>
    <t>S1A نباید به‌عنوان استقلال صریح ارائه شود؛ فقط پروکسی غیرموظف بودن است.</t>
  </si>
  <si>
    <t>Raw evidence</t>
  </si>
  <si>
    <t>Duty_Status v22: GHEYR_MOVAZZAF 85، MOVAZZAF 53، NOT_DISCLOSED 4</t>
  </si>
  <si>
    <t>سهم غیرموظف = 85/(142−4) = 61.6% در مجموع</t>
  </si>
  <si>
    <t>پروکسی ساختاری؛ استقلال صریح نیست</t>
  </si>
  <si>
    <t>Explicit independence (v31)</t>
  </si>
  <si>
    <t>AC_EXPLICIT_INDEPENDENCE: همراه، وامید، وغدیر، وبصادر، فارس</t>
  </si>
  <si>
    <t>برچسب مستقل در AC فقط ۵ شرکت</t>
  </si>
  <si>
    <t>Executive_Status_Explicit: ۱۴۰ از ۱۴۲ NOT_STATED</t>
  </si>
  <si>
    <t>Keyword scan "عضو مستقل"</t>
  </si>
  <si>
    <t>norm_scan: ۱۹ شرکت دارای Hit</t>
  </si>
  <si>
    <t>Hit ≠ تایید؛ نیازمند صفحه</t>
  </si>
  <si>
    <t>کاندیدای Targeted Validation</t>
  </si>
  <si>
    <t>ممیزی کمیته‌ها (Keyword Re-scan دو رسم‌الخط)</t>
  </si>
  <si>
    <t>تعداد فایل‌های PDF دارای Hit با نرمال‌سازی ي/ك→ی/ک. Hit تایید وجود نیست؛ فقط شواهد برای بازبینی صفحه است. AUD01 تاییدشده ۲۳ (v31 ۲۲ + شبندر).</t>
  </si>
  <si>
    <t>AC در v31</t>
  </si>
  <si>
    <t>AC ممیزی</t>
  </si>
  <si>
    <t>Hit کمیته حسابرسی</t>
  </si>
  <si>
    <t>Hit ریسک</t>
  </si>
  <si>
    <t>Hit نامزدی</t>
  </si>
  <si>
    <t>Hit جبران</t>
  </si>
  <si>
    <t>Hit عضو مستقل</t>
  </si>
  <si>
    <t>Hit عضو مالی</t>
  </si>
  <si>
    <t>Hit عضویت همزمان</t>
  </si>
  <si>
    <t>YES</t>
  </si>
  <si>
    <t>UNKNOWN</t>
  </si>
  <si>
    <t>Keyword-only</t>
  </si>
  <si>
    <t>YES (SRC_SHBN_1404_001 p.56)</t>
  </si>
  <si>
    <t>ممیزی Directionality</t>
  </si>
  <si>
    <t>هیچ Measure چرخش/تازه‌سازی/بازه جلسه/سابقه دولتی/Tenure «بیشتر بهتر» پیش‌فرض نگرفته است.</t>
  </si>
  <si>
    <t>تطبیق با v35</t>
  </si>
  <si>
    <t>Natural Person Turnover</t>
  </si>
  <si>
    <t>جابجایی می‌تواند تازه‌سازی یا بی‌ثباتی باشد</t>
  </si>
  <si>
    <t>v35: «بیشتر بهتر» پیش‌فرض نشد</t>
  </si>
  <si>
    <t>تغییر نماینده با شخص حقوقی ثابت؛ جهت نظری ندارد</t>
  </si>
  <si>
    <t>Chair Change</t>
  </si>
  <si>
    <t>ممکن است ثبات یا اصلاح باشد</t>
  </si>
  <si>
    <t>Board Meetings</t>
  </si>
  <si>
    <t>فعالیت زیاد ممکن است بحران باشد</t>
  </si>
  <si>
    <t>Government Background</t>
  </si>
  <si>
    <t>اثر بسته به مالکیت دولتی</t>
  </si>
  <si>
    <t>Tenure</t>
  </si>
  <si>
    <t>U وارونه رایج</t>
  </si>
  <si>
    <t>Education Diversity</t>
  </si>
  <si>
    <t>تنوع بیشتر، مشروط به N</t>
  </si>
  <si>
    <t>مطابق v35 با شرط</t>
  </si>
  <si>
    <t>Professional Background Diversity</t>
  </si>
  <si>
    <t>مشروط</t>
  </si>
  <si>
    <t>Financial Expertise Share</t>
  </si>
  <si>
    <t>مشروط به همپوشانی</t>
  </si>
  <si>
    <t>Structural Independence Proxy</t>
  </si>
  <si>
    <t>پروکسی</t>
  </si>
  <si>
    <t>CEO–Chair Separation</t>
  </si>
  <si>
    <t>Variation صفر ⇒ بی‌اثر</t>
  </si>
  <si>
    <t>Audit Committee Existence</t>
  </si>
  <si>
    <t>نبود افشا ≠ نبود کمیته</t>
  </si>
  <si>
    <t>Legal Entity Seat Share</t>
  </si>
  <si>
    <t>ممیزی Redundancy</t>
  </si>
  <si>
    <t>همبستگی‌ها از برگه Correlation در v35 (CORREL) و هویت‌های ریاضی.</t>
  </si>
  <si>
    <t>Pair</t>
  </si>
  <si>
    <t>طبقه</t>
  </si>
  <si>
    <t>Turnover / Stability</t>
  </si>
  <si>
    <t>S=H−G ⇒ r=−1</t>
  </si>
  <si>
    <t>MATHEMATICAL_COMPLEMENT</t>
  </si>
  <si>
    <t>Raw / Normalized Blau</t>
  </si>
  <si>
    <t>تبدیل یکنوا</t>
  </si>
  <si>
    <t>نرمال‌شده فقط Robustness</t>
  </si>
  <si>
    <t>Board Size / Richness</t>
  </si>
  <si>
    <t>Richness≤N با N≈۵ ثابت</t>
  </si>
  <si>
    <t>HIGHLY_REDUNDANT</t>
  </si>
  <si>
    <t>DROP</t>
  </si>
  <si>
    <t>N در ۲۷ از ۳۰ شرکت ۵ است</t>
  </si>
  <si>
    <t>Rep Change / Total Person Turnover</t>
  </si>
  <si>
    <t>r=0.853</t>
  </si>
  <si>
    <t>جدا نگه‌داشتن + یکی در Composite</t>
  </si>
  <si>
    <t>کنترل همپوشانی لازم</t>
  </si>
  <si>
    <t>Legal Entity Change / Rep Change</t>
  </si>
  <si>
    <t>r(Turnover,Legal)=0.217</t>
  </si>
  <si>
    <t>INDEPENDENT</t>
  </si>
  <si>
    <t>بدون جهت کیفی</t>
  </si>
  <si>
    <t>Turnover / New Member Share</t>
  </si>
  <si>
    <t>r=0.892</t>
  </si>
  <si>
    <t>New Member فقط Robustness</t>
  </si>
  <si>
    <t>IRN01 / IRN02</t>
  </si>
  <si>
    <t>v35 هر دو را در ۱۲ Measure شمرده است (شمارش دوگانه)</t>
  </si>
  <si>
    <t>Conflict Log ممیزی</t>
  </si>
  <si>
    <t>ناسازگاری‌های کشف‌شده بین v35 و بازتولید مستقل.</t>
  </si>
  <si>
    <t>منطقه</t>
  </si>
  <si>
    <t>v35</t>
  </si>
  <si>
    <t>ممیزی</t>
  </si>
  <si>
    <t>شدت</t>
  </si>
  <si>
    <t>C01</t>
  </si>
  <si>
    <t>S1A coverage</t>
  </si>
  <si>
    <t>v22 Duty_Status NOT_DISCLOSED</t>
  </si>
  <si>
    <t>اصلاح در v36 Final</t>
  </si>
  <si>
    <t>C02</t>
  </si>
  <si>
    <t>VAR06 coverage</t>
  </si>
  <si>
    <t>v25: خودرو Blau=None</t>
  </si>
  <si>
    <t>اصلاح</t>
  </si>
  <si>
    <t>C03</t>
  </si>
  <si>
    <t>SEP07 coverage/variation</t>
  </si>
  <si>
    <t>۳۰/۳۰؛ Variation=بله</t>
  </si>
  <si>
    <t>۲۶ شناخته؛ Variation صفر</t>
  </si>
  <si>
    <t>تغییر نقش به CONTROL_DIAGNOSTIC</t>
  </si>
  <si>
    <t>C04</t>
  </si>
  <si>
    <t>CR1A coverage</t>
  </si>
  <si>
    <t>۲۶ از ۳۰ محافظه کارانه؛ ۲۷ کد موجود</t>
  </si>
  <si>
    <t>تعارض تاپیکو و کچاد در v38 حل شد؛ تعارض فملی باز است؛ رمپنا، وپاسار و حکشتی فاقد کد قابل استفاده اند.</t>
  </si>
  <si>
    <t>حل جزئی در v39؛ منبع فملی لازم است</t>
  </si>
  <si>
    <t>C05</t>
  </si>
  <si>
    <t>IRN01 coverage</t>
  </si>
  <si>
    <t>۲۹ + Dummy بانکی</t>
  </si>
  <si>
    <t>پایین</t>
  </si>
  <si>
    <t>C06</t>
  </si>
  <si>
    <t>۲۲</t>
  </si>
  <si>
    <t>۲۳ (شبندر)</t>
  </si>
  <si>
    <t>SRC_SHBN_1404_001 ص۵۶</t>
  </si>
  <si>
    <t>اصلاح؛ ۶ Keyword Hit بازبینی</t>
  </si>
  <si>
    <t>C07</t>
  </si>
  <si>
    <t>۱۵</t>
  </si>
  <si>
    <t>۱۱ اندازه دقیق</t>
  </si>
  <si>
    <t>C08</t>
  </si>
  <si>
    <t>Turnover خودرو</t>
  </si>
  <si>
    <t>0/5</t>
  </si>
  <si>
    <t>1/5</t>
  </si>
  <si>
    <t>اصلاح G=1, S=4, J/K Missing</t>
  </si>
  <si>
    <t>C09</t>
  </si>
  <si>
    <t>Rep Change فارس</t>
  </si>
  <si>
    <t>K=4 (75%)</t>
  </si>
  <si>
    <t>K=5 (60%)</t>
  </si>
  <si>
    <t>SRC_FARS_1404_010 ص۴۲ / SRC_FARS_1404_001 ص۴۰</t>
  </si>
  <si>
    <t>C10</t>
  </si>
  <si>
    <t>تاپیکو FY1403 Snapshot</t>
  </si>
  <si>
    <t>≥۳ عضو پس از Cutoff؛ ناهمتراز</t>
  </si>
  <si>
    <t>Look-Ahead</t>
  </si>
  <si>
    <t>C11</t>
  </si>
  <si>
    <t>پارسان Q=7 / ساختار حقوقی</t>
  </si>
  <si>
    <t>Q=7؛ N/A</t>
  </si>
  <si>
    <t>v22: ۳ کرسی و شخص حقوقی ثبت‌شده</t>
  </si>
  <si>
    <t>C12</t>
  </si>
  <si>
    <t>وتجارت H=5</t>
  </si>
  <si>
    <t>H=5؛ Rep N/A</t>
  </si>
  <si>
    <t>v22: ۴ کرسی؛ شخص حقوقی ثبت‌شده؛ P&lt;G</t>
  </si>
  <si>
    <t>C13</t>
  </si>
  <si>
    <t>کچاد K≠N−M</t>
  </si>
  <si>
    <t>K=4,N=5,M=0</t>
  </si>
  <si>
    <t>هویت نقض</t>
  </si>
  <si>
    <t>Audit Turnover</t>
  </si>
  <si>
    <t>C14</t>
  </si>
  <si>
    <t>جم و خساپا P&lt;G</t>
  </si>
  <si>
    <t>P=0,G=2 / P=2,G=3</t>
  </si>
  <si>
    <t>عضو جدید کمتر از تغییر کرسی</t>
  </si>
  <si>
    <t>C15</t>
  </si>
  <si>
    <t>v31 lineage فملی/وبملت</t>
  </si>
  <si>
    <t>AC از v31</t>
  </si>
  <si>
    <t>منبع نسل اشتباه</t>
  </si>
  <si>
    <t>v35 ثبت منابع</t>
  </si>
  <si>
    <t>ثبت</t>
  </si>
  <si>
    <t>C16</t>
  </si>
  <si>
    <t>Board meetings</t>
  </si>
  <si>
    <t>ترکیب سال‌ها</t>
  </si>
  <si>
    <t>سال مالی نامتجانس</t>
  </si>
  <si>
    <t>v31 BOARD_MEETINGS_CONFIRMED</t>
  </si>
  <si>
    <t>قبل از استفاده نرمال‌سازی</t>
  </si>
  <si>
    <t>C17</t>
  </si>
  <si>
    <t>FYE v22</t>
  </si>
  <si>
    <t>تقویمی برای همه</t>
  </si>
  <si>
    <t>شش شرکت غیرتقویمی</t>
  </si>
  <si>
    <t>Audit Cutoff</t>
  </si>
  <si>
    <t>C18</t>
  </si>
  <si>
    <t>Source_URL گم‌شده</t>
  </si>
  <si>
    <t>۹ شرکت بدون URL؛ ۴ بدون ردیف رجیستری</t>
  </si>
  <si>
    <t>Audit منابع</t>
  </si>
  <si>
    <t>Source Gap</t>
  </si>
  <si>
    <t>C19</t>
  </si>
  <si>
    <t>شبندر AC=NO در v29/v31</t>
  </si>
  <si>
    <t>NO</t>
  </si>
  <si>
    <t>رمزگذاری عربی</t>
  </si>
  <si>
    <t>C20</t>
  </si>
  <si>
    <t>شمارش ۱۲ Measure</t>
  </si>
  <si>
    <t>IRN01/IRN02 مکمل ریاضی؛ AUD02 Robustness اما Scale-Up شمرده شده</t>
  </si>
  <si>
    <t>برگه Constructهای مستقل/معماری</t>
  </si>
  <si>
    <t>شمارش مستقل ۹ Construct</t>
  </si>
  <si>
    <t>C21</t>
  </si>
  <si>
    <t>عدد hardcode در جدول استاد</t>
  </si>
  <si>
    <t>عدد ثابت</t>
  </si>
  <si>
    <t>بدون ارتباط فرمولی با خام</t>
  </si>
  <si>
    <t>C22</t>
  </si>
  <si>
    <t>REF08 coverage</t>
  </si>
  <si>
    <t>۲۳/۲۳</t>
  </si>
  <si>
    <t>۲۲/۲۳</t>
  </si>
  <si>
    <t>خودرو Missing</t>
  </si>
  <si>
    <t>اصلاحات لازم</t>
  </si>
  <si>
    <t>فقط اصلاحات با شاهد منبع اعمال شده‌اند؛ باقی مورد بدون حدس عددی علامت‌گذاری شده‌اند.</t>
  </si>
  <si>
    <t>G=0→1؛ S=5→4؛ P=0→1</t>
  </si>
  <si>
    <t>APPLIED</t>
  </si>
  <si>
    <t>0/5 → Missing</t>
  </si>
  <si>
    <t>عدم تایید دلیل تغییر</t>
  </si>
  <si>
    <t>4→5</t>
  </si>
  <si>
    <t>30→28</t>
  </si>
  <si>
    <t>28→27</t>
  </si>
  <si>
    <t>30→23</t>
  </si>
  <si>
    <t>v22/v35</t>
  </si>
  <si>
    <t>22→23</t>
  </si>
  <si>
    <t>SRC_SHBN_1404_001</t>
  </si>
  <si>
    <t>15→11</t>
  </si>
  <si>
    <t>v31</t>
  </si>
  <si>
    <t>30→29</t>
  </si>
  <si>
    <t>30→26 + Variation=خیر</t>
  </si>
  <si>
    <t>23→22</t>
  </si>
  <si>
    <t>متن «۲۳ مشاهده»</t>
  </si>
  <si>
    <t>→ ۲۲ مشاهده</t>
  </si>
  <si>
    <t>تاپیکو، کچاد، پارسان، وتجارت، جم، خساپا</t>
  </si>
  <si>
    <t>ناسازگاری هویت</t>
  </si>
  <si>
    <t>بدون تغییر عددی</t>
  </si>
  <si>
    <t>نیازمند بازبینی سند</t>
  </si>
  <si>
    <t>DEFERRED_NOT_GUESSED</t>
  </si>
  <si>
    <t>شش شرکت AUD01</t>
  </si>
  <si>
    <t>Keyword Hit</t>
  </si>
  <si>
    <t>CR1A و برگه های وابسته</t>
  </si>
  <si>
    <t>بازمحاسبه v39</t>
  </si>
  <si>
    <t>۲۷ کد موجود؛ ۲۶ محافظه کارانه</t>
  </si>
  <si>
    <t>APPLIED_WITH_OPEN_SOURCE_GAPS</t>
  </si>
  <si>
    <t>Audit Coverage</t>
  </si>
  <si>
    <t>۳۶ فرمول بر ورودی متنی</t>
  </si>
  <si>
    <t>محافظ نوع عددی و پرچم ورودی نامعتبر</t>
  </si>
  <si>
    <t>APPLIED_NO_IMPUTATION</t>
  </si>
  <si>
    <t>Measureهای تاییدشده (با محدودیت)</t>
  </si>
  <si>
    <t>هیچ Measure «VERIFIED» کامل نیست چون v35 داده per-firm خام برای غیر-Turnoverها ندارد.</t>
  </si>
  <si>
    <t>حکم نهایی ممیزی</t>
  </si>
  <si>
    <t>یکی از چهار برچسب مجاز: V35_REQUIRES_MATERIAL_CORRECTIONS</t>
  </si>
  <si>
    <t>Audit Verdict</t>
  </si>
  <si>
    <t>تغییر مقدار Turnover خودرو و مخرج Rep Change فارس + ۷ اصلاح پوشش + تغییر Role برای SEP07/CR1A/AUD02/IRN02</t>
  </si>
  <si>
    <t>Existing Scale Up Measures (پس از ممیزی)</t>
  </si>
  <si>
    <t>۶ (S1A, V1, VAR06, VAR10, AUD01, REF05) + IRN01 ساختاری</t>
  </si>
  <si>
    <t>REF08 Targeted</t>
  </si>
  <si>
    <t>Final Independent Constructs</t>
  </si>
  <si>
    <t>SEP07 به CONTROL_DIAGNOSTIC منتقل شد</t>
  </si>
  <si>
    <t>خلاصه Candidateها</t>
  </si>
  <si>
    <t>شمارش با فرمول از برگه اصلی؛ هیچ Measure جدید وارد Composite نشده است.</t>
  </si>
  <si>
    <t>Candidate آزمون‌شده</t>
  </si>
  <si>
    <t>SCALE_UP جدید</t>
  </si>
  <si>
    <t>یک Candidate جدید: N02 سهم اعضای دارای دکترا با پوشش ۳۰ از ۳۰ و Variation واقعی</t>
  </si>
  <si>
    <t>TARGETED_VALIDATION جدید</t>
  </si>
  <si>
    <t>ROBUSTNESS_ONLY جدید</t>
  </si>
  <si>
    <t>CONTROL_DIAGNOSTIC جدید</t>
  </si>
  <si>
    <t>DEFER</t>
  </si>
  <si>
    <t>حکم</t>
  </si>
  <si>
    <t>ADDITIONAL_SCALE_UP_MEASURES_FOUND</t>
  </si>
  <si>
    <t>N02 (Doctorate Share) با پوشش ۳۰/۳۰ و Variation واقعی؛ سایر موارد Targeted/Robustness/Defer/Drop</t>
  </si>
  <si>
    <t>تمام Measureهای پیشنهادی (۳۵ Candidate)</t>
  </si>
  <si>
    <t>هر Candidate بر پایه آرشیو ۳۰ شرکت آزمون شد. بدون داده ⇒ THEORETICALLY_RELEVANT_BUT_NOT_CURRENTLY_MEASURABLE. تبدیل‌های ریاضی = Robustness، نه Measure جدید.</t>
  </si>
  <si>
    <t>Measure_ID</t>
  </si>
  <si>
    <t>English Name</t>
  </si>
  <si>
    <t>خانواده</t>
  </si>
  <si>
    <t>تعریف عملیاتی/Formula</t>
  </si>
  <si>
    <t>Raw Fields</t>
  </si>
  <si>
    <t>نمونه Firm/Source/Page</t>
  </si>
  <si>
    <t>پوشش بالقوه</t>
  </si>
  <si>
    <t>دسترسی ۳۰ شرکت</t>
  </si>
  <si>
    <t>مقیاس ۵۰۰ شرکت</t>
  </si>
  <si>
    <t>امکان تاریخی</t>
  </si>
  <si>
    <t>COVID/جنگ</t>
  </si>
  <si>
    <t>عینی بودن</t>
  </si>
  <si>
    <t>خودکارسازی</t>
  </si>
  <si>
    <t>بار دستی</t>
  </si>
  <si>
    <t>همپوشانی</t>
  </si>
  <si>
    <t>اطلاعات افزوده</t>
  </si>
  <si>
    <t>ریسک Missingness</t>
  </si>
  <si>
    <t>Tier</t>
  </si>
  <si>
    <t>توصیه نهایی</t>
  </si>
  <si>
    <t>N01</t>
  </si>
  <si>
    <t>اندازه هیئت‌مدیره</t>
  </si>
  <si>
    <t>Board Size</t>
  </si>
  <si>
    <t>ترکیب</t>
  </si>
  <si>
    <t>تعداد اعضای هیئت</t>
  </si>
  <si>
    <t>COUNT(اعضا)</t>
  </si>
  <si>
    <t>نفر</t>
  </si>
  <si>
    <t>Member rows</t>
  </si>
  <si>
    <t>روستر Codal</t>
  </si>
  <si>
    <t>نمونه: SRC_FARS_1404_001 ص۴۰</t>
  </si>
  <si>
    <t>30/30</t>
  </si>
  <si>
    <t>HIGHLY_REDUNDANT با Richness</t>
  </si>
  <si>
    <t>NONE</t>
  </si>
  <si>
    <t>نسبت اعضای با مدرک دکترا</t>
  </si>
  <si>
    <t>PhD/N</t>
  </si>
  <si>
    <t>%</t>
  </si>
  <si>
    <t>روستر/بیوگرافی Codal</t>
  </si>
  <si>
    <t>PARTIALLY_OVERLAPPING با V1/VAR10</t>
  </si>
  <si>
    <t>Scale-Up با محدودیت</t>
  </si>
  <si>
    <t>N03</t>
  </si>
  <si>
    <t>سهم مدرک کارشناسی ارشد به بالا</t>
  </si>
  <si>
    <t>Advanced Degree Share</t>
  </si>
  <si>
    <t>نسبت ارشد+دکترا</t>
  </si>
  <si>
    <t>(MSc+PhD)/N</t>
  </si>
  <si>
    <t>Codal</t>
  </si>
  <si>
    <t>MATHEMATICAL_COMPLEMENT/OVERLAP با N02</t>
  </si>
  <si>
    <t>N04</t>
  </si>
  <si>
    <t>تمرکز اشخاص حقوقی (HHI)</t>
  </si>
  <si>
    <t>Legal Entity Concentration HHI</t>
  </si>
  <si>
    <t>ساختار ایران</t>
  </si>
  <si>
    <t>تمرکز کرسی‌ها در نهادهای مالک</t>
  </si>
  <si>
    <t>Σ(share²)</t>
  </si>
  <si>
    <t>Legal_Entity_Represented</t>
  </si>
  <si>
    <t>DO_NOT_COMBINE با IRN01</t>
  </si>
  <si>
    <t>حذف</t>
  </si>
  <si>
    <t>N05</t>
  </si>
  <si>
    <t>تعداد اشخاص حقوقی متمایز</t>
  </si>
  <si>
    <t>Distinct Legal Entities</t>
  </si>
  <si>
    <t>شمار نهادهای متمایز</t>
  </si>
  <si>
    <t>COUNT DISTINCT</t>
  </si>
  <si>
    <t>تعداد</t>
  </si>
  <si>
    <t>HIGHLY_REDUNDANT با N04</t>
  </si>
  <si>
    <t>N06</t>
  </si>
  <si>
    <t>پیوند مشترک شخص حقوقی بین شرکت‌ها</t>
  </si>
  <si>
    <t>Shared Legal Entity Ties</t>
  </si>
  <si>
    <t>شبکه/ساختار</t>
  </si>
  <si>
    <t>تعداد نهادهای مالک مشترک با شرکت‌های دیگر</t>
  </si>
  <si>
    <t>COUNT(entities shared)/N</t>
  </si>
  <si>
    <t>نسبت</t>
  </si>
  <si>
    <t>PARTIALLY_OVERLAPPING با IRN01</t>
  </si>
  <si>
    <t>N07</t>
  </si>
  <si>
    <t>Interlock اشخاص حقیقی بین شرکت‌ها</t>
  </si>
  <si>
    <t>Person Interlock</t>
  </si>
  <si>
    <t>شبکه</t>
  </si>
  <si>
    <t>عضو مشترک بین دو شرکت</t>
  </si>
  <si>
    <t>COUNT(persons in &gt;1 firm)</t>
  </si>
  <si>
    <t>Member_Name</t>
  </si>
  <si>
    <t>6/30</t>
  </si>
  <si>
    <t>Proof of Concept</t>
  </si>
  <si>
    <t>PROOF_OF_CONCEPT_ONLY</t>
  </si>
  <si>
    <t>N08</t>
  </si>
  <si>
    <t>سهم سابقه دولتی/سیاست‌گذاری</t>
  </si>
  <si>
    <t>Government Background Share</t>
  </si>
  <si>
    <t>سابقه حرفه‌ای</t>
  </si>
  <si>
    <t>نسبت اعضای با سابقه دولتی</t>
  </si>
  <si>
    <t>GOV/N_classified</t>
  </si>
  <si>
    <t>Strict_Primary</t>
  </si>
  <si>
    <t>بیوگرافی Codal</t>
  </si>
  <si>
    <t>28/30</t>
  </si>
  <si>
    <t>DO_NOT_COMBINE با VAR06</t>
  </si>
  <si>
    <t>N09</t>
  </si>
  <si>
    <t>سهم سابقه مدیریت اجرایی</t>
  </si>
  <si>
    <t>Executive Background Share</t>
  </si>
  <si>
    <t>نسبت اعضای مدیر اجرایی</t>
  </si>
  <si>
    <t>EXE/N</t>
  </si>
  <si>
    <t>N10</t>
  </si>
  <si>
    <t>سهم سابقه مالی/سرمایه‌گذاری</t>
  </si>
  <si>
    <t>Finance Background Share</t>
  </si>
  <si>
    <t>نسبت اعضای مالی</t>
  </si>
  <si>
    <t>FIN/N</t>
  </si>
  <si>
    <t>PARTIALLY_OVERLAPPING با VAR10</t>
  </si>
  <si>
    <t>N11</t>
  </si>
  <si>
    <t>سهم تخصص صنعتی/عملیاتی</t>
  </si>
  <si>
    <t>Industry Expertise Share</t>
  </si>
  <si>
    <t>نسبت اعضای صنعتی</t>
  </si>
  <si>
    <t>OPS/N</t>
  </si>
  <si>
    <t>N12</t>
  </si>
  <si>
    <t>سهم تخصص حقوقی/نظارتی</t>
  </si>
  <si>
    <t>Legal Expertise Share</t>
  </si>
  <si>
    <t>نسبت اعضای حقوقی</t>
  </si>
  <si>
    <t>LEG/N</t>
  </si>
  <si>
    <t>N13</t>
  </si>
  <si>
    <t>تخصص دانشگاهی</t>
  </si>
  <si>
    <t>Academic Expertise Share</t>
  </si>
  <si>
    <t>سابقه استادی</t>
  </si>
  <si>
    <t>ACAD/N</t>
  </si>
  <si>
    <t>0/30</t>
  </si>
  <si>
    <t>تئوریک</t>
  </si>
  <si>
    <t>THEORETICALLY_RELEVANT_BUT_NOT_CURRENTLY_MEASURABLE</t>
  </si>
  <si>
    <t>N14</t>
  </si>
  <si>
    <t>استقلال کمیته حسابرسی</t>
  </si>
  <si>
    <t>Audit Committee Independence</t>
  </si>
  <si>
    <t>سهم اعضای مستقل کمیته</t>
  </si>
  <si>
    <t>IndAC/N_AC</t>
  </si>
  <si>
    <t>AC roster</t>
  </si>
  <si>
    <t>5/30</t>
  </si>
  <si>
    <t>N15</t>
  </si>
  <si>
    <t>تخصص مالی کمیته حسابرسی</t>
  </si>
  <si>
    <t>AC Financial Expertise</t>
  </si>
  <si>
    <t>وجود عضو مالی در AC</t>
  </si>
  <si>
    <t>FinAC&gt;=1</t>
  </si>
  <si>
    <t>بله/خیر</t>
  </si>
  <si>
    <t>27/30</t>
  </si>
  <si>
    <t>OVERLAPPING با VAR10</t>
  </si>
  <si>
    <t>N16</t>
  </si>
  <si>
    <t>تعداد جلسات کمیته حسابرسی</t>
  </si>
  <si>
    <t>AC Meeting Frequency</t>
  </si>
  <si>
    <t>فعالیت</t>
  </si>
  <si>
    <t>جلسات AC در سال مالی</t>
  </si>
  <si>
    <t>COUNT meetings</t>
  </si>
  <si>
    <t>AC report</t>
  </si>
  <si>
    <t>20/30</t>
  </si>
  <si>
    <t>N17</t>
  </si>
  <si>
    <t>تعداد جلسات هیئت‌مدیره (نرمال‌شده)</t>
  </si>
  <si>
    <t>Board Meeting Frequency</t>
  </si>
  <si>
    <t>جلسات در سال مالی تقسیم بر ماه‌های مشاهده</t>
  </si>
  <si>
    <t>meetings/months</t>
  </si>
  <si>
    <t>جلسه/ماه</t>
  </si>
  <si>
    <t>Board report</t>
  </si>
  <si>
    <t>N18</t>
  </si>
  <si>
    <t>وجود کمیته ریسک</t>
  </si>
  <si>
    <t>Risk Committee Presence</t>
  </si>
  <si>
    <t>کمیته ریسک رسمی</t>
  </si>
  <si>
    <t>Committee list</t>
  </si>
  <si>
    <t>PARTIALLY_OVERLAPPING با AUD01</t>
  </si>
  <si>
    <t>N19</t>
  </si>
  <si>
    <t>وجود کمیته نامزدی</t>
  </si>
  <si>
    <t>Nomination Committee Presence</t>
  </si>
  <si>
    <t>کمیته انتصابات</t>
  </si>
  <si>
    <t>تعویق</t>
  </si>
  <si>
    <t>N20</t>
  </si>
  <si>
    <t>وجود کمیته جبران خدمات</t>
  </si>
  <si>
    <t>Compensation Committee Presence</t>
  </si>
  <si>
    <t>کمیته حقوق و مزایا</t>
  </si>
  <si>
    <t>4/30</t>
  </si>
  <si>
    <t>N21</t>
  </si>
  <si>
    <t>وجود کمیته سرمایه‌گذاری</t>
  </si>
  <si>
    <t>Investment Committee Presence</t>
  </si>
  <si>
    <t>کمیته سرمایه‌گذاری</t>
  </si>
  <si>
    <t>N22</t>
  </si>
  <si>
    <t>وجود کمیته حاکمیت شرکتی</t>
  </si>
  <si>
    <t>Governance Committee Presence</t>
  </si>
  <si>
    <t>کمیته حاکمیت</t>
  </si>
  <si>
    <t>9/30</t>
  </si>
  <si>
    <t>N23</t>
  </si>
  <si>
    <t>سهم اعضای مستقل صریح</t>
  </si>
  <si>
    <t>Explicit Independent Member Share</t>
  </si>
  <si>
    <t>استقلال</t>
  </si>
  <si>
    <t>برچسب صریح مستقل در روستر</t>
  </si>
  <si>
    <t>Indep/N</t>
  </si>
  <si>
    <t>Roster label</t>
  </si>
  <si>
    <t>PARTIALLY_OVERLAPPING با S1A</t>
  </si>
  <si>
    <t>N24</t>
  </si>
  <si>
    <t>حضور اعضا در جلسات</t>
  </si>
  <si>
    <t>Attendance Rate</t>
  </si>
  <si>
    <t>نرخ حضور</t>
  </si>
  <si>
    <t>attended/held</t>
  </si>
  <si>
    <t>ندارد در داده کدگذاری‌شده</t>
  </si>
  <si>
    <t>N25</t>
  </si>
  <si>
    <t>عضویت همزمان / Multiple Directorships</t>
  </si>
  <si>
    <t>Multiple Directorships</t>
  </si>
  <si>
    <t>تعداد عضویت‌های دیگر</t>
  </si>
  <si>
    <t>mean(concurrent)</t>
  </si>
  <si>
    <t>ستون عضویت همزمان</t>
  </si>
  <si>
    <t>3/30</t>
  </si>
  <si>
    <t>N26</t>
  </si>
  <si>
    <t>سن / Tenure اعضا</t>
  </si>
  <si>
    <t>Member Tenure / Age</t>
  </si>
  <si>
    <t>تجربه</t>
  </si>
  <si>
    <t>مدت عضویت</t>
  </si>
  <si>
    <t>mean(tenure)</t>
  </si>
  <si>
    <t>سال</t>
  </si>
  <si>
    <t>Membership_Start</t>
  </si>
  <si>
    <t>Codal/Type19</t>
  </si>
  <si>
    <t>1/30</t>
  </si>
  <si>
    <t>PARTIALLY_OVERLAPPING با Turnover</t>
  </si>
  <si>
    <t>N27</t>
  </si>
  <si>
    <t>تنوع Tenure</t>
  </si>
  <si>
    <t>Tenure Diversity</t>
  </si>
  <si>
    <t>SD مدت عضویت</t>
  </si>
  <si>
    <t>SD(tenure)</t>
  </si>
  <si>
    <t>N28</t>
  </si>
  <si>
    <t>مدت تصدی رئیس هیئت</t>
  </si>
  <si>
    <t>Chair Tenure</t>
  </si>
  <si>
    <t>رهبری</t>
  </si>
  <si>
    <t>سال‌های رئیس فعلی</t>
  </si>
  <si>
    <t>years</t>
  </si>
  <si>
    <t>Chair event dates</t>
  </si>
  <si>
    <t>Type19</t>
  </si>
  <si>
    <t>23/30</t>
  </si>
  <si>
    <t>PARTIALLY_OVERLAPPING با CR1A</t>
  </si>
  <si>
    <t>N29</t>
  </si>
  <si>
    <t>مدت تصدی مدیرعامل</t>
  </si>
  <si>
    <t>CEO Tenure</t>
  </si>
  <si>
    <t>سال‌های مدیرعامل</t>
  </si>
  <si>
    <t>CEO event dates</t>
  </si>
  <si>
    <t>N30</t>
  </si>
  <si>
    <t>نرخ کرسی خالی</t>
  </si>
  <si>
    <t>Vacant Seat Rate</t>
  </si>
  <si>
    <t>گردش</t>
  </si>
  <si>
    <t>سهم کرسی‌های خالی</t>
  </si>
  <si>
    <t>vacant/N</t>
  </si>
  <si>
    <t>Roster</t>
  </si>
  <si>
    <t>N31</t>
  </si>
  <si>
    <t>تمرکز نقش (Chair=CEO)</t>
  </si>
  <si>
    <t>Role Concentration</t>
  </si>
  <si>
    <t>ادغام نقش</t>
  </si>
  <si>
    <t>1−SEP07</t>
  </si>
  <si>
    <t>Chair_Flag/CEO_Flag</t>
  </si>
  <si>
    <t>26/30</t>
  </si>
  <si>
    <t>MATHEMATICAL_COMPLEMENT با SEP07</t>
  </si>
  <si>
    <t>N32</t>
  </si>
  <si>
    <t>هم‌پوشانی کمیته‌ها</t>
  </si>
  <si>
    <t>Committee Overlap</t>
  </si>
  <si>
    <t>ساختار</t>
  </si>
  <si>
    <t>اعضای مشترک کمیته‌ها</t>
  </si>
  <si>
    <t>overlap/N</t>
  </si>
  <si>
    <t>AC roster+others</t>
  </si>
  <si>
    <t>N33</t>
  </si>
  <si>
    <t>سهم اعضای موظف</t>
  </si>
  <si>
    <t>Executive Seat Share</t>
  </si>
  <si>
    <t>1−S1A</t>
  </si>
  <si>
    <t>Mov/N</t>
  </si>
  <si>
    <t>Duty_Status</t>
  </si>
  <si>
    <t>MATHEMATICAL_COMPLEMENT با S1A</t>
  </si>
  <si>
    <t>N34</t>
  </si>
  <si>
    <t>Blau نرمال‌شده تحصیلی</t>
  </si>
  <si>
    <t>Normalized Education Blau</t>
  </si>
  <si>
    <t>transform</t>
  </si>
  <si>
    <t>PARTIALLY_OVERLAPPING با V1</t>
  </si>
  <si>
    <t>N35</t>
  </si>
  <si>
    <t>غنای هیئت (Richness)</t>
  </si>
  <si>
    <t>Board Richness</t>
  </si>
  <si>
    <t>تعداد رشته‌های متمایز</t>
  </si>
  <si>
    <t>count distinct</t>
  </si>
  <si>
    <t>HIGHLY_REDUNDANT با N01</t>
  </si>
  <si>
    <t>Measureهای فعلی (بازنگری‌شده در v36)</t>
  </si>
  <si>
    <t>وضعیت پس از ممیزی؛ منبع: v36 Independent Audit.</t>
  </si>
  <si>
    <t>Existing/New</t>
  </si>
  <si>
    <t>Construct</t>
  </si>
  <si>
    <t>Coverage X/30</t>
  </si>
  <si>
    <t>Eligible</t>
  </si>
  <si>
    <t>Evidence</t>
  </si>
  <si>
    <t>Historical</t>
  </si>
  <si>
    <t>Role</t>
  </si>
  <si>
    <t>Final Status</t>
  </si>
  <si>
    <t>Existing</t>
  </si>
  <si>
    <t>27/28</t>
  </si>
  <si>
    <t>28/28</t>
  </si>
  <si>
    <t>تشخیصی</t>
  </si>
  <si>
    <t>29/30</t>
  </si>
  <si>
    <t>ضعیف (Dummy بانکی)</t>
  </si>
  <si>
    <t>22/30</t>
  </si>
  <si>
    <t>22/23</t>
  </si>
  <si>
    <t>اعتبارسنجی</t>
  </si>
  <si>
    <t>Measureهای جدید (۳۵ Candidate آزمون‌شده)</t>
  </si>
  <si>
    <t>هیچ Candidate جدید وارد Composite نشد.</t>
  </si>
  <si>
    <t>Candidate</t>
  </si>
  <si>
    <t>Final</t>
  </si>
  <si>
    <t>خانواده‌های Construct</t>
  </si>
  <si>
    <t>Formative-leaning: بدون اتکا انحصاری به Cronbach/Factor Analysis.</t>
  </si>
  <si>
    <t>تعداد Candidate</t>
  </si>
  <si>
    <t>Targeted</t>
  </si>
  <si>
    <t>Drop</t>
  </si>
  <si>
    <t>Defer</t>
  </si>
  <si>
    <t>سایر (فرمول)</t>
  </si>
  <si>
    <t>IDها</t>
  </si>
  <si>
    <t>N02، N03</t>
  </si>
  <si>
    <t>N04، N05</t>
  </si>
  <si>
    <t>N07، N25</t>
  </si>
  <si>
    <t>N08، N09، N10</t>
  </si>
  <si>
    <t>N11، N12، N13</t>
  </si>
  <si>
    <t>N14، N15، N18، N19، N20، N21، N22</t>
  </si>
  <si>
    <t>N16، N17، N24</t>
  </si>
  <si>
    <t>N23، N33</t>
  </si>
  <si>
    <t>N26، N27</t>
  </si>
  <si>
    <t>N28، N29، N31</t>
  </si>
  <si>
    <t>N34، N35</t>
  </si>
  <si>
    <t>Feasibility Test روی آرشیو ۳۰ شرکت</t>
  </si>
  <si>
    <t>نتیجه آزمون واقعی روی داده‌ی موجود (v22 روستر ۱۴۲ عضو، v25 سابقه ۱۳۷ عضو، norm_scan دو رسم‌الخط، v31).</t>
  </si>
  <si>
    <t>نتیجه آزمون</t>
  </si>
  <si>
    <t>دسترسی</t>
  </si>
  <si>
    <t>توصیه</t>
  </si>
  <si>
    <t>منبع آزمون</t>
  </si>
  <si>
    <t>Evidence_Quality</t>
  </si>
  <si>
    <t>N=5 در 27 شرکت؛ N=4 در 1؛ N=3 در 1؛ SD=0.40</t>
  </si>
  <si>
    <t>Keyword/Roster/Coded v22,v25,v31</t>
  </si>
  <si>
    <t>۳۰/۳۰ شرکت؛ سهم دکترا غیرصفر در 29 شرکت؛ میانگین=0.497؛ SD=0.226؛ max=1.00</t>
  </si>
  <si>
    <t>مقادیر یکتا HHI: [0.2, 0.28, 0.33, 1.0]</t>
  </si>
  <si>
    <t>12 از 110 شخص حقوقی در بیش از یک شرکت؛ 14 از ۳۰ شرکت دارای حداقل یک پیوند مشترک</t>
  </si>
  <si>
    <t>3 شخص حقیقی در بیش از یک شرکت؛ 6 شرکت درگیر</t>
  </si>
  <si>
    <t>24 شرکت قابل محاسبه؛ غیرصفر 14؛ SD=0.333</t>
  </si>
  <si>
    <t>24 شرکت؛ غیرصفر 19؛ SD=0.298</t>
  </si>
  <si>
    <t>24 شرکت؛ غیرصفر 12؛ SD=0.159</t>
  </si>
  <si>
    <t>24 شرکت؛ غیرصفر 9؛ SD=0.124</t>
  </si>
  <si>
    <t>24 شرکت؛ غیرصفر 4؛ SD=0.089</t>
  </si>
  <si>
    <t>بدون داده قابل تست در آرشیو</t>
  </si>
  <si>
    <t>Keyword Hit در 19/30</t>
  </si>
  <si>
    <t>Keyword Hit در 27/30</t>
  </si>
  <si>
    <t>جلسات AC شناخته‌شده در 12/30 (v31)</t>
  </si>
  <si>
    <t>جلسات هیئت تاییدشده در 5/30 (v31)؛ سال مالی نامتجانس</t>
  </si>
  <si>
    <t>Keyword Hit در 28/30</t>
  </si>
  <si>
    <t>Keyword Hit در 4/30</t>
  </si>
  <si>
    <t>Keyword Hit در 10/30</t>
  </si>
  <si>
    <t>Keyword Hit در 9/30</t>
  </si>
  <si>
    <t>Keyword Hit در 16/30؛ ساختاریافته در v31: فملی، تاپیکو، وبملت</t>
  </si>
  <si>
    <t>Keyword «تاریخ تولد/متولد»: ۰/۳۰ ⇒ سن در روستر Codal موجود نیست</t>
  </si>
  <si>
    <t>دسترسی به منبع</t>
  </si>
  <si>
    <t>منبع رسمی Codal برای همه؛ کیفیت بر پایه تعداد شرکت‌های دارای شواهد.</t>
  </si>
  <si>
    <t>سامانه</t>
  </si>
  <si>
    <t>Raw Field</t>
  </si>
  <si>
    <t>مقیاس</t>
  </si>
  <si>
    <t>Source_Name</t>
  </si>
  <si>
    <t>Source_Page</t>
  </si>
  <si>
    <t>در Audit منابع v36</t>
  </si>
  <si>
    <t>Codal ن-۴۵/ن-۱۱/گزارش سالانه</t>
  </si>
  <si>
    <t>نمونه: نمونه: SRC_FARS_1404_001 ص۴۰</t>
  </si>
  <si>
    <t>Codal URL در ثبت منابع Batchها</t>
  </si>
  <si>
    <t>نمونه: —</t>
  </si>
  <si>
    <t>X/30 و X/eligible (eligible برابر ۲۸ شرکت دارای هر دو سند). Missing ⇒ صفر نشده.</t>
  </si>
  <si>
    <t>کل</t>
  </si>
  <si>
    <t>پوشش از ۳۰ (فرمول)</t>
  </si>
  <si>
    <t>پوشش Eligible (فرمول)</t>
  </si>
  <si>
    <t>ریسک Missing</t>
  </si>
  <si>
    <t>امکان تاریخی و COVID/جنگ</t>
  </si>
  <si>
    <t>COVID (۱۳۹۸–۱۴۰۰) و جنگ ۱۴۰۴ با Cutoff جدا باید بررسی شود.</t>
  </si>
  <si>
    <t>COVID/War Suitability</t>
  </si>
  <si>
    <t>Type19 برای زنجیره؛ آرشیو Codal از ~۱۳۹۷</t>
  </si>
  <si>
    <t>بدون منبع تاریخی تضمین‌شده</t>
  </si>
  <si>
    <t>مقیاس‌پذیری ۵۰۰ شرکت</t>
  </si>
  <si>
    <t>برآورد بر اساس خودکارسازی و بار دستی.</t>
  </si>
  <si>
    <t>Automation</t>
  </si>
  <si>
    <t>Manual Burden</t>
  </si>
  <si>
    <t>پتانسیل خودکارسازی</t>
  </si>
  <si>
    <t>Roster/Keyword قابل خودکارسازی؛ بیوگرافی نیازمند کدگذاری انسانی.</t>
  </si>
  <si>
    <t>Objectivity</t>
  </si>
  <si>
    <t>Directionality Candidateها</t>
  </si>
  <si>
    <t>هیچ Candidate پیش‌فرض «بیشتر بهتر» نشد.</t>
  </si>
  <si>
    <t>Overlap Matrix</t>
  </si>
  <si>
    <t>هر Candidate با Measure موجود/جدید سنجیده شد.</t>
  </si>
  <si>
    <t>Incremental Information</t>
  </si>
  <si>
    <t>اطلاعات افزوده نسبی (کیفی) نسبت به ۱۲ Measure موجود.</t>
  </si>
  <si>
    <t>Incremental</t>
  </si>
  <si>
    <t>Measureهای Robustness</t>
  </si>
  <si>
    <t>تبدیل ریاضی یا مکمل ⇒ Robustness، بدون شمارش دوباره.</t>
  </si>
  <si>
    <t>Targeted Validation</t>
  </si>
  <si>
    <t>Candidateهای نیازمند بازبینی صفحه/نمونه کوچک قبل از Scale-Up.</t>
  </si>
  <si>
    <t>گام اعتبارسنجی</t>
  </si>
  <si>
    <t>بازبینی صفحه روی ۱۰ شرکت؛ سنجش Variation و Overlap</t>
  </si>
  <si>
    <t>N02 تنها Candidate جدیدی است که پس از آزمون Coverage و Variation به SCALE_UP_WITH_LIMITATION رسید؛ هنوز وارد Composite نشده است.</t>
  </si>
  <si>
    <t>Drop Candidates</t>
  </si>
  <si>
    <t>حذف به دلیل Redundancy، Variation صفر یا داده ناکافی.</t>
  </si>
  <si>
    <t>دلیل حذف</t>
  </si>
  <si>
    <t>Final Recommended Architecture</t>
  </si>
  <si>
    <t>N02 به عنوان Candidate جدید SCALE_UP_WITH_LIMITATION شناسایی شده اما هنوز وارد Composite نشده است. سایر Candidateهای جدید در TARGETED_VALIDATION، ROBUSTNESS، CONTROL، DEFER یا DROP باقی می مانند.</t>
  </si>
  <si>
    <t>Existing or New</t>
  </si>
  <si>
    <t>Current Coverage</t>
  </si>
  <si>
    <t>Eligible Coverage</t>
  </si>
  <si>
    <t>Recommended Role</t>
  </si>
  <si>
    <t>N01 Board Size</t>
  </si>
  <si>
    <t>New</t>
  </si>
  <si>
    <t>30/28</t>
  </si>
  <si>
    <t>بله (آزمون)</t>
  </si>
  <si>
    <t>N02 Doctorate Share</t>
  </si>
  <si>
    <t>N03 Advanced Degree Share</t>
  </si>
  <si>
    <t>MATHEMATICAL_COMPLEMENT/OVERLAP</t>
  </si>
  <si>
    <t>N06 Shared Legal Entity Ties</t>
  </si>
  <si>
    <t>N07 Person Interlock</t>
  </si>
  <si>
    <t>6/28</t>
  </si>
  <si>
    <t>N08 Government Background Share</t>
  </si>
  <si>
    <t>N09 Executive Background Share</t>
  </si>
  <si>
    <t>N10 Finance Background Share</t>
  </si>
  <si>
    <t>N11 Industry Expertise Share</t>
  </si>
  <si>
    <t>N13 Academic Expertise Share</t>
  </si>
  <si>
    <t>0/28</t>
  </si>
  <si>
    <t>N14 Audit Committee Independence</t>
  </si>
  <si>
    <t>N15 AC Financial Expertise</t>
  </si>
  <si>
    <t>OVERLAPPING</t>
  </si>
  <si>
    <t>N16 AC Meeting Frequency</t>
  </si>
  <si>
    <t>N17 Board Meeting Frequency</t>
  </si>
  <si>
    <t>5/28</t>
  </si>
  <si>
    <t>N18 Risk Committee Presence</t>
  </si>
  <si>
    <t>N19 Nomination Committee Presence</t>
  </si>
  <si>
    <t>N20 Compensation Committee Presence</t>
  </si>
  <si>
    <t>4/28</t>
  </si>
  <si>
    <t>N21 Investment Committee Presence</t>
  </si>
  <si>
    <t>10/28</t>
  </si>
  <si>
    <t>N22 Governance Committee Presence</t>
  </si>
  <si>
    <t>9/28</t>
  </si>
  <si>
    <t>N23 Explicit Independent Member Share</t>
  </si>
  <si>
    <t>N24 Attendance Rate</t>
  </si>
  <si>
    <t>N25 Multiple Directorships</t>
  </si>
  <si>
    <t>3/28</t>
  </si>
  <si>
    <t>N26 Member Tenure / Age</t>
  </si>
  <si>
    <t>1/28</t>
  </si>
  <si>
    <t>N27 Tenure Diversity</t>
  </si>
  <si>
    <t>N28 Chair Tenure</t>
  </si>
  <si>
    <t>23/28</t>
  </si>
  <si>
    <t>N29 CEO Tenure</t>
  </si>
  <si>
    <t>N30 Vacant Seat Rate</t>
  </si>
  <si>
    <t>N32 Committee Overlap</t>
  </si>
  <si>
    <t>N33 Executive Seat Share</t>
  </si>
  <si>
    <t>N34 Normalized Education Blau</t>
  </si>
  <si>
    <t>Turnover Resolution Audit — v38</t>
  </si>
  <si>
    <t>هر ردیف یا رویداد کرسی (ورود/خروج/تغییر نماینده/تغییر سمت) یا مقدار یک متغیر است. تاریخ موثر با تاریخ گزارش جدا ثبت شده؛ Cutoff مشترک ۱۴۰۳/۱۲/۲۹ و ۱۴۰۴/۱۲/۲۹.</t>
  </si>
  <si>
    <t>نماد</t>
  </si>
  <si>
    <t>متغیر</t>
  </si>
  <si>
    <t>مقدار قبلی</t>
  </si>
  <si>
    <t>مقدار جدید</t>
  </si>
  <si>
    <t>عضو قبلی</t>
  </si>
  <si>
    <t>عضو جدید</t>
  </si>
  <si>
    <t>شخص حقوقی</t>
  </si>
  <si>
    <t>نماینده قبلی</t>
  </si>
  <si>
    <t>نماینده جدید</t>
  </si>
  <si>
    <t>نوع تغییر</t>
  </si>
  <si>
    <t>تاریخ موثر تغییر</t>
  </si>
  <si>
    <t>عنوان منبع</t>
  </si>
  <si>
    <t>تاریخ گزارش</t>
  </si>
  <si>
    <t>TracingNo</t>
  </si>
  <si>
    <t>لینک منبع</t>
  </si>
  <si>
    <t>خلاصه شواهد</t>
  </si>
  <si>
    <t>توضیح استدلال</t>
  </si>
  <si>
    <t>سطح اطمینان</t>
  </si>
  <si>
    <t>TAPICO(تاپیکو)</t>
  </si>
  <si>
    <t>۱۴۰۳→۱۴۰۴ (Cutoff 1403/12/29 → 1404/12/29)</t>
  </si>
  <si>
    <t>رویداد کرسی</t>
  </si>
  <si>
    <t>ثبت شد</t>
  </si>
  <si>
    <t>عبدالکریم پهلوانی</t>
  </si>
  <si>
    <t>روح‌اله شهیدی‌پور</t>
  </si>
  <si>
    <t>سرمایه‌گذاری تأمین اجتماعی (شستا)</t>
  </si>
  <si>
    <t>1404/06/26</t>
  </si>
  <si>
    <t>معرفی /تغییر در ترکیب اعضای هیئت مدیره/مدیر عامل</t>
  </si>
  <si>
    <t>1404/07/01</t>
  </si>
  <si>
    <t>1408462</t>
  </si>
  <si>
    <t>https://www.codal.ir/Reports/Decision.aspx?LetterSerial=9W5KqOFDkv3BoGKhfVCF0w%3d%3d&amp;rt=2&amp;let=19&amp;ct=0&amp;ft=-1</t>
  </si>
  <si>
    <t>Snapshot مبنا: TracingNo 1311653؛ Snapshot پایان: TracingNo 1477918</t>
  </si>
  <si>
    <t>تاریخ مجمع/جلسه ثبت‌شده در اطلاعیه ۱۴۰۴/۰۶/۲۶؛ تایید صلاحیت سازمان بورس ۱۴۰۴/۰۹/۱۸ (اصلاحیه ۱۴۵۴۳۳۶)</t>
  </si>
  <si>
    <t>Confirmed</t>
  </si>
  <si>
    <t>نماینده قبلی در ۱۴۰۴/۰۱/۲۳ حذف شد (اطلاعیه ۱۳۳۳۹۷۲) و کرسی تا ۱۴۰۴/۰۶/۲۶ بدون نماینده بود؛ مقایسه Cutoff-to-Cutoff تغییر نماینده است</t>
  </si>
  <si>
    <t>اکبر محققی</t>
  </si>
  <si>
    <t>کمیل پورضیائی</t>
  </si>
  <si>
    <t>سرمایه‌گذاری صبا تأمین</t>
  </si>
  <si>
    <t>1404/05/01</t>
  </si>
  <si>
    <t>1404/05/04</t>
  </si>
  <si>
    <t>1379918</t>
  </si>
  <si>
    <t>https://www.codal.ir/Reports/Decision.aspx?LetterSerial=gXBd7BQ0zRHOwYIn4yd4zg%3d%3d&amp;rt=2&amp;let=19&amp;ct=0&amp;ft=-1</t>
  </si>
  <si>
    <t>جلسه هیئت مدیره ۱۴۰۴/۰۵/۰۱؛ اصلاحیه با تایید صلاحیت ۱۴۰۴/۰۵/۰۴</t>
  </si>
  <si>
    <t>سرمایه‌گذاری صدر تأمین</t>
  </si>
  <si>
    <t>تغییر سمت فقط (Turnover نیست)</t>
  </si>
  <si>
    <t>تغییر سمت از عضو به رئیس</t>
  </si>
  <si>
    <t>رحمتی از ۱۴۰۳/۱۲/۰۴ نماینده این کرسی است (جایگزین علی سیفیان) یعنی پیش از Cutoff مبنا</t>
  </si>
  <si>
    <t>هوشنگ ایزدی</t>
  </si>
  <si>
    <t>سرمایه‌گذاری سیمان تأمین</t>
  </si>
  <si>
    <t>بدون تغییر</t>
  </si>
  <si>
    <t>معرفی /تغییر در ترکیب اعضای هیئت مدیره/مدیر عامل(اصلاحیه)</t>
  </si>
  <si>
    <t>1404/11/06</t>
  </si>
  <si>
    <t>1477918</t>
  </si>
  <si>
    <t>https://www.codal.ir/Reports/Decision.aspx?LetterSerial=Exef5qCkFaU4GYSKSR3wjg%3d%3d&amp;rt=2&amp;let=19&amp;ct=0&amp;ft=-1</t>
  </si>
  <si>
    <t>جدول مبنای ۱۴۰۳/۱۲/۲۹ از اطلاعیه ۱۳۱۱۶۵۳ (۱۴۰۳/۱۲/۰۴) و ۱۲۹۴۹۹۵ (۱۴۰۳/۱۰/۲۳) و اطلاعیه ۱۳۳۳۹۷۲ (ستون «نماینده قبلی» ۱۴۰۴/۰۱/۲۳)؛ تاریخ‌های ع</t>
  </si>
  <si>
    <t>سمت میانی نایب رئیس (۱۴۰۴/۰۵/۰۱ تا ۱۴۰۴/۰۶/۲۶)؛ فقط تغییر سمت</t>
  </si>
  <si>
    <t>محمدحسین صابر</t>
  </si>
  <si>
    <t>سرمایه‌گذاری داروئی تأمین</t>
  </si>
  <si>
    <t>اطلاعیه ۱۴۰۸۴۶۲ (جلسه/مجمع ۱۴۰۴/۰۶/۲۶)</t>
  </si>
  <si>
    <t>ربیعی رئیس بود؛ رئیس هیئت مدیره از ربیعی به رحمتی تغییر کرد</t>
  </si>
  <si>
    <t>REF05 گردش شخص حقیقی (G/H)</t>
  </si>
  <si>
    <t>2/5</t>
  </si>
  <si>
    <t>3/5</t>
  </si>
  <si>
    <t>اصلاح شد</t>
  </si>
  <si>
    <t>جمع‌بندی از رویدادهای کرسی همین شرکت</t>
  </si>
  <si>
    <t>جدول مبنای ۱۴۰۳/۱۲/۲۹ از اطلاعیه ۱۳۱۱۶۵۳ (۱۴۰۳/۱۲/۰۴) و ۱۲۹۴۹۹۵ (۱۴۰۳/۱۰/۲۳) و اطلاعیه ۱۳۳۳۹۷۲ (ستون «نماینده قبلی» ۱۴۰۴/۰۱/۲۳)؛ تاریخ‌های عضویت گزارش FY1404 (ربیعی ۱۴۰۳/۱۰/۲۳، رحمتی ۱۴۰۳/۱۲/۰۴) تایید</t>
  </si>
  <si>
    <t>جدول ۱۴۰۴/۱۲/۲۹ از اطلاعیه ۱۴۷۷۹۱۸ (جلسه ۱۴۰۴/۱۰/۱۸؛ اصلاحیه ثبت روزنامه رسمی)؛ اطلاعیه بعدی ۱۴۸۲۳۲۹ جلسه ۱۴۰۵/۰۳/۰۳ پس از Cutoff است.</t>
  </si>
  <si>
    <t>REF08 تغییر نماینده با شخص حقوقی ثابت (J/K)</t>
  </si>
  <si>
    <t>2/4</t>
  </si>
  <si>
    <t>ROB_LEGAL تغییر شخص حقوقی (M/N)</t>
  </si>
  <si>
    <t>0/4</t>
  </si>
  <si>
    <t>ROB_NEW عضو جدید (P/Q)</t>
  </si>
  <si>
    <t>ROB_STABILITY ثبات (S/T)</t>
  </si>
  <si>
    <t>تغییر رئیس هیئت مدیره (ستون V؛ ورودی CR1A)</t>
  </si>
  <si>
    <t>جدول Cutoff</t>
  </si>
  <si>
    <t>CR1A در برگه‌های Audit/معماری بازمحاسبه نشد؛ فقط ستون V ورودی</t>
  </si>
  <si>
    <t>گروه مدیریت سرمایه‌گذاری امید</t>
  </si>
  <si>
    <t>1404/02/24</t>
  </si>
  <si>
    <t>1343237</t>
  </si>
  <si>
    <t>https://www.codal.ir/Reports/Decision.aspx?LetterSerial=WtxLMfRQBjXMKexEV1XDIA%3d%3d&amp;rt=0&amp;let=19&amp;ct=0&amp;ft=-1</t>
  </si>
  <si>
    <t>Snapshot مبنا: TracingNo 1287746؛ Snapshot پایان: TracingNo 1473973</t>
  </si>
  <si>
    <t>جلسه هیئت مدیره ۱۴۰۴/۰۲/۲۴ (اطلاعیه ۱۳۴۳۲۳۷؛ اصلاحیه ۱۳۴۵۷۹۸ در ۱۴۰۴/۰۲/۲۹)</t>
  </si>
  <si>
    <t>تغییر رئیس هیئت مدیره (صلاحی→تابش)</t>
  </si>
  <si>
    <t>فرید دهقانی</t>
  </si>
  <si>
    <t>سرمایه‌گذاری توسعه معادن و فلزات</t>
  </si>
  <si>
    <t>1404/10/29</t>
  </si>
  <si>
    <t>1473973</t>
  </si>
  <si>
    <t>Cutoff ۱۴۰۳/۱۲/۲۹ از اطلاعیه ۱۲۸۷۷۴۶ (جلسه ۱۴۰۳/۰۹/۲۶) و اصلاحیه‌های ۱۲۷۴۸۱۰/۱۲۷۵۲۳۴ (۱۴۰۳/۰۹/۰۴)؛ تا ۱۴۰۴/۰۲/۲۴ اطلاعیه‌ای نیست. گزارش سالا</t>
  </si>
  <si>
    <t>نسخه اولیه ۱۳۴۳۲۳۷ به اشتباه «فاقد نماینده» داشت؛ اصلاحیه ۱۳۴۵۷۹۸ نماینده را حفظ کرد</t>
  </si>
  <si>
    <t>سعید مستشار</t>
  </si>
  <si>
    <t>حامد دهقانان</t>
  </si>
  <si>
    <t>سرمایه‌گذاری سپه</t>
  </si>
  <si>
    <t>جلسه هیئت مدیره ۱۴۰۴/۰۲/۲۴</t>
  </si>
  <si>
    <t>دهقانان از ۱۴۰۴/۰۲/۲۴ تا ۱۴۰۴/۱۰/۲۹ نایب رئیس بود و سپس به عضو بازگشت (فقط سمت)؛ انتخاب مجدد اشخاص حقوقی مجمع ۱۴۰۴/۰۵/۰۶ عضو جدید نیست</t>
  </si>
  <si>
    <t>مهدی آقاپوربی‌شک</t>
  </si>
  <si>
    <t>فولاد مبارکه اصفهان</t>
  </si>
  <si>
    <t>آقاپور از ۱۴۰۳/۰۹/۲۶ نماینده است (پیش از Cutoff مبنا)</t>
  </si>
  <si>
    <t>— (کرسی بدون نماینده)</t>
  </si>
  <si>
    <t>مجتبی شعبانی</t>
  </si>
  <si>
    <t>سرمایه‌گذاری استان خوزستان</t>
  </si>
  <si>
    <t>ورود در کرسی خالی (غیرقابل مقایسه؛ عضو جدید)</t>
  </si>
  <si>
    <t>1404/05/06</t>
  </si>
  <si>
    <t>1404/05/20</t>
  </si>
  <si>
    <t>1391765</t>
  </si>
  <si>
    <t>https://www.codal.ir/Reports/Decision.aspx?LetterSerial=IAYTKaAQbe89etLVXMBN9w%3d%3d&amp;rt=0&amp;let=19&amp;ct=0&amp;ft=-1</t>
  </si>
  <si>
    <t>ورود نماینده جدید خدایار کریم‌نژادسرخی (جلسه ۱۴۰۴/۰۵/۲۰؛ مجمع ۱۴۰۴/۰۵/۰۶) سپس مجتبی شعبانی (جلسه ۱۴۰۴/۱۰/۲۹)</t>
  </si>
  <si>
    <t>نماینده قبلی محمدرضا بابائی دره در ۱۴۰۳/۰۹/۰۴ حذف شد؛ کرسی تا ۱۴۰۴/۰۵/۲۰ بدون نماینده؛ خدایار کریم‌نژاد عضو موقت میانی است و در هیچ‌یک از دو Cutoff حضور ندارد</t>
  </si>
  <si>
    <t>Cutoff ۱۴۰۳/۱۲/۲۹ از اطلاعیه ۱۲۸۷۷۴۶ (جلسه ۱۴۰۳/۰۹/۲۶) و اصلاحیه‌های ۱۲۷۴۸۱۰/۱۲۷۵۲۳۴ (۱۴۰۳/۰۹/۰۴)؛ تا ۱۴۰۴/۰۲/۲۴ اطلاعیه‌ای نیست. گزارش سالانه FY1403 (۱۳۶۸۷۸۵؛ امضا ۱۴۰۴/۰۴/۱۶) جدول پس از Cutoff را نش</t>
  </si>
  <si>
    <t>Cutoff ۱۴۰۴/۱۲/۲۹ از اطلاعیه ۱۴۷۳۹۷۳ (جلسه ۱۴۰۴/۱۰/۲۹)؛ گزارش ۹ماهه ۱۵۲۵۶۳۰ (۱۴۰۵/۰۲/۲۶) امضا ۱۴۰۵/۰۲/۲۴ پس از Cutoff است.</t>
  </si>
  <si>
    <t>4/4</t>
  </si>
  <si>
    <t>سیدجعفر هاشمی</t>
  </si>
  <si>
    <t>سرمایه‌گذاری غدیر</t>
  </si>
  <si>
    <t>1404/09/06</t>
  </si>
  <si>
    <t>1443940</t>
  </si>
  <si>
    <t>https://www.codal.ir/Reports/Decision.aspx?LetterSerial=zNIQQQaQQQIYcl2yMb4DUIPu3s7w%3d%3d&amp;rt=2&amp;let=19&amp;ct=0&amp;ft=-1</t>
  </si>
  <si>
    <t>Snapshot مبنا: TracingNo 1288275؛ Snapshot پایان: TracingNo 1443940</t>
  </si>
  <si>
    <t>Cutoff ۱۴۰۳/۱۲/۲۹ از اطلاعیه ۱۲۸۸۲۷۵ (۱۴۰۳/۱۰/۰۵) و ۱۳۲۷۵۲۲ (۱۴۰۴/۰۱/۱۸، به‌روزرسانی تایید صلاحیت)؛ جدول ۵ کرسی حقوقی؛ عدد ۷ در v35 تعداد اف</t>
  </si>
  <si>
    <t>High</t>
  </si>
  <si>
    <t>جایگزین اسماعیل قنبری از ۱۴۰۳/۰۲/۱۴ (اطلاعیه ۱۱۹۰۰۲۲)؛ پیش از Cutoff مبنا</t>
  </si>
  <si>
    <t>رحیم اسماعیلی دانا</t>
  </si>
  <si>
    <t>سرمایه‌گذاری اعتضاد غدیر</t>
  </si>
  <si>
    <t>محمدرضا حیدرزاده</t>
  </si>
  <si>
    <t>علی مهری‌پرگو</t>
  </si>
  <si>
    <t>دریابان جنوب ایران کیش</t>
  </si>
  <si>
    <t>1404/02/30</t>
  </si>
  <si>
    <t>1345985</t>
  </si>
  <si>
    <t>https://www.codal.ir/Reports/Decision.aspx?LetterSerial=Isgmsl2s3SpQQQaQQQYOnBYzL9bw%3d%3d&amp;rt=2&amp;let=19&amp;ct=0&amp;ft=-1</t>
  </si>
  <si>
    <t>تاریخ عضویت گزارش FY1404 (۱۴۰۴/۰۲/۲۴)؛ ثبت در کدال ۱۴۰۴/۰۲/۳۰ (اطلاعیه ۱۳۴۵۹۸۵)</t>
  </si>
  <si>
    <t>علیرضا غلامی</t>
  </si>
  <si>
    <t>صنعتی و بازرگانی غدیر</t>
  </si>
  <si>
    <t>همان اطلاعیه ۱۳۴۵۹۸۵</t>
  </si>
  <si>
    <t>سرمایه‌گذاری مهرگان تأمین پارس</t>
  </si>
  <si>
    <t>مجمع ۱۴۰۴/۱۰/۲۳ این نهاد (و دریابان) را حذف و «سرمایه‌گذاری زرین پرشیا» و «گروه مالی نماد غدیر» را وارد کرد؛ نمایندگان فقط در جلسه ۱۴۰۵/۰۲/۰۸ (پس از Cutoff، اطلاعیه ۱۵۱۵۷۴۴/۱۵۱۵۸۱۳/۱۵۵۱۴۶۳) ثبت شدند</t>
  </si>
  <si>
    <t>Cutoff ۱۴۰۳/۱۲/۲۹ از اطلاعیه ۱۲۸۸۲۷۵ (۱۴۰۳/۱۰/۰۵) و ۱۳۲۷۵۲۲ (۱۴۰۴/۰۱/۱۸، به‌روزرسانی تایید صلاحیت)؛ جدول ۵ کرسی حقوقی؛ عدد ۷ در v35 تعداد افراد گزارش سالانه در طول سال بود نه اندازه هیئت.</t>
  </si>
  <si>
    <t>Cutoff ۱۴۰۴/۱۲/۲۹ بر پایه آخرین جدول ثبت‌شده در کدال (جلسه ۱۴۰۴/۰۶/۱۷–۱۸: اطلاعیه ۱۴۰۴۲۸۶/۱۴۴۳۹۴۰/۱۴۴۸۵۱۲/۱۴۵۱۷۱۹). انتخاب اعضای جدید در مجمع ۱۴۰۴/۰۸/۲۳ تا جلسه ۱۴۰۵/۰۲/۰۸ عملیاتی نشد (در حال احراز تا</t>
  </si>
  <si>
    <t>Missing/N/A</t>
  </si>
  <si>
    <t>2/7</t>
  </si>
  <si>
    <t>5/5</t>
  </si>
  <si>
    <t>ساختار حقوقی/واجدیت</t>
  </si>
  <si>
    <t>F=خیر, E=بله</t>
  </si>
  <si>
    <t>F=بله, E=بله</t>
  </si>
  <si>
    <t>سرمایه‌گذاری نفت و گاز و پتروشیمی تأمین → گسترش تجارت هامون</t>
  </si>
  <si>
    <t>تغییر شخص حقوقی (نماینده ثابت)</t>
  </si>
  <si>
    <t>1404/06/04</t>
  </si>
  <si>
    <t>1404/06/05</t>
  </si>
  <si>
    <t>1398534</t>
  </si>
  <si>
    <t>https://www.codal.ir/Reports/Decision.aspx?LetterSerial=BpLLXiooiLziZroLI2hLPQ%3d%3d&amp;rt=0&amp;let=19&amp;ct=0&amp;ft=-1</t>
  </si>
  <si>
    <t>Snapshot مبنا: TracingNo 1171265؛ Snapshot پایان: TracingNo 1527389</t>
  </si>
  <si>
    <t>جلسه ۱۴۰۴/۰۶/۰۴ (اطلاعیه ۱۳۹۸۵۳۴/۱۳۹۹۲۱۵)</t>
  </si>
  <si>
    <t>شخص حقوقی صاحب کرسی تغییر کرد؛ نماینده (دیداری) ثابت ماند؛ رئیس بودن او تا ۱۴۰۴/۱۲/۲۵ ادامه داشت</t>
  </si>
  <si>
    <t>محمدهاشم نجفی اردکانی</t>
  </si>
  <si>
    <t>امیر اکبری</t>
  </si>
  <si>
    <t>صبا انرژی جهان‌گستر</t>
  </si>
  <si>
    <t>جابه‌جایی نماینده بین دو کرسی (اکبری↔نجفی) در جلسه ۱۴۰۴/۰۶/۰۴</t>
  </si>
  <si>
    <t>جابه‌جایی همان دو فرد بین کرسی‌ها؛ عضو جدید نیست</t>
  </si>
  <si>
    <t>کاوشگران بازار سرمایه</t>
  </si>
  <si>
    <t>1404/12/25</t>
  </si>
  <si>
    <t>1405/02/29</t>
  </si>
  <si>
    <t>1527389</t>
  </si>
  <si>
    <t>https://www.codal.ir/Reports/Decision.aspx?LetterSerial=QQQaQQQtpQVpIOOObOOOPhcgQQQaQQQA5ahYjCjA%3d%3d&amp;rt=0&amp;let=19&amp;ct=0&amp;ft=-1</t>
  </si>
  <si>
    <t>جلسه ۱۴۰۴/۱۲/۲۵</t>
  </si>
  <si>
    <t>تغییر رئیس هیئت مدیره (دیداری→سیاهکارزاده)</t>
  </si>
  <si>
    <t>مهدی قربانی</t>
  </si>
  <si>
    <t>سرمایه‌گذاری استان اردبیل</t>
  </si>
  <si>
    <t>Cutoff ۱۴۰۳/۱۲/۲۹: اطلاعیه ۱۱۷۱۲۶۵ (۱۴۰۲/۱۲/۲۸: اکبری جایگزین قنبریان) + گزارش FY1403 ص۳۵ (تاریخ انتصاب اکبری ۱۴۰۲/۱۲/۲۸) و ستون «قبلی» اطلا</t>
  </si>
  <si>
    <t>حسن معینی</t>
  </si>
  <si>
    <t>خدمات گستر صبا انرژی</t>
  </si>
  <si>
    <t>جلسه ۱۴۰۴/۱۲/۲۵؛ اطلاعیه ۱۵۲۷۳۸۹ در ۱۴۰۵/۰۲/۲۹ منتشر شد</t>
  </si>
  <si>
    <t>زنجیره: اکبری→نجفی (۱۴۰۴/۰۶/۰۴)→معینی (۱۴۰۴/۱۲/۲۵)؛ معینی تنها عضو جدید</t>
  </si>
  <si>
    <t>Cutoff ۱۴۰۳/۱۲/۲۹: اطلاعیه ۱۱۷۱۲۶۵ (۱۴۰۲/۱۲/۲۸: اکبری جایگزین قنبریان) + گزارش FY1403 ص۳۵ (تاریخ انتصاب اکبری ۱۴۰۲/۱۲/۲۸) و ستون «قبلی» اطلاعیه ۱۳۹۸۵۳۴؛ بین ۱۴۰۲/۱۲/۲۸ و ۱۴۰۴/۰۶/۰۴ اطلاعیه‌ای در فهرست</t>
  </si>
  <si>
    <t>Cutoff ۱۴۰۴/۱۲/۲۹: اطلاعیه ۱۵۲۷۳۸۹ (جلسه ۱۴۰۴/۱۲/۲۵؛ انتشار ۱۴۰۵/۰۲/۲۹ یعنی پس از Cutoff). حساسیت: اگر فقط افشای منتشرشده تا Cutoff ملاک باشد، معینی و تغییر رئیس حذف می‌شوند (G=2، P=0، رئیس بدون تغییر</t>
  </si>
  <si>
    <t>رحیم علیشاهی</t>
  </si>
  <si>
    <t>سرمایه‌گذاری گروه صنعتی رنا</t>
  </si>
  <si>
    <t>1404/02/08</t>
  </si>
  <si>
    <t>1404/02/09</t>
  </si>
  <si>
    <t>1336974</t>
  </si>
  <si>
    <t>https://www.codal.ir/Reports/Decision.aspx?LetterSerial=A9EKEshXRCjahGZMnLLylQ%3d%3d&amp;rt=0&amp;let=19&amp;ct=0&amp;ft=-1</t>
  </si>
  <si>
    <t>Snapshot مبنا: TracingNo 1295938؛ Snapshot پایان: TracingNo 1386511</t>
  </si>
  <si>
    <t>جلسه ۱۴۰۴/۰۲/۰۸ (اطلاعیه ۱۳۳۶۹۷۴؛ تاریخ انتصاب گزارش FY1404)</t>
  </si>
  <si>
    <t>علی شیخ‌زاده</t>
  </si>
  <si>
    <t>گروه سرمایه‌گذاری کارکنان سایپا</t>
  </si>
  <si>
    <t>تغییر سمت فقط</t>
  </si>
  <si>
    <t>مجید بهرامی</t>
  </si>
  <si>
    <t>صندوق حمایت و بازنشستگی کارکنان فولاد</t>
  </si>
  <si>
    <t>1404/05/15</t>
  </si>
  <si>
    <t>1386511</t>
  </si>
  <si>
    <t>Cutoff ۱۴۰۳/۱۲/۲۹ از اطلاعیه ۱۲۹۵۹۳۸ (۱۴۰۳/۱۱/۰۳)؛ تاریخ‌های انتصاب گزارش‌های FY1403/FY1404 (۱۴۰۳/۰۹/۱۴، ۱۴۰۳/۱۱/۰۳، ۱۴۰۴/۰۲/۰۸) تایید می‌کن</t>
  </si>
  <si>
    <t>بهرامی از ۱۴۰۳/۱۱/۰۳ (جایگزین سهیل‌نژاد) پیش از Cutoff</t>
  </si>
  <si>
    <t>علی شیدائی نرمیقی</t>
  </si>
  <si>
    <t>مهدی رادمنش</t>
  </si>
  <si>
    <t>توسعه سرمایه رادین</t>
  </si>
  <si>
    <t>جلسه ۱۴۰۴/۰۲/۰۸</t>
  </si>
  <si>
    <t>محمدرضا شیخ‌عطار</t>
  </si>
  <si>
    <t>سازمان مدیریت صنعتی</t>
  </si>
  <si>
    <t>پرویزیان از کرسی رنا به کرسی سازمان مدیریت صنعتی رفت؛ عضو جدید نیست (P&lt;G مشروع)</t>
  </si>
  <si>
    <t>Cutoff ۱۴۰۳/۱۲/۲۹ از اطلاعیه ۱۲۹۵۹۳۸ (۱۴۰۳/۱۱/۰۳)؛ تاریخ‌های انتصاب گزارش‌های FY1403/FY1404 (۱۴۰۳/۰۹/۱۴، ۱۴۰۳/۱۱/۰۳، ۱۴۰۴/۰۲/۰۸) تایید می‌کنند.</t>
  </si>
  <si>
    <t>Cutoff ۱۴۰۴/۱۲/۲۹ از اطلاعیه ۱۳۳۶۹۷۴ و ۱۳۸۶۵۱۱ (جلسه ۱۴۰۴/۰۵/۱۳)؛ تا ۱۴۰۵/۰۶/۱۸ اطلاعیه دیگری نیست.</t>
  </si>
  <si>
    <t>عبدالله سلطانی ثانی</t>
  </si>
  <si>
    <t>1404/07/21</t>
  </si>
  <si>
    <t>1417850</t>
  </si>
  <si>
    <t>https://www.codal.ir/Reports/Decision.aspx?LetterSerial=8qXiOOObOOOscQQQaQQQfIOkx3DWj8Uw1Q%3d%3d&amp;rt=0&amp;let=19&amp;ct=0&amp;ft=-1</t>
  </si>
  <si>
    <t>Snapshot مبنا: TracingNo 1306740؛ Snapshot پایان: TracingNo 1417850</t>
  </si>
  <si>
    <t>Cutoff ۱۴۰۳/۱۲/۲۹ از اطلاعیه ۱۳۰۶۷۴۰ (۱۴۰۳/۱۱/۲۱) و اصلاحیه ۱۳۰۸۷۴۴ پس از مجمع ۱۴۰۳/۱۱/۱۷ (تعویض کامل اشخاص حقوقی)؛ گزارش FY1404 ص۵۳ تاریخ‌ه</t>
  </si>
  <si>
    <t>عادل پیرمحمدی</t>
  </si>
  <si>
    <t>مدیریت سرمایه‌گذاری ملی ایران</t>
  </si>
  <si>
    <t>تا ۱۴۰۵/۰۳/۱۹ در هیئت مدیره (پس از Cutoff)</t>
  </si>
  <si>
    <t>مرتضی شفیعی</t>
  </si>
  <si>
    <t>حامد نائیجی</t>
  </si>
  <si>
    <t>سرمایه‌گذاری گنجینه ایرانیان</t>
  </si>
  <si>
    <t>1404/07/19</t>
  </si>
  <si>
    <t>جلسه ۱۴۰۴/۰۷/۱۹ (اطلاعیه ۱۴۱۷۸۵۰)؛ جدول عضویت گزارش FY1404 ص۵۳: شفیعی ۱۴۰۳/۱۱/۱۷–۱۴۰۴/۰۷/۱۹، نائیجی از ۱۴۰۴/۰۷/۱۹</t>
  </si>
  <si>
    <t>اولین مورد REF08 خودرو</t>
  </si>
  <si>
    <t>بهینه‌سازان بهمن</t>
  </si>
  <si>
    <t>جمشید ایمانی کتک‌لاهیجانی</t>
  </si>
  <si>
    <t>اعتبار آفرین</t>
  </si>
  <si>
    <t>Cutoff ۱۴۰۳/۱۲/۲۹ از اطلاعیه ۱۳۰۶۷۴۰ (۱۴۰۳/۱۱/۲۱) و اصلاحیه ۱۳۰۸۷۴۴ پس از مجمع ۱۴۰۳/۱۱/۱۷ (تعویض کامل اشخاص حقوقی)؛ گزارش FY1404 ص۵۳ تاریخ‌های عضویت را تایید می‌کند.</t>
  </si>
  <si>
    <t>Cutoff ۱۴۰۴/۱۲/۲۹ از اطلاعیه ۱۴۱۷۸۵۰ (جلسه ۱۴۰۴/۰۷/۱۹) و گزارش FY1404 ص۵۳؛ تغییرات بعدی (۱۴۰۵/۰۲/۰۱ به بعد) پس از Cutoff است.</t>
  </si>
  <si>
    <t>4/5</t>
  </si>
  <si>
    <t>عبدالرحیم قنبریان</t>
  </si>
  <si>
    <t>گروه گسترش نفت و گاز پارسیان</t>
  </si>
  <si>
    <t>1404/09/05</t>
  </si>
  <si>
    <t>1443721</t>
  </si>
  <si>
    <t>https://www.codal.ir/Reports/Decision.aspx?LetterSerial=Lh6dCOOObOOOOOObOOOHmUIfwOOObOOOrvn9DNRQ%3d%3d&amp;rt=0&amp;let=19&amp;ct=0&amp;ft=-1</t>
  </si>
  <si>
    <t>Snapshot مبنا: TracingNo 1309386؛ Snapshot پایان: TracingNo 1443721</t>
  </si>
  <si>
    <t>Cutoff ۱۴۰۳/۱۲/۲۹ از اطلاعیه ۱۳۰۹۳۸۶ (جلسه ۱۴۰۳/۱۱/۲۹؛ پیش‌تر در آرشیو نبود)؛ تا ۱۴۰۴/۰۳/۱۱ اطلاعیه دیگری نیست.</t>
  </si>
  <si>
    <t>قنبریان از ۱۴۰۳/۱۱/۲۹ جایگزین میری لواسانی (پیش از Cutoff)</t>
  </si>
  <si>
    <t>سیدعلی نواب‌فر</t>
  </si>
  <si>
    <t>حسین سلاح‌ورزی</t>
  </si>
  <si>
    <t>بازرگانی پتروشیمی</t>
  </si>
  <si>
    <t>زنجیره: نواب‌فر→سعید کاردار (۱۴۰۴/۰۳/۱۱)→سلاح‌ورزی (۱۴۰۴/۰۹/۰۵)</t>
  </si>
  <si>
    <t>کاردار عضو میانی است و در هیچ‌یک از دو Cutoff حضور ندارد</t>
  </si>
  <si>
    <t>خدمات مدیریت هامون سپاهان</t>
  </si>
  <si>
    <t>1404/08/17</t>
  </si>
  <si>
    <t>1433411</t>
  </si>
  <si>
    <t>https://www.codal.ir/Reports/Decision.aspx?LetterSerial=wdvkPalLR21S83nLTXWEcA%3d%3d&amp;rt=0&amp;let=19&amp;ct=0&amp;ft=-1</t>
  </si>
  <si>
    <t>تغییر سمت (رئیس→عضو)</t>
  </si>
  <si>
    <t>سرمایه‌گذاری هامون سپاهان</t>
  </si>
  <si>
    <t>جلسه ۱۴۰۴/۰۸/۱۷ (اطلاعیه ۱۴۳۳۴۱۱)</t>
  </si>
  <si>
    <t>اکبر جعفری در ۱۴۰۳/۱۱/۲۹ حذف شد؛ کرسی تا ۱۴۰۴/۰۸/۱۷ بدون نماینده؛ ورود شاه‌ولدی (رئیس)</t>
  </si>
  <si>
    <t>محمدعلی سلیمانی</t>
  </si>
  <si>
    <t>بازرگانی و تجارت هامون سپاهان</t>
  </si>
  <si>
    <t>سلیمانی از ۱۴۰۳/۱۱/۲۹ (جایگزین ایجازی) پیش از Cutoff</t>
  </si>
  <si>
    <t>1/4</t>
  </si>
  <si>
    <t>Cutoff ۱۴۰۴/۱۲/۲۹ از اطلاعیه ۱۴۴۳۷۲۱ (جلسه ۱۴۰۴/۰۹/۰۵)؛ بعدی ۱۵۶۳۳۴۲ جلسه ۱۴۰۵/۰۴/۲۰ پس از Cutoff است.</t>
  </si>
  <si>
    <t>3/4</t>
  </si>
  <si>
    <t>F=خیر, E=خیر</t>
  </si>
  <si>
    <t>علی کی‌لانی</t>
  </si>
  <si>
    <t>— (عضو حقیقی مستقیم)</t>
  </si>
  <si>
    <t>1404/09/15</t>
  </si>
  <si>
    <t>1444154</t>
  </si>
  <si>
    <t>Snapshot مبنا: TracingNo 1159936؛ Snapshot پایان: TracingNo 1444154</t>
  </si>
  <si>
    <t>Cutoff ۱۴۰۳/۱۲/۲۹: ۵ عضو حقیقی مستقیم (اطلاعیه ۱۱۵۹۹۳۶؛ AGM FY1403 اطلاعیه ۱۳۸۵۲۵۳: «آخرین اعضا در سال مالی»).</t>
  </si>
  <si>
    <t>Needs Review</t>
  </si>
  <si>
    <t>عضو از ۱۴۰۰/۱۱/۰۹</t>
  </si>
  <si>
    <t>عضویت پیوسته از ۱۳۹۸/۱۲/۱۴ (اطلاعیه ۶۱۵۲۴۸) و رئیس از ۱۴۰۱/۱۲/۲۵؛ «آخرین مشاهده ۱۴۰۱/۱۲/۲۵» نادرست است: او در FY1403 و FY1404 عضو بود</t>
  </si>
  <si>
    <t>هادی اخلاقی فیض‌آثار</t>
  </si>
  <si>
    <t>حمیدرضا شریفیان</t>
  </si>
  <si>
    <t>— (خارج شده؛ کرسی بدون جایگزین)</t>
  </si>
  <si>
    <t>خروج بدون جایگزین</t>
  </si>
  <si>
    <t>نامشخص (بین ۱۴۰۳/۱۲/۳۰ و ۱۴۰۴/۰۸/۲۸)</t>
  </si>
  <si>
    <t>FY1403: حضور ۴۹/۵۰ جلسه عادی و AGM FY1403 او را عضو پایان سال می‌نامد؛ FY1404: در جدول جلسات نیست؛ اطلاعیه ۱۴۴۴۱۵۴ (جلسه ۱۴۰۴/۰۸/۲۸) او را ندارد</t>
  </si>
  <si>
    <t>تاریخ و علت خروج در هیچ سند کدالی یافت نشد؛ اطلاعیه اولیه ۱۴۴۳۰۷۸ (جلسه ۱۴۰۴/۰۹/۰۱) هنوز او را دارد (تناقض)</t>
  </si>
  <si>
    <t>سیدمهدی حسینی دولت‌آبادی</t>
  </si>
  <si>
    <t>عضو از ۱۴۰۲/۱۱/۳۰</t>
  </si>
  <si>
    <t>Cutoff ۱۴۰۴/۱۲/۲۹: ۴ عضو (اطلاعیه اصلاحی ۱۴۴۴۱۵۴ و جدول جلسات گزارش FY1404 ۱۵۷۳۰۳۲).</t>
  </si>
  <si>
    <t>N/A تایید شد</t>
  </si>
  <si>
    <t>REF05/REF08/ROB_*</t>
  </si>
  <si>
    <t>خارج از مخرج (SEAT_LEVEL_ONLY)</t>
  </si>
  <si>
    <t>Not Found (بدون تغییر عدد)</t>
  </si>
  <si>
    <t>۵ شخص حقوقی: تأمین اجتماعی، مادر تخصصی بازرگانی→تأمین اندیش رفاه پردیس، صبا تأمین، صندوق بازنشستگی کشوری→آتیه صبا، استان گیلان→سیستان و بلوچستان</t>
  </si>
  <si>
    <t>فاقد نماینده</t>
  </si>
  <si>
    <t>تغییر ۳ شخص حقوقی در جلسه ۱۴۰۴/۰۸/۱۲ (مجمع ۱۴۰۴/۰۷/۱۵)</t>
  </si>
  <si>
    <t>1404/08/12</t>
  </si>
  <si>
    <t>1404/08/18</t>
  </si>
  <si>
    <t>1433770</t>
  </si>
  <si>
    <t>در اطلاعیه ۱۴۳۳۷۷۰، ۱۳۱۰۲۱۰، ۱۱۵۴۵۰۵، AGM ۱۴۱۵۷۰۸، گزارش‌های فعالیت (ص۸۷) و صورتجلسه مجمع پیوست، نام نماینده حقیقی ثبت نشده</t>
  </si>
  <si>
    <t>جستجوی کامل Type19 ۱۴۰۱–۱۴۰۵، گزارش‌های فعالیت دو سال، تصمیمات AGM و صورتجلسه‌های پیوست انجام شد؛ ورود دست‌ساز مجاز نیست</t>
  </si>
  <si>
    <t>Not Found</t>
  </si>
  <si>
    <t>سند لازم: صورتجلسه هیئت مدیره تعیین سمت با نام نمایندگان، یا صفحه رسمی هیئت مدیره در سایت کشتیرانی (irisl.net)؛ دسترسی از محیط اجرا مسدود بود</t>
  </si>
  <si>
    <t>REF05 و سایر</t>
  </si>
  <si>
    <t>— (اعضای حقیقی مستقیم)</t>
  </si>
  <si>
    <t>اعضای هیئت مدیره FY1403: ۷ نفر در گزارش سالانه (مجمع ۱۴۰۲/۰۴/۲۸) اما ۵ نفر در تصمیمات مجمع ۱۴۰۴/۰۶/۱۷</t>
  </si>
  <si>
    <t>گزارش فعالیت هیئت مدیره منتهی به ۱۴۰۳/۱۲/۳۰ (بانک پاسارگاد)</t>
  </si>
  <si>
    <t>1404/06/16</t>
  </si>
  <si>
    <t>1396276</t>
  </si>
  <si>
    <t>اطلاعیه ن-۴۵ از ۱۴۰۲/۰۴/۰۵ به بعد وجود ندارد؛ گزارش فعالیت FY1404 منتشر نشده؛ AGM ۱۴۰۵/۰۴/۳۱ (۱۵۷۳۳۳۷) بدون حد نصاب (۱۴٫۲۱٪)؛ گزارش FY1403 اسکن تصویری است</t>
  </si>
  <si>
    <t>نه Snapshot پایان (۱۴۰۴/۱۲/۲۹) و نه خروج/ورود اعضا بین ۷ و ۵ نفر قابل اثبات است</t>
  </si>
  <si>
    <t>سند لازم: گزارش فعالیت هیئت مدیره FY1404 یا اطلاعیه ن-۴۵ تغییر ترکیب یا صورتجلسه مجمع ۱۴۰۴ با فهرست اعضا؛ ثبت دستی ردیف FY1403 (۷ نفر) با خوانش تصویر جدول انجام شد ولی با AGM هم‌خوان نیست</t>
  </si>
  <si>
    <t>جمع‌بندی نهایی Turnover Resolution — v38</t>
  </si>
  <si>
    <t>مقادیر به‌صورت صورت/مخرج؛ Missing به صفر تبدیل نشده است.</t>
  </si>
  <si>
    <t>مسئله اولیه</t>
  </si>
  <si>
    <t>متغیر مرتبط</t>
  </si>
  <si>
    <t>مقدار نهایی</t>
  </si>
  <si>
    <t>خلاصه دلیل تغییر</t>
  </si>
  <si>
    <t>نیاز به بررسی بیشتر</t>
  </si>
  <si>
    <t>Turnover نیازمند بازبینی منبع؛ Snapshot ناهمتراز</t>
  </si>
  <si>
    <t>حل شد (Confirmed)</t>
  </si>
  <si>
    <t>REF05 / REF08 / ROB_LEGAL / ROB_NEW / ROB_STABILITY / چرخش رئیس</t>
  </si>
  <si>
    <t>REF05 2/5 ؛ REF08 2/4 ؛ NEW 2/5</t>
  </si>
  <si>
    <t>REF05 3/5 ؛ REF08 3/5 ؛ NEW 3/5</t>
  </si>
  <si>
    <t>1311653 → 1477918</t>
  </si>
  <si>
    <t>مبنا ۱۴۰۳/۱۲/۲۹ با اطلاعیه‌های ۱۴۰۳/۱۰/۲۳ و ۱۴۰۳/۱۲/۰۴ بازسازی شد؛ ۳ تغییر نماینده (شستا، صبا، دارویی)؛ رئیس تغییر کرد</t>
  </si>
  <si>
    <t>ممیزی Turnover؛ شک به تغییر سمت/انتخاب مجدد</t>
  </si>
  <si>
    <t>REF05 0/4 ؛ REF08 0/4 ؛ NEW 1/5</t>
  </si>
  <si>
    <t>REF05 2/4 ؛ REF08 2/4 ؛ NEW 3/5</t>
  </si>
  <si>
    <t>1287746 → 1473973</t>
  </si>
  <si>
    <t>گزارش FY1403 پس از Cutoff بود؛ با Type19 ۱۴۰۳/۱۰/۰۵ دو تغییر نماینده (امید، سپه) آشکار شد؛ کرسی خوزستان خالی→پر شد</t>
  </si>
  <si>
    <t>ساختار کرسی‌های حقوقی و Q=7</t>
  </si>
  <si>
    <t>حل شد (High)</t>
  </si>
  <si>
    <t>REF05 0/5 ؛ REF08 Missing/N/A ؛ NEW 2/7</t>
  </si>
  <si>
    <t>REF05 2/5 ؛ REF08 2/5 ؛ NEW 2/5</t>
  </si>
  <si>
    <t>1288275 → 1443940</t>
  </si>
  <si>
    <t>۵ کرسی حقوقی؛ ۲ تغییر نماینده (دریابان، صنعتی و بازرگانی غدیر)؛ مجمع ۱۴۰۴/۱۰/۲۳ تا Cutoff عملیاتی نشد</t>
  </si>
  <si>
    <t>خیر (حساسیت: مجمع ۱۴۰۴/۱۰/۲۳)</t>
  </si>
  <si>
    <t>ساختار کرسی حقوقی و تاریخ ترک‌تبریزی</t>
  </si>
  <si>
    <t>ساختار حل شد؛ مقدار حفظ؛ Needs Review (تاریخ خروج)</t>
  </si>
  <si>
    <t>REF05 1/5 ؛ REF08 Missing/N/A ؛ NEW 0/4</t>
  </si>
  <si>
    <t>REF05 1/5 ؛ REF08 N/A ؛ NEW 0/4</t>
  </si>
  <si>
    <t>1159936 → 1444154 / 1573032</t>
  </si>
  <si>
    <t>۵ عضو حقیقی مستقیم؛ خروج شریفیان بدون جایگزین؛ تاریخ خروج مستند نیست؛ ترک‌تبریزی عضو پیوسته از ۱۳۹۸/۱۲/۱۴</t>
  </si>
  <si>
    <t>بله: سند خروج شریفیان</t>
  </si>
  <si>
    <t>عضو جدید/Turnover (P&lt;G)</t>
  </si>
  <si>
    <t>REF05 2/5 ؛ REF08 2/4 ؛ NEW 0/5</t>
  </si>
  <si>
    <t>REF05 2/5 ؛ REF08 2/4 ؛ NEW 1/5</t>
  </si>
  <si>
    <t>1171265 → 1527389</t>
  </si>
  <si>
    <t>P&lt;G ناشی از جابه‌جایی دو نماینده (مشروع)؛ ورود معینی ۱۴۰۴/۱۲/۲۵ → P=1؛ رئیس تغییر کرد</t>
  </si>
  <si>
    <t>خیر (حساسیت انتشار پس از Cutoff)</t>
  </si>
  <si>
    <t>عضو جدید و جابه‌جایی کرسی</t>
  </si>
  <si>
    <t>حل شد (Confirmed؛ بدون تغییر)</t>
  </si>
  <si>
    <t>REF05 3/5 ؛ REF08 3/5 ؛ NEW 2/5</t>
  </si>
  <si>
    <t>1295938 → 1386511</t>
  </si>
  <si>
    <t>زنجیره کامل مقادیر v35 را تایید کرد؛ P&lt;G ناشی از انتقال پرویزیان</t>
  </si>
  <si>
    <t>REF08 ناقص</t>
  </si>
  <si>
    <t>REF05 1/5 ؛ REF08 Missing/N/A ؛ NEW 1/5</t>
  </si>
  <si>
    <t>REF05 1/5 ؛ REF08 1/5 ؛ NEW 1/5</t>
  </si>
  <si>
    <t>1306740 → 1417850 + گزارش FY1404 ص۵۳</t>
  </si>
  <si>
    <t>نائیجی جایگزین شفیعی در ۱۴۰۴/۰۷/۱۹ (کرسی گنجینه ایرانیان) → REF08 = ۱ از ۵</t>
  </si>
  <si>
    <t>نبود داده ۱۴۰۴</t>
  </si>
  <si>
    <t>حل نشد (Not Found)</t>
  </si>
  <si>
    <t>بدون مقدار</t>
  </si>
  <si>
    <t>Not Found (بدون مقدار)</t>
  </si>
  <si>
    <t>1396276 / 1401549 / 1573337</t>
  </si>
  <si>
    <t>اطلاعیه ن-۴۵ و گزارش FY1404 وجود ندارد؛ AGM FY1404 بدون حد نصاب؛ پایه FY1403 ناسازگار</t>
  </si>
  <si>
    <t>بله: گزارش FY1404/ن-۴۵</t>
  </si>
  <si>
    <t>نبود نماینده‌های حقیقی</t>
  </si>
  <si>
    <t>1433770 / 1310210</t>
  </si>
  <si>
    <t>در تمام اسناد کدال نماینده‌ها «فاقد نماینده»اند</t>
  </si>
  <si>
    <t>بله: صورتجلسه با نام نمایندگان</t>
  </si>
  <si>
    <t>نبود داده سال قبل</t>
  </si>
  <si>
    <t>REF05 Missing/N/A ؛ REF08 Missing/N/A ؛ NEW Missing/N/A</t>
  </si>
  <si>
    <t>REF05 1/4 ؛ REF08 1/4 ؛ NEW 2/5</t>
  </si>
  <si>
    <t>1309386 → 1443721</t>
  </si>
  <si>
    <t>اطلاعیه ۱۴۰۳/۱۱/۲۹ یافت شد؛ سه تغییر در پنجره؛ ۱ تغییر نماینده + ورود در کرسی خالی</t>
  </si>
  <si>
    <t>بازسازی سطح کرسی/عضو — v38</t>
  </si>
  <si>
    <t>هر کرسی در دو Cutoff؛ تاریخ مؤثر از تاریخ انتشار جدا شده است.</t>
  </si>
  <si>
    <t>Snapshot</t>
  </si>
  <si>
    <t>شخص حقوقی دارنده کرسی</t>
  </si>
  <si>
    <t>نماینده حقیقی</t>
  </si>
  <si>
    <t>سمت</t>
  </si>
  <si>
    <t>تاریخ انتصاب/موثر</t>
  </si>
  <si>
    <t>تاریخ معرفی (انتشار اطلاعیه)</t>
  </si>
  <si>
    <t>تاریخ اولین مشاهده معتبر</t>
  </si>
  <si>
    <t>تاریخ آخرین مشاهده معتبر</t>
  </si>
  <si>
    <t>وضعیت ادامه عضویت</t>
  </si>
  <si>
    <t>وضعیت خروج</t>
  </si>
  <si>
    <t>وضعیت ورود</t>
  </si>
  <si>
    <t>تاریخ منبع</t>
  </si>
  <si>
    <t>لینک</t>
  </si>
  <si>
    <t>ابهام</t>
  </si>
  <si>
    <t>Cutoff 1403/12/29</t>
  </si>
  <si>
    <t>نایب رئیس (موظف)</t>
  </si>
  <si>
    <t>پیش از Cutoff 1403/12/29 یا نامشخص</t>
  </si>
  <si>
    <t>1403/12/04</t>
  </si>
  <si>
    <t>در Type19 مذکور</t>
  </si>
  <si>
    <t>خروج/جایگزینی 1404/06/26</t>
  </si>
  <si>
    <t>1311653</t>
  </si>
  <si>
    <t>https://www.codal.ir/Reports/Decision.aspx?LetterSerial=QijK3OnJnjtoOOObOOOYV1GqeqyQ%3d%3d&amp;rt=2&amp;let=19&amp;ct=0&amp;ft=-1</t>
  </si>
  <si>
    <t>تاریخ گزارش به‌عنوان تاریخ انتصاب فرض نشد؛ نماینده قبلی در ۱۴۰۴/۰۱/۲۳ حذف شد (اطلاعیه ۱۳۳۳۹۷۲) و کرسی تا ۱۴۰۴/۰۶/۲۶ بدون نماینده بود؛ مقایسه Cutoff-to-Cutoff تغییر نماینده است</t>
  </si>
  <si>
    <t>Cutoff 1404/12/29</t>
  </si>
  <si>
    <t>نایب رئیس و مدیرعامل (موظف)</t>
  </si>
  <si>
    <t>ورود 1404/06/26</t>
  </si>
  <si>
    <t>عضو (غیرموظف)</t>
  </si>
  <si>
    <t>خروج/جایگزینی 1404/05/01</t>
  </si>
  <si>
    <t>تاریخ گزارش به‌عنوان تاریخ انتصاب فرض نشد</t>
  </si>
  <si>
    <t>ورود 1404/05/01</t>
  </si>
  <si>
    <t>ادامه تا Cutoff بعد</t>
  </si>
  <si>
    <t>تاریخ گزارش به‌عنوان تاریخ انتصاب فرض نشد؛ رحمتی از ۱۴۰۳/۱۲/۰۴ نماینده این کرسی است (جایگزین علی سیفیان) یعنی پیش از Cutoff مبنا</t>
  </si>
  <si>
    <t>رئیس هیئت مدیره (غیرموظف)</t>
  </si>
  <si>
    <t>ادامه</t>
  </si>
  <si>
    <t>تاریخ گزارش به‌عنوان تاریخ انتصاب فرض نشد؛ سمت میانی نایب رئیس (۱۴۰۴/۰۵/۰۱ تا ۱۴۰۴/۰۶/۲۶)؛ فقط تغییر سمت</t>
  </si>
  <si>
    <t>تاریخ گزارش به‌عنوان تاریخ انتصاب فرض نشد؛ ربیعی رئیس بود؛ رئیس هیئت مدیره از ربیعی به رحمتی تغییر کرد</t>
  </si>
  <si>
    <t>1403/10/05</t>
  </si>
  <si>
    <t>خروج/جایگزینی 1404/02/24</t>
  </si>
  <si>
    <t>1287746</t>
  </si>
  <si>
    <t>https://www.codal.ir/Reports/Decision.aspx?LetterSerial=v9VDr2f0BIJNqKEnWy6Rug%3d%3d&amp;rt=0&amp;let=19&amp;ct=0&amp;ft=-1</t>
  </si>
  <si>
    <t>تاریخ گزارش به‌عنوان تاریخ انتصاب فرض نشد؛ تغییر رئیس هیئت مدیره (صلاحی→تابش)</t>
  </si>
  <si>
    <t>ورود 1404/02/24</t>
  </si>
  <si>
    <t>عضو و مدیرعامل (موظف)</t>
  </si>
  <si>
    <t>تاریخ گزارش به‌عنوان تاریخ انتصاب فرض نشد؛ نسخه اولیه ۱۳۴۳۲۳۷ به اشتباه «فاقد نماینده» داشت؛ اصلاحیه ۱۳۴۵۷۹۸ نماینده را حفظ کرد</t>
  </si>
  <si>
    <t>تاریخ گزارش به‌عنوان تاریخ انتصاب فرض نشد؛ دهقانان از ۱۴۰۴/۰۲/۲۴ تا ۱۴۰۴/۱۰/۲۹ نایب رئیس بود و سپس به عضو بازگشت (فقط سمت)؛ انتخاب مجدد اشخاص حقوقی مجمع ۱۴۰۴/۰۵/۰۶ عضو جدید نیست</t>
  </si>
  <si>
    <t>عضو (موظف)</t>
  </si>
  <si>
    <t>تاریخ گزارش به‌عنوان تاریخ انتصاب فرض نشد؛ آقاپور از ۱۴۰۳/۰۹/۲۶ نماینده است (پیش از Cutoff مبنا)</t>
  </si>
  <si>
    <t>عضو</t>
  </si>
  <si>
    <t>خروج/جایگزینی 1404/05/06</t>
  </si>
  <si>
    <t>تاریخ گزارش به‌عنوان تاریخ انتصاب فرض نشد؛ نماینده قبلی محمدرضا بابائی دره در ۱۴۰۳/۰۹/۰۴ حذف شد؛ کرسی تا ۱۴۰۴/۰۵/۲۰ بدون نماینده؛ خدایار کریم‌نژاد عضو موقت میانی است و در هیچ‌یک از دو Cutoff حضور ندارد</t>
  </si>
  <si>
    <t>نایب رئیس (غیرموظف)</t>
  </si>
  <si>
    <t>ورود 1404/05/06</t>
  </si>
  <si>
    <t>1288275</t>
  </si>
  <si>
    <t>https://www.codal.ir/Reports/Decision.aspx?LetterSerial=DsOgAmOOObOOOXCBilD6gqB1SIaw%3d%3d&amp;rt=2&amp;let=19&amp;ct=0&amp;ft=-1</t>
  </si>
  <si>
    <t>تاریخ گزارش به‌عنوان تاریخ انتصاب فرض نشد؛ جایگزین اسماعیل قنبری از ۱۴۰۳/۰۲/۱۴ (اطلاعیه ۱۱۹۰۰۲۲)؛ پیش از Cutoff مبنا</t>
  </si>
  <si>
    <t>تاریخ گزارش به‌عنوان تاریخ انتصاب فرض نشد؛ مجمع ۱۴۰۴/۱۰/۲۳ این نهاد (و دریابان) را حذف و «سرمایه‌گذاری زرین پرشیا» و «گروه مالی نماد غدیر» را وارد کرد؛ نمایندگان فقط در جلسه ۱۴۰۵/۰۲/۰۸ (پس از Cutoff، اطلاعیه ۱۵۱۵۷۴۴/۱۵۱۵۸۱۳/۱۵۵۱۴۶۳) ثبت شدند</t>
  </si>
  <si>
    <t>1402/12/28</t>
  </si>
  <si>
    <t>1171265</t>
  </si>
  <si>
    <t>https://www.codal.ir/Reports/Decision.aspx?LetterSerial=SZoueUaBHVA%2bs%2bgcP%2bwj4A%3d%3d&amp;rt=0&amp;let=19&amp;ct=0&amp;ft=-1</t>
  </si>
  <si>
    <t>تاریخ گزارش به‌عنوان تاریخ انتصاب فرض نشد؛ شخص حقوقی صاحب کرسی تغییر کرد؛ نماینده (دیداری) ثابت ماند؛ رئیس بودن او تا ۱۴۰۴/۱۲/۲۵ ادامه داشت</t>
  </si>
  <si>
    <t>خروج/جایگزینی 1404/06/04</t>
  </si>
  <si>
    <t>تاریخ گزارش به‌عنوان تاریخ انتصاب فرض نشد؛ جابه‌جایی همان دو فرد بین کرسی‌ها؛ عضو جدید نیست</t>
  </si>
  <si>
    <t>ورود 1404/06/04</t>
  </si>
  <si>
    <t>تاریخ گزارش به‌عنوان تاریخ انتصاب فرض نشد؛ تغییر رئیس هیئت مدیره (دیداری→سیاهکارزاده)</t>
  </si>
  <si>
    <t>خروج/جایگزینی 1404/12/25</t>
  </si>
  <si>
    <t>تاریخ گزارش به‌عنوان تاریخ انتصاب فرض نشد؛ زنجیره: اکبری→نجفی (۱۴۰۴/۰۶/۰۴)→معینی (۱۴۰۴/۱۲/۲۵)؛ معینی تنها عضو جدید</t>
  </si>
  <si>
    <t>ورود 1404/12/25</t>
  </si>
  <si>
    <t>رئیس (غیرموظف)</t>
  </si>
  <si>
    <t>1403/11/03</t>
  </si>
  <si>
    <t>خروج/جایگزینی 1404/02/08</t>
  </si>
  <si>
    <t>1295938</t>
  </si>
  <si>
    <t>ورود 1404/02/08</t>
  </si>
  <si>
    <t>تاریخ گزارش به‌عنوان تاریخ انتصاب فرض نشد؛ بهرامی از ۱۴۰۳/۱۱/۰۳ (جایگزین سهیل‌نژاد) پیش از Cutoff</t>
  </si>
  <si>
    <t>تاریخ گزارش به‌عنوان تاریخ انتصاب فرض نشد؛ پرویزیان از کرسی رنا به کرسی سازمان مدیریت صنعتی رفت؛ عضو جدید نیست (P&lt;G مشروع)</t>
  </si>
  <si>
    <t>1403/11/21</t>
  </si>
  <si>
    <t>1306740</t>
  </si>
  <si>
    <t>https://www.codal.ir/Reports/Decision.aspx?LetterSerial=gVTCoHYs1M0v5mNrsaCDkA%3d%3d&amp;rt=0&amp;let=19&amp;ct=0&amp;ft=-1</t>
  </si>
  <si>
    <t>تاریخ گزارش به‌عنوان تاریخ انتصاب فرض نشد؛ تا ۱۴۰۵/۰۳/۱۹ در هیئت مدیره (پس از Cutoff)</t>
  </si>
  <si>
    <t>عضو (موظف/غیرموظف)</t>
  </si>
  <si>
    <t>خروج/جایگزینی 1404/07/19</t>
  </si>
  <si>
    <t>تاریخ گزارش به‌عنوان تاریخ انتصاب فرض نشد؛ اولین مورد REF08 خودرو</t>
  </si>
  <si>
    <t>ورود 1404/07/19</t>
  </si>
  <si>
    <t>1403/11/29</t>
  </si>
  <si>
    <t>1309386</t>
  </si>
  <si>
    <t>https://www.codal.ir/Reports/Decision.aspx?LetterSerial=C4XsKe3dMCJ7F1MqOaUJBw%3d%3d&amp;rt=0&amp;let=19&amp;ct=0&amp;ft=-1</t>
  </si>
  <si>
    <t>تاریخ گزارش به‌عنوان تاریخ انتصاب فرض نشد؛ قنبریان از ۱۴۰۳/۱۱/۲۹ جایگزین میری لواسانی (پیش از Cutoff)</t>
  </si>
  <si>
    <t>خروج/جایگزینی 1404/09/05</t>
  </si>
  <si>
    <t>تاریخ گزارش به‌عنوان تاریخ انتصاب فرض نشد؛ کاردار عضو میانی است و در هیچ‌یک از دو Cutoff حضور ندارد</t>
  </si>
  <si>
    <t>ورود 1404/09/05</t>
  </si>
  <si>
    <t>خروج/جایگزینی 1404/08/17</t>
  </si>
  <si>
    <t>تاریخ گزارش به‌عنوان تاریخ انتصاب فرض نشد؛ اکبر جعفری در ۱۴۰۳/۱۱/۲۹ حذف شد؛ کرسی تا ۱۴۰۴/۰۸/۱۷ بدون نماینده؛ ورود شاه‌ولدی (رئیس)</t>
  </si>
  <si>
    <t>ورود 1404/08/17</t>
  </si>
  <si>
    <t>تاریخ گزارش به‌عنوان تاریخ انتصاب فرض نشد؛ سلیمانی از ۱۴۰۳/۱۱/۲۹ (جایگزین ایجازی) پیش از Cutoff</t>
  </si>
  <si>
    <t>1402/12/08</t>
  </si>
  <si>
    <t>1159936</t>
  </si>
  <si>
    <t>https://www.codal.ir/Reports/Decision.aspx?LetterSerial=OqEx%2bg3X3xQQQaQQQ1V8FTa1bU9w%3d%3d&amp;rt=3&amp;let=19&amp;ct=0&amp;ft=-1</t>
  </si>
  <si>
    <t>تاریخ گزارش به‌عنوان تاریخ انتصاب فرض نشد؛ عضو از ۱۴۰۰/۱۱/۰۹</t>
  </si>
  <si>
    <t>رئیس (موظف)</t>
  </si>
  <si>
    <t>تاریخ گزارش به‌عنوان تاریخ انتصاب فرض نشد؛ عضویت پیوسته از ۱۳۹۸/۱۲/۱۴ (اطلاعیه ۶۱۵۲۴۸) و رئیس از ۱۴۰۱/۱۲/۲۵؛ «آخرین مشاهده ۱۴۰۱/۱۲/۲۵» نادرست است: او در FY1403 و FY1404 عضو بود</t>
  </si>
  <si>
    <t>خروج/جایگزینی نامشخص (بین ۱۴۰۳/۱۲/۳۰ و ۱۴۰۴/۰۸/۲۸)</t>
  </si>
  <si>
    <t>تاریخ گزارش به‌عنوان تاریخ انتصاب فرض نشد؛ تاریخ و علت خروج در هیچ سند کدالی یافت نشد؛ اطلاعیه اولیه ۱۴۴۳۰۷۸ (جلسه ۱۴۰۴/۰۹/۰۱) هنوز او را دارد (تناقض)</t>
  </si>
  <si>
    <t>ورود نامشخص (بین ۱۴۰۳/۱۲/۳۰ و ۱۴۰۴/۰۸/۲۸)</t>
  </si>
  <si>
    <t>تاریخ گزارش به‌عنوان تاریخ انتصاب فرض نشد؛ عضو از ۱۴۰۲/۱۱/۳۰</t>
  </si>
  <si>
    <t>نام نماینده در هیچ سند کدال ثبت نشده</t>
  </si>
  <si>
    <t>Snapshot ۱۴۰۴/۱۲/۲۹ مستند نیست</t>
  </si>
  <si>
    <t>فهرست سلول‌های تغییرداده‌شده نسبت به v37</t>
  </si>
  <si>
    <t>تعداد سلول‌های تغییر یافته در برگه‌های موجود: 141. برگه‌های جدید جداگانه شمرده نمی‌شوند.</t>
  </si>
  <si>
    <t>سلول</t>
  </si>
  <si>
    <t>مقدار v37</t>
  </si>
  <si>
    <t>مقدار v38</t>
  </si>
  <si>
    <t>G5</t>
  </si>
  <si>
    <t>2</t>
  </si>
  <si>
    <t>3</t>
  </si>
  <si>
    <t>J5</t>
  </si>
  <si>
    <t>K5</t>
  </si>
  <si>
    <t>4</t>
  </si>
  <si>
    <t>5</t>
  </si>
  <si>
    <t>N5</t>
  </si>
  <si>
    <t>P5</t>
  </si>
  <si>
    <t>S5</t>
  </si>
  <si>
    <t>V5</t>
  </si>
  <si>
    <t>C5</t>
  </si>
  <si>
    <t>D5</t>
  </si>
  <si>
    <t>X5</t>
  </si>
  <si>
    <t>نیازمند بازبینی منبع</t>
  </si>
  <si>
    <t>Z5</t>
  </si>
  <si>
    <t>Iran_BSI_v33_Phase4_2K_FinalTurnoverClosure.xlsx | برگه های گردش اشخاص حقیقی، تغییر نمایند</t>
  </si>
  <si>
    <t>AA5</t>
  </si>
  <si>
    <t>https://www.codal.ir/Reports/Decision.aspx?LetterSerial=QijK3OnJnjtoOOObOOOYV1GqeqyQ%3d%3d</t>
  </si>
  <si>
    <t>W5</t>
  </si>
  <si>
    <t>تایید قبلی | v36: NEEDS_SOURCE_REVIEW (≥۳ عضو پس از Cutoff FY1403؛ Snapshot ناهمتراز)</t>
  </si>
  <si>
    <t>v38: جدول مبنای ۱۴۰۳/۱۲/۲۹ از اطلاعیه ۱۳۱۱۶۵۳ (۱۴۰۳/۱۲/۰۴) و ۱۲۹۴۹۹۵ (۱۴۰۳/۱۰/۲۳) و اطلاعی</t>
  </si>
  <si>
    <t>G20</t>
  </si>
  <si>
    <t>0</t>
  </si>
  <si>
    <t>J20</t>
  </si>
  <si>
    <t>P20</t>
  </si>
  <si>
    <t>1</t>
  </si>
  <si>
    <t>S20</t>
  </si>
  <si>
    <t>V20</t>
  </si>
  <si>
    <t>D20</t>
  </si>
  <si>
    <t>X20</t>
  </si>
  <si>
    <t>Z20</t>
  </si>
  <si>
    <t>SRC_KCHD_1403_001 | گزارش فعالیت هیئت مدیره | ۱۴۰۳ | ۴ | Snapshot مبنا برای ۱۴۰۳ و ثبت صری</t>
  </si>
  <si>
    <t>AA20</t>
  </si>
  <si>
    <t>https://www.codal.ir/Reports/Attachment.aspx?LetterSerial=RjOGt7pH1eRnl2ioIPNqDg%3d%3d
htt</t>
  </si>
  <si>
    <t>https://www.codal.ir/Reports/Decision.aspx?LetterSerial=v9VDr2f0BIJNqKEnWy6Rug%3d%3d&amp;rt=0&amp;</t>
  </si>
  <si>
    <t>W20</t>
  </si>
  <si>
    <t>یک کرسی خالی از مخرج Turnover حذف شد | v36: NEEDS_SOURCE_REVIEW (K≠N−M)</t>
  </si>
  <si>
    <t xml:space="preserve">v38: Cutoff ۱۴۰۳/۱۲/۲۹ از اطلاعیه ۱۲۸۷۷۴۶ (جلسه ۱۴۰۳/۰۹/۲۶) و اصلاحیه‌های ۱۲۷۴۸۱۰/۱۲۷۵۲۳۴ </t>
  </si>
  <si>
    <t>G22</t>
  </si>
  <si>
    <t>J22</t>
  </si>
  <si>
    <t>K22</t>
  </si>
  <si>
    <t>M22</t>
  </si>
  <si>
    <t>Q22</t>
  </si>
  <si>
    <t>7</t>
  </si>
  <si>
    <t>S22</t>
  </si>
  <si>
    <t>F22</t>
  </si>
  <si>
    <t>D22</t>
  </si>
  <si>
    <t>X22</t>
  </si>
  <si>
    <t>Z22</t>
  </si>
  <si>
    <t>SRC_PRSN_1403_001 | گزارش فعالیت هیئت مدیره | ۱۴۰۳ | ۵۰ | Snapshot مبنا برای ۱۴۰۳
SRC_PRSN</t>
  </si>
  <si>
    <t>AA22</t>
  </si>
  <si>
    <t>https://www.codal.ir/Reports/Attachment.aspx?LetterSerial=Pzx8AUWEOOObOOOMcLjZdiSXNAoA%3d%</t>
  </si>
  <si>
    <t>https://www.codal.ir/Reports/Decision.aspx?LetterSerial=DsOgAmOOObOOOXCBilD6gqB1SIaw%3d%3d</t>
  </si>
  <si>
    <t>W22</t>
  </si>
  <si>
    <t>ساختار شخص حقوقی برای این Measure قابل اعمال نبود | v36: NEEDS_SOURCE_REVIEW (Q=7 در برابر</t>
  </si>
  <si>
    <t xml:space="preserve">v38: Cutoff ۱۴۰۳/۱۲/۲۹ از اطلاعیه ۱۲۸۸۲۷۵ (۱۴۰۳/۱۰/۰۵) و ۱۳۲۷۵۲۲ (۱۴۰۴/۰۱/۱۸، به‌روزرسانی </t>
  </si>
  <si>
    <t>P24</t>
  </si>
  <si>
    <t>V24</t>
  </si>
  <si>
    <t>D24</t>
  </si>
  <si>
    <t>X24</t>
  </si>
  <si>
    <t>Z24</t>
  </si>
  <si>
    <t>SRC_JAM_1404_002 | گزارش فعالیت هیئت مدیره | ۱۴۰۳ | ۳۵ | Snapshot مبنا برای ۱۴۰۳
SRC_JAM_1</t>
  </si>
  <si>
    <t>AA24</t>
  </si>
  <si>
    <t>https://www.codal.ir/Reports/Attachment.aspx?LetterSerial=7DOfnJSrljlS4F1ZUoECfA%3d%3d
htt</t>
  </si>
  <si>
    <t>https://www.codal.ir/Reports/Decision.aspx?LetterSerial=SZoueUaBHVA%2bs%2bgcP%2bwj4A%3d%3d</t>
  </si>
  <si>
    <t>W24</t>
  </si>
  <si>
    <t>گزارش سالانه ۱۴۰۴ به دلیل اطلاعات پس از Cutoff مبنا نشد | v36: NEEDS_SOURCE_REVIEW (P&lt;G)</t>
  </si>
  <si>
    <t>v38: Cutoff ۱۴۰۳/۱۲/۲۹: اطلاعیه ۱۱۷۱۲۶۵ (۱۴۰۲/۱۲/۲۸: اکبری جایگزین قنبریان) + گزارش FY1403</t>
  </si>
  <si>
    <t>D27</t>
  </si>
  <si>
    <t>X27</t>
  </si>
  <si>
    <t>Z27</t>
  </si>
  <si>
    <t>SRC_KHSP_1404_002 | افشای نوع ۱۹ | ۱۴۰۳ | ۱ | Snapshot مبنا ۱۴۰۳
SRC_KHSP_1404_004 | افشای</t>
  </si>
  <si>
    <t>AA27</t>
  </si>
  <si>
    <t>https://www.codal.ir/Reports/Decision.aspx?LetterSerial=0rlsOOObOOOEFaa9IMoCD90IUbxA%3d%3d</t>
  </si>
  <si>
    <t>W27</t>
  </si>
  <si>
    <t>جابجایی یک فرد میان دو کرسی حقوقی از عضو جدید تفکیک شد | v36: NEEDS_SOURCE_REVIEW (P&lt;G)</t>
  </si>
  <si>
    <t>v38: Cutoff ۱۴۰۳/۱۲/۲۹ از اطلاعیه ۱۲۹۵۹۳۸ (۱۴۰۳/۱۱/۰۳)؛ تاریخ‌های انتصاب گزارش‌های FY1403/</t>
  </si>
  <si>
    <t>J7</t>
  </si>
  <si>
    <t>K7</t>
  </si>
  <si>
    <t>M7</t>
  </si>
  <si>
    <t>N7</t>
  </si>
  <si>
    <t>C7</t>
  </si>
  <si>
    <t>D7</t>
  </si>
  <si>
    <t>X7</t>
  </si>
  <si>
    <t>REF05 اصلاح و تایید شده؛ REF08 نیازمند بازبینی</t>
  </si>
  <si>
    <t>Z7</t>
  </si>
  <si>
    <t>Iran_BSI_v33_Phase4_2K_FinalTurnoverClosure.xlsx | روش MEMBERSHIP_START_RECONSTRUCTION و ب</t>
  </si>
  <si>
    <t>AA7</t>
  </si>
  <si>
    <t>https://www.codal.ir/Reports/Decision.aspx?LetterSerial=gVTCoHYs1M0v5mNrsaCDkA%3d%3d&amp;rt=0&amp;</t>
  </si>
  <si>
    <t>W7</t>
  </si>
  <si>
    <t>بازسازی از تاریخ شروع عضویت؛ محدودیت روش حفظ شد | v36: G=1/5 طبق SRC_IKCO_1404_001_origina</t>
  </si>
  <si>
    <t>v38: Cutoff ۱۴۰۳/۱۲/۲۹ از اطلاعیه ۱۳۰۶۷۴۰ (۱۴۰۳/۱۱/۲۱) و اصلاحیه ۱۳۰۸۷۴۴ پس از مجمع ۱۴۰۳/۱</t>
  </si>
  <si>
    <t>G33</t>
  </si>
  <si>
    <t>H33</t>
  </si>
  <si>
    <t>J33</t>
  </si>
  <si>
    <t>K33</t>
  </si>
  <si>
    <t>M33</t>
  </si>
  <si>
    <t>P33</t>
  </si>
  <si>
    <t>Q33</t>
  </si>
  <si>
    <t>S33</t>
  </si>
  <si>
    <t>T33</t>
  </si>
  <si>
    <t>V33</t>
  </si>
  <si>
    <t>F33</t>
  </si>
  <si>
    <t>E33</t>
  </si>
  <si>
    <t>C33</t>
  </si>
  <si>
    <t>D33</t>
  </si>
  <si>
    <t>X33</t>
  </si>
  <si>
    <t>Z33</t>
  </si>
  <si>
    <t>Iran_BSI_v33_Phase4_2K_FinalTurnoverClosure.xlsx | وضعیت ۳۰ شرکت | سند FY1403 برای تطبیق د</t>
  </si>
  <si>
    <t>AA33</t>
  </si>
  <si>
    <t>https://www.codal.ir/Reports/Decision.aspx?LetterSerial=C4XsKe3dMCJ7F1MqOaUJBw%3d%3d&amp;rt=0&amp;</t>
  </si>
  <si>
    <t>W33</t>
  </si>
  <si>
    <t>v38: Cutoff ۱۴۰۳/۱۲/۲۹ از اطلاعیه ۱۳۰۹۳۸۶ (جلسه ۱۴۰۳/۱۱/۲۹؛ پیش‌تر در آرشیو نبود)؛ تا ۱۴۰۴</t>
  </si>
  <si>
    <t>D12</t>
  </si>
  <si>
    <t>X12</t>
  </si>
  <si>
    <t>Z12</t>
  </si>
  <si>
    <t>SRC_VTEJ_1404_004 | گزارش فعالیت هیئت مدیره مربوط به سال مالی ۱۴۰۳ | ۱۴۰۳ | صفحه ۳۷ | منبع</t>
  </si>
  <si>
    <t>AA12</t>
  </si>
  <si>
    <t>https://www.codal.ir/Reports/Decision.aspx?LetterSerial=OqEx%2bg3X3xQQQaQQQ1V8FTa1bU9w%3d%</t>
  </si>
  <si>
    <t>W12</t>
  </si>
  <si>
    <t>ساختار نمایندگی شخص حقوقی در گزارش مبنا وجود ندارد | v36: NEEDS_SOURCE_REVIEW (H=5 در براب</t>
  </si>
  <si>
    <t>v38: Cutoff ۱۴۰۳/۱۲/۲۹: ۵ عضو حقیقی مستقیم (اطلاعیه ۱۱۵۹۹۳۶؛ AGM FY1403 اطلاعیه ۱۳۸۵۲۵۳: «</t>
  </si>
  <si>
    <t>W32</t>
  </si>
  <si>
    <t>v38: Not Found — در اطلاعیه‌های ن-۴۵، گزارش فعالیت، AGM و پیوست‌ها نام نماینده حقیقی ثبت ن</t>
  </si>
  <si>
    <t>W31</t>
  </si>
  <si>
    <t>v38: Not Found — برای ۱۴۰۴/۱۲/۲۹: اطلاعیه ن-۴۵ در ۱۴۰۳–۱۴۰۴ نیست، گزارش فعالیت FY1404 منتش</t>
  </si>
  <si>
    <t>B5</t>
  </si>
  <si>
    <t>E5</t>
  </si>
  <si>
    <t>H5</t>
  </si>
  <si>
    <t>B20</t>
  </si>
  <si>
    <t>H20</t>
  </si>
  <si>
    <t>B22</t>
  </si>
  <si>
    <t>H22</t>
  </si>
  <si>
    <t>B24</t>
  </si>
  <si>
    <t>G24</t>
  </si>
  <si>
    <t>H24</t>
  </si>
  <si>
    <t>B7</t>
  </si>
  <si>
    <t>E7</t>
  </si>
  <si>
    <t>G7</t>
  </si>
  <si>
    <t>H7</t>
  </si>
  <si>
    <t>B33</t>
  </si>
  <si>
    <t>B27</t>
  </si>
  <si>
    <t>H27</t>
  </si>
  <si>
    <t>B12</t>
  </si>
  <si>
    <t>H12</t>
  </si>
  <si>
    <t>B32</t>
  </si>
  <si>
    <t>H32</t>
  </si>
  <si>
    <t>B31</t>
  </si>
  <si>
    <t>H31</t>
  </si>
  <si>
    <t>D14</t>
  </si>
  <si>
    <t>27</t>
  </si>
  <si>
    <t>28</t>
  </si>
  <si>
    <t>E14</t>
  </si>
  <si>
    <t>29</t>
  </si>
  <si>
    <t>D15</t>
  </si>
  <si>
    <t>22</t>
  </si>
  <si>
    <t>25</t>
  </si>
  <si>
    <t>E15</t>
  </si>
  <si>
    <t>23</t>
  </si>
  <si>
    <t>D9</t>
  </si>
  <si>
    <t>E9</t>
  </si>
  <si>
    <t>۲۲ از ۲۳ واجد شرایط</t>
  </si>
  <si>
    <t>C3</t>
  </si>
  <si>
    <t>۲۸ شرکت؛ حکشتی و شپدیس خارج از مخرج</t>
  </si>
  <si>
    <t>C4</t>
  </si>
  <si>
    <t>۲۷ از ۲۸</t>
  </si>
  <si>
    <t>گپ های باز</t>
  </si>
  <si>
    <t>F4</t>
  </si>
  <si>
    <t>H4</t>
  </si>
  <si>
    <t>بدون شاهد جدید عدد اصلاح نشود</t>
  </si>
  <si>
    <t>F5</t>
  </si>
  <si>
    <t>Missing به صفر تبدیل نشود</t>
  </si>
  <si>
    <t>F6</t>
  </si>
  <si>
    <t>H6</t>
  </si>
  <si>
    <t>بدون حدس</t>
  </si>
  <si>
    <t>F7</t>
  </si>
  <si>
    <t>تکمیل جزئی (v38)</t>
  </si>
  <si>
    <t>منبع جایگزین SRC_VTEJ_1404_004 در نظر گرفته شود</t>
  </si>
  <si>
    <t>F8</t>
  </si>
  <si>
    <t>H8</t>
  </si>
  <si>
    <t>جابجایی داخلی فرد عضو جدید محسوب نشود</t>
  </si>
  <si>
    <t>F9</t>
  </si>
  <si>
    <t>H9</t>
  </si>
  <si>
    <t>فرد منتقل شده عضو جدید نیست</t>
  </si>
  <si>
    <t>F13</t>
  </si>
  <si>
    <t>H13</t>
  </si>
  <si>
    <t>تا تایید، Missing باقی بماند</t>
  </si>
  <si>
    <t>ثبت تغییرات v39 نسبت به فایل v38</t>
  </si>
  <si>
    <t>هر مقدار قبلی نگهداری شده است؛ برگه های جدید در شمارش تغییر سلول های موجود محاسبه نمی شوند.</t>
  </si>
  <si>
    <t>علت</t>
  </si>
  <si>
    <t>راهنمای محاسبات و منابع</t>
  </si>
  <si>
    <t>Iran_BSI_v30_Phase4_2H_PreAdvisorReview.xlsx | تغییر رئیس هیئت مدیره و جهت نظری</t>
  </si>
  <si>
    <t>افزودن منبع فعلی بدون تغییر تعریف نظری</t>
  </si>
  <si>
    <t>G9</t>
  </si>
  <si>
    <t>تعریف کنترل محاسبات v39</t>
  </si>
  <si>
    <t>A1</t>
  </si>
  <si>
    <t>گپ های باز پس از ممیزی v36</t>
  </si>
  <si>
    <t>نمایش نسخه جاری</t>
  </si>
  <si>
    <t>H برابر ۵ و ساختار حقوقی با v22 ناسازگار</t>
  </si>
  <si>
    <t>تفکیک ساختار کرسی از رویداد خروج</t>
  </si>
  <si>
    <t>وب سایت رسمی شاهد تاریخ دار خروج نیست</t>
  </si>
  <si>
    <t>بازبینی دو Snapshot</t>
  </si>
  <si>
    <t>دقت در معنای تاریخ موثر</t>
  </si>
  <si>
    <t>A14</t>
  </si>
  <si>
    <t>ثبت گپ واقعی باقی مانده؛ نه اعلام بسته شدن بدون شاهد</t>
  </si>
  <si>
    <t>B14</t>
  </si>
  <si>
    <t>F14</t>
  </si>
  <si>
    <t>G14</t>
  </si>
  <si>
    <t>H14</t>
  </si>
  <si>
    <t>A15</t>
  </si>
  <si>
    <t>B15</t>
  </si>
  <si>
    <t>F15</t>
  </si>
  <si>
    <t>G15</t>
  </si>
  <si>
    <t>H15</t>
  </si>
  <si>
    <t>A16</t>
  </si>
  <si>
    <t>B16</t>
  </si>
  <si>
    <t>D16</t>
  </si>
  <si>
    <t>E16</t>
  </si>
  <si>
    <t>F16</t>
  </si>
  <si>
    <t>G16</t>
  </si>
  <si>
    <t>H16</t>
  </si>
  <si>
    <t>A2</t>
  </si>
  <si>
    <t>نسخه v37 مبتنی بر v36 اصلاح شده، ممیزی مستقل و بررسی Measureهای جدید</t>
  </si>
  <si>
    <t>به روزرسانی جمع بندی جاری بر مبنای اجرای واقعی v39</t>
  </si>
  <si>
    <t>C6</t>
  </si>
  <si>
    <t>v37 Master Audited</t>
  </si>
  <si>
    <t>D6</t>
  </si>
  <si>
    <t>نسخه v36 اصلاح شده با خروجی ممیزی و Candidate Discovery یکپارچه شد</t>
  </si>
  <si>
    <t>E6</t>
  </si>
  <si>
    <t>Required Corrections + v36 Final</t>
  </si>
  <si>
    <t>G6</t>
  </si>
  <si>
    <t>قابل استفاده با گپ باز</t>
  </si>
  <si>
    <t>D11</t>
  </si>
  <si>
    <t>خودرو Missing و چند شرکت نیازمند Source Review هستند</t>
  </si>
  <si>
    <t>تاپیکو، کچاد، پارسان، وتجارت، جم، خساپا + شش Keyword Hit کمیته حسابرسی</t>
  </si>
  <si>
    <t>هیچ عددی برای این موارد بدون سند جدید اصلاح نشده است</t>
  </si>
  <si>
    <t>Conflict Log</t>
  </si>
  <si>
    <t>بازبینی صفحه و Source قبل از Freeze نهایی</t>
  </si>
  <si>
    <t>D8</t>
  </si>
  <si>
    <t>='CR1A v39'!B39</t>
  </si>
  <si>
    <t>همگام سازی CR1A با پوشش محافظه کارانه؛ فرمول مرجع واحد</t>
  </si>
  <si>
    <t>E8</t>
  </si>
  <si>
    <t>30</t>
  </si>
  <si>
    <t>='CR1A v39'!B44</t>
  </si>
  <si>
    <t>M8</t>
  </si>
  <si>
    <t>جهت کیفی روشن ندارد و سه تعارض</t>
  </si>
  <si>
    <t>رفع عدم همگامی CR1A؛ حفظ محدودیت شواهد و کنترل جهت کیفیت</t>
  </si>
  <si>
    <t>O8</t>
  </si>
  <si>
    <t>v22/v35 + Audit Cutoff</t>
  </si>
  <si>
    <t>P8</t>
  </si>
  <si>
    <t>E11</t>
  </si>
  <si>
    <t>M11</t>
  </si>
  <si>
    <t>chronology رئیس</t>
  </si>
  <si>
    <t>A9</t>
  </si>
  <si>
    <t>تغییر رئیس در مقایسه دو Snapshot</t>
  </si>
  <si>
    <t>تفکیک CR1A از مخرج مختص گردش نمایندگان</t>
  </si>
  <si>
    <t>B9</t>
  </si>
  <si>
    <t>=COUNTIF('Turnover نهایی'!E4:E33,"بله")</t>
  </si>
  <si>
    <t>پوشش CR1A روی تمام ۳۰ شرکت؛ داده نامشخص یا متعارض صفر نیست</t>
  </si>
  <si>
    <t>C9</t>
  </si>
  <si>
    <t>=COUNTIFS('Turnover نهایی'!E4:E33,"بله",'Turnover نهایی'!V4:V33,"&lt;&gt;نامشخص")</t>
  </si>
  <si>
    <t>=COUNTIF('Turnover نهایی'!X4:X33,"خارج از مخرج پایلوت")</t>
  </si>
  <si>
    <t>=COUNTIFS('Turnover نهایی'!E4:E33,"بله",'Turnover نهایی'!V4:V33,"نامشخص")</t>
  </si>
  <si>
    <t>='CR1A v39'!B50</t>
  </si>
  <si>
    <t>K9</t>
  </si>
  <si>
    <t>CR1A اصلی قبلا با chronology کامل ۳۰ از ۳۰ پوشش دارد</t>
  </si>
  <si>
    <t>حذف ادعای قدیمی و ناسازگار پوشش ۳۰ از ۳۰ برای CR1A</t>
  </si>
  <si>
    <t>L9</t>
  </si>
  <si>
    <t>تغییر رئیس در دو Snapshot فقط برای شرکت های واجد شرایط Turnover در این جدول شمرده می شود؛ CR1A اصلی از chronology کامل فاز قبلی آمده است.</t>
  </si>
  <si>
    <t>مخرج تغییر رئیس مستقل از قابلیت اعمال REF08 است</t>
  </si>
  <si>
    <t>M9</t>
  </si>
  <si>
    <t>ردیابی منبع محاسبه</t>
  </si>
  <si>
    <t>پوشش مقطعی قدیمی نباید پوشش تغییر رئیس تفسیر شود</t>
  </si>
  <si>
    <t>A4</t>
  </si>
  <si>
    <t>Verified turnover</t>
  </si>
  <si>
    <t>واژه تاییدشده نباید صرفا از وجود عدد نتیجه گرفته شود</t>
  </si>
  <si>
    <t>B4</t>
  </si>
  <si>
    <t>وتجارت همچنان نیازمند بررسی سند خروج است</t>
  </si>
  <si>
    <t>A12</t>
  </si>
  <si>
    <t>ثبت دامنه واقعی اجرای v39</t>
  </si>
  <si>
    <t>A13</t>
  </si>
  <si>
    <t>B13</t>
  </si>
  <si>
    <t>D13</t>
  </si>
  <si>
    <t>خلاصه ممیزی</t>
  </si>
  <si>
    <t>=SUMPRODUCT(1/COUNTIF('Audit شرکت ها'!B4:B33,'Audit شرکت ها'!B4:B33))</t>
  </si>
  <si>
    <t>='CR1A v39'!B49</t>
  </si>
  <si>
    <t>بازنویسی کنترل یکتایی با COUNTIF تجمعی و SUM؛ بدون فرمول آرایه ای و با همان نتیجه ۳۰ شرکت</t>
  </si>
  <si>
    <t>G8</t>
  </si>
  <si>
    <t>پوشش قطعی ۲۳/۳۰؛ تعارض سه شرکت</t>
  </si>
  <si>
    <t>v22/v35 ستون تغییر رئیس</t>
  </si>
  <si>
    <t>I8</t>
  </si>
  <si>
    <t>Audit فرمول ها</t>
  </si>
  <si>
    <t>H10</t>
  </si>
  <si>
    <t>تعارض فملی/تاپیکو/کچاد</t>
  </si>
  <si>
    <t>I10</t>
  </si>
  <si>
    <t>J10</t>
  </si>
  <si>
    <t>Audit Missingness</t>
  </si>
  <si>
    <t>B10</t>
  </si>
  <si>
    <t>=COUNTIFS('CR1A v39'!E4:E33,"بله",'CR1A v39'!F4:F33,0)</t>
  </si>
  <si>
    <t>دلایل نبود داده CR1A از ممیزی ردیفی v39؛ صفر واقعی جدا</t>
  </si>
  <si>
    <t>D10</t>
  </si>
  <si>
    <t>=COUNTIF('CR1A v39'!M4:M33,"COULD_NOT_VERIFY")</t>
  </si>
  <si>
    <t>F10</t>
  </si>
  <si>
    <t>=COUNTIF('CR1A v39'!M4:M33,"INSUFFICIENT_EVIDENCE")</t>
  </si>
  <si>
    <t>=COUNTIF('CR1A v39'!M4:M33,"DOCUMENT_MISSING")</t>
  </si>
  <si>
    <t>=COUNTIF('CR1A v39'!M4:M33,"PERSON_LEVEL_UNAVAILABLE")</t>
  </si>
  <si>
    <t>K10</t>
  </si>
  <si>
    <t>شفاف سازی طبقات بدون تبدیل فقدان به صفر</t>
  </si>
  <si>
    <t>پوشش v35 در برابر پوشش بازتولیدشده؛ هر دو مبنا گزارش می‌شود. Missing به صفر تبدیل نشده است.</t>
  </si>
  <si>
    <t>تفکیک ممیزی تاریخی از اصلاح فعلی و نمایش علت فقدان محاسبه</t>
  </si>
  <si>
    <t>M3</t>
  </si>
  <si>
    <t>افزودن پرچم صریح برای اعداد تاریخی بازیابی نشده</t>
  </si>
  <si>
    <t>D4</t>
  </si>
  <si>
    <t>=B4/C4</t>
  </si>
  <si>
    <t>=IF(AND(ISNUMBER(B4),ISNUMBER(C4),C4&gt;0),B4/C4,"")</t>
  </si>
  <si>
    <t>در v38 ستون B برخلاف سرستون دارای عنوان متنی است؛ تا بازیابی عدد تاریخی، محاسبه نامعتبر خالی و علامت گذاری می شود. عدد حدسی جایگزین نشد.</t>
  </si>
  <si>
    <t>E4</t>
  </si>
  <si>
    <t>=B4/30</t>
  </si>
  <si>
    <t>=IF(ISNUMBER(B4),B4/30,"")</t>
  </si>
  <si>
    <t>J4</t>
  </si>
  <si>
    <t>=F4-B4</t>
  </si>
  <si>
    <t>=IF(AND(ISNUMBER(F4),ISNUMBER(B4)),F4-B4,"")</t>
  </si>
  <si>
    <t>M4</t>
  </si>
  <si>
    <t>خطای طرح داده ورودی گزارش شد؛ فرمول های محافظت شده جایگزین خطای VALUE شدند.</t>
  </si>
  <si>
    <t>=B5/C5</t>
  </si>
  <si>
    <t>=IF(AND(ISNUMBER(B5),ISNUMBER(C5),C5&gt;0),B5/C5,"")</t>
  </si>
  <si>
    <t>=B5/30</t>
  </si>
  <si>
    <t>=IF(ISNUMBER(B5),B5/30,"")</t>
  </si>
  <si>
    <t>=F5-B5</t>
  </si>
  <si>
    <t>=IF(AND(ISNUMBER(F5),ISNUMBER(B5)),F5-B5,"")</t>
  </si>
  <si>
    <t>M5</t>
  </si>
  <si>
    <t>=B6/C6</t>
  </si>
  <si>
    <t>=IF(AND(ISNUMBER(B6),ISNUMBER(C6),C6&gt;0),B6/C6,"")</t>
  </si>
  <si>
    <t>=B6/30</t>
  </si>
  <si>
    <t>=IF(ISNUMBER(B6),B6/30,"")</t>
  </si>
  <si>
    <t>J6</t>
  </si>
  <si>
    <t>=F6-B6</t>
  </si>
  <si>
    <t>=IF(AND(ISNUMBER(F6),ISNUMBER(B6)),F6-B6,"")</t>
  </si>
  <si>
    <t>M6</t>
  </si>
  <si>
    <t>=B7/C7</t>
  </si>
  <si>
    <t>=IF(AND(ISNUMBER(B7),ISNUMBER(C7),C7&gt;0),B7/C7,"")</t>
  </si>
  <si>
    <t>=B7/30</t>
  </si>
  <si>
    <t>=IF(ISNUMBER(B7),B7/30,"")</t>
  </si>
  <si>
    <t>=F7-B7</t>
  </si>
  <si>
    <t>=IF(AND(ISNUMBER(F7),ISNUMBER(B7)),F7-B7,"")</t>
  </si>
  <si>
    <t>=B8/C8</t>
  </si>
  <si>
    <t>=IF(AND(ISNUMBER(B8),ISNUMBER(C8),C8&gt;0),B8/C8,"")</t>
  </si>
  <si>
    <t>=B8/30</t>
  </si>
  <si>
    <t>=IF(ISNUMBER(B8),B8/30,"")</t>
  </si>
  <si>
    <t>J8</t>
  </si>
  <si>
    <t>=F8-B8</t>
  </si>
  <si>
    <t>=IF(AND(ISNUMBER(F8),ISNUMBER(B8)),F8-B8,"")</t>
  </si>
  <si>
    <t>L8</t>
  </si>
  <si>
    <t>زنجیره زمانی رئیس در ۲۳ شرکت قطعی؛ تعارض فملی/تاپیکو/کچاد</t>
  </si>
  <si>
    <t>=B9/C9</t>
  </si>
  <si>
    <t>=IF(AND(ISNUMBER(B9),ISNUMBER(C9),C9&gt;0),B9/C9,"")</t>
  </si>
  <si>
    <t>=B9/30</t>
  </si>
  <si>
    <t>=IF(ISNUMBER(B9),B9/30,"")</t>
  </si>
  <si>
    <t>J9</t>
  </si>
  <si>
    <t>=F9-B9</t>
  </si>
  <si>
    <t>=IF(AND(ISNUMBER(F9),ISNUMBER(B9)),F9-B9,"")</t>
  </si>
  <si>
    <t>=B10/C10</t>
  </si>
  <si>
    <t>=IF(AND(ISNUMBER(B10),ISNUMBER(C10),C10&gt;0),B10/C10,"")</t>
  </si>
  <si>
    <t>E10</t>
  </si>
  <si>
    <t>=B10/30</t>
  </si>
  <si>
    <t>=IF(ISNUMBER(B10),B10/30,"")</t>
  </si>
  <si>
    <t>=F10-B10</t>
  </si>
  <si>
    <t>=IF(AND(ISNUMBER(F10),ISNUMBER(B10)),F10-B10,"")</t>
  </si>
  <si>
    <t>M10</t>
  </si>
  <si>
    <t>=B11/C11</t>
  </si>
  <si>
    <t>=IF(AND(ISNUMBER(B11),ISNUMBER(C11),C11&gt;0),B11/C11,"")</t>
  </si>
  <si>
    <t>=B11/30</t>
  </si>
  <si>
    <t>=IF(ISNUMBER(B11),B11/30,"")</t>
  </si>
  <si>
    <t>J11</t>
  </si>
  <si>
    <t>=F11-B11</t>
  </si>
  <si>
    <t>=IF(AND(ISNUMBER(F11),ISNUMBER(B11)),F11-B11,"")</t>
  </si>
  <si>
    <t>=B12/C12</t>
  </si>
  <si>
    <t>=IF(AND(ISNUMBER(B12),ISNUMBER(C12),C12&gt;0),B12/C12,"")</t>
  </si>
  <si>
    <t>E12</t>
  </si>
  <si>
    <t>=B12/30</t>
  </si>
  <si>
    <t>=IF(ISNUMBER(B12),B12/30,"")</t>
  </si>
  <si>
    <t>J12</t>
  </si>
  <si>
    <t>=F12-B12</t>
  </si>
  <si>
    <t>=IF(AND(ISNUMBER(F12),ISNUMBER(B12)),F12-B12,"")</t>
  </si>
  <si>
    <t>M12</t>
  </si>
  <si>
    <t>=B13/C13</t>
  </si>
  <si>
    <t>=IF(AND(ISNUMBER(B13),ISNUMBER(C13),C13&gt;0),B13/C13,"")</t>
  </si>
  <si>
    <t>E13</t>
  </si>
  <si>
    <t>=B13/30</t>
  </si>
  <si>
    <t>=IF(ISNUMBER(B13),B13/30,"")</t>
  </si>
  <si>
    <t>J13</t>
  </si>
  <si>
    <t>=F13-B13</t>
  </si>
  <si>
    <t>=IF(AND(ISNUMBER(F13),ISNUMBER(B13)),F13-B13,"")</t>
  </si>
  <si>
    <t>M13</t>
  </si>
  <si>
    <t>=B14/C14</t>
  </si>
  <si>
    <t>=IF(AND(ISNUMBER(B14),ISNUMBER(C14),C14&gt;0),B14/C14,"")</t>
  </si>
  <si>
    <t>=B14/30</t>
  </si>
  <si>
    <t>=IF(ISNUMBER(B14),B14/30,"")</t>
  </si>
  <si>
    <t>J14</t>
  </si>
  <si>
    <t>=F14-B14</t>
  </si>
  <si>
    <t>=IF(AND(ISNUMBER(F14),ISNUMBER(B14)),F14-B14,"")</t>
  </si>
  <si>
    <t>M14</t>
  </si>
  <si>
    <t>=B15/C15</t>
  </si>
  <si>
    <t>=IF(AND(ISNUMBER(B15),ISNUMBER(C15),C15&gt;0),B15/C15,"")</t>
  </si>
  <si>
    <t>=B15/30</t>
  </si>
  <si>
    <t>=IF(ISNUMBER(B15),B15/30,"")</t>
  </si>
  <si>
    <t>J15</t>
  </si>
  <si>
    <t>=F15-B15</t>
  </si>
  <si>
    <t>=IF(AND(ISNUMBER(F15),ISNUMBER(B15)),F15-B15,"")</t>
  </si>
  <si>
    <t>M15</t>
  </si>
  <si>
    <t>۲۳ قطعی</t>
  </si>
  <si>
    <t>همگام سازی وضعیت جاری C04؛ مقادیر تاریخی در Changes v39 محفوظ اند</t>
  </si>
  <si>
    <t>تعارض فملی/تاپیکو/کچاد با ستون تغییر رئیس</t>
  </si>
  <si>
    <t>ثبت حل جزئی تعارض CR1A</t>
  </si>
  <si>
    <t>بازمحاسبه انجام شد اما تعارض باقی مانده بسته نشد</t>
  </si>
  <si>
    <t>A18</t>
  </si>
  <si>
    <t>اجرای اصلاح محاسباتی با گپ سندی مستقل</t>
  </si>
  <si>
    <t>B18</t>
  </si>
  <si>
    <t>D18</t>
  </si>
  <si>
    <t>E18</t>
  </si>
  <si>
    <t>A19</t>
  </si>
  <si>
    <t>رفع خطای فرمول بدون حدس عدد تاریخی</t>
  </si>
  <si>
    <t>B19</t>
  </si>
  <si>
    <t>D19</t>
  </si>
  <si>
    <t>E19</t>
  </si>
  <si>
    <t>Measureهای فعلی</t>
  </si>
  <si>
    <t>='CR1A v39'!B39&amp;"/"&amp;'CR1A v39'!B44</t>
  </si>
  <si>
    <t>همگام سازی پوشش CR1A با منبع محاسباتی واحد</t>
  </si>
  <si>
    <t>اطلاعات فردی اعضای کمیته حسابرسی v40</t>
  </si>
  <si>
    <t>یک ردیف برای هر شخص، شرکت و بازه عضویت. دبیر و مدیر حسابرسی داخلی فقط وقتی عضو شمرده شده که سند عضویت را صریح گفته باشد. کدها: MEMBER عضو، SECRETARY دبیر، FORMER عضو پیشین، POST_ASOF شروع پس از مقطع.</t>
  </si>
  <si>
    <t>شناسه ردیف</t>
  </si>
  <si>
    <t>سمت در کمیته (عبارت منبع)</t>
  </si>
  <si>
    <t>طبقه نقش</t>
  </si>
  <si>
    <t>سمت در شرکت</t>
  </si>
  <si>
    <t>عضو هیئت مدیره (کد)</t>
  </si>
  <si>
    <t>موظف یا غیرموظف (عبارت منبع)</t>
  </si>
  <si>
    <t>استقلال (عبارت خام منبع)</t>
  </si>
  <si>
    <t>کد استقلال</t>
  </si>
  <si>
    <t>تحصیلات (عبارت منبع)</t>
  </si>
  <si>
    <t>کد تخصص مالی</t>
  </si>
  <si>
    <t>شاهد اختصاصی تخصص مالی (عبارت منبع)</t>
  </si>
  <si>
    <t>تاریخ شروع عضویت (منبع)</t>
  </si>
  <si>
    <t>تاریخ پایان عضویت (منبع)</t>
  </si>
  <si>
    <t>تعداد حضور</t>
  </si>
  <si>
    <t>فرصت حضور</t>
  </si>
  <si>
    <t>مبنای فرصت حضور</t>
  </si>
  <si>
    <t>نرخ حضور فردی</t>
  </si>
  <si>
    <t>مشمول نرخ حضور</t>
  </si>
  <si>
    <t>شناسه شاهد</t>
  </si>
  <si>
    <t>صفحه فایل</t>
  </si>
  <si>
    <t>وضعیت شاهد</t>
  </si>
  <si>
    <t>AC40-فملی-01</t>
  </si>
  <si>
    <t>رئیس کمیته (غیرموظف)</t>
  </si>
  <si>
    <t>MEMBER</t>
  </si>
  <si>
    <t>مهرداد محقق‌زاده</t>
  </si>
  <si>
    <t>عضو غیرموظف هیئت‌مدیره</t>
  </si>
  <si>
    <t>Y</t>
  </si>
  <si>
    <t>غیرموظف</t>
  </si>
  <si>
    <t>U</t>
  </si>
  <si>
    <t>دکتری تخصصی علوم اقتصادی</t>
  </si>
  <si>
    <t>ECON</t>
  </si>
  <si>
    <t>اقتصاد؛ فقط رشته اقتصاد</t>
  </si>
  <si>
    <t>1404/07/20</t>
  </si>
  <si>
    <t>EV_SRC_FMLI_1404_001_p36</t>
  </si>
  <si>
    <t>36</t>
  </si>
  <si>
    <t>AC40-فملی-02</t>
  </si>
  <si>
    <t>عضو کمیته (غیرموظف)</t>
  </si>
  <si>
    <t>ولی‌اله حاجی‌پور</t>
  </si>
  <si>
    <t>دکترا حسابداری</t>
  </si>
  <si>
    <t>ACCT</t>
  </si>
  <si>
    <t>1404/02/22</t>
  </si>
  <si>
    <t>AC40-فملی-03</t>
  </si>
  <si>
    <t>طاهر علیزاده</t>
  </si>
  <si>
    <t>دکترا مهندسی مالی</t>
  </si>
  <si>
    <t>FIN</t>
  </si>
  <si>
    <t>AC40-فملی-04</t>
  </si>
  <si>
    <t>مجتبی علی‌میرزایی</t>
  </si>
  <si>
    <t>کارشناسی ارشد حسابداری</t>
  </si>
  <si>
    <t>AC40-فملی-05</t>
  </si>
  <si>
    <t>احمد شهنوازی</t>
  </si>
  <si>
    <t>AC40-فملی-06</t>
  </si>
  <si>
    <t>دبیر کمیته (موظف)</t>
  </si>
  <si>
    <t>SECRETARY</t>
  </si>
  <si>
    <t>حسن حبیبی</t>
  </si>
  <si>
    <t>موظف</t>
  </si>
  <si>
    <t>کارشناسی ارشد مدیریت مالی</t>
  </si>
  <si>
    <t>ارشد مدیریت مالی</t>
  </si>
  <si>
    <t>1404/07/13</t>
  </si>
  <si>
    <t>دبیر؛ عضو شمرده نشد (متن: پنج عضو)</t>
  </si>
  <si>
    <t>AC40-تاپیکو-01</t>
  </si>
  <si>
    <t>رئیس کمیته</t>
  </si>
  <si>
    <t>عضو هیئت‌مدیره</t>
  </si>
  <si>
    <t>کارشناسی ارشد (مهندسی سیستم‌های اقتصادی؛ ص۱۱)</t>
  </si>
  <si>
    <t>UNK</t>
  </si>
  <si>
    <t>1403/12/15</t>
  </si>
  <si>
    <t>EV_SRC_TPIK_1404_002_p82</t>
  </si>
  <si>
    <t>82</t>
  </si>
  <si>
    <t>AC40-تاپیکو-02</t>
  </si>
  <si>
    <t>عضو کمیته</t>
  </si>
  <si>
    <t>کارشناسی ارشد (علوم سیاسی)</t>
  </si>
  <si>
    <t>NONE_EVID</t>
  </si>
  <si>
    <t>سوابق مدیرعامل صندوق‌ها/هلدینگ؛ رشته غیرمالی</t>
  </si>
  <si>
    <t>AC40-تاپیکو-03</t>
  </si>
  <si>
    <t>کریم بروفرد</t>
  </si>
  <si>
    <t>دانشجوی دکترا</t>
  </si>
  <si>
    <t>AC40-تاپیکو-04</t>
  </si>
  <si>
    <t>افشار سرکانیان</t>
  </si>
  <si>
    <t>دکترا</t>
  </si>
  <si>
    <t>FIN_EXP</t>
  </si>
  <si>
    <t>مدیرعامل شرکت تأمین سرمایه بانک ملت؛ رئیس کمیته حسابرسی فرابورس ایران (ستون خلاصه سوابق)</t>
  </si>
  <si>
    <t>AC40-تاپیکو-05</t>
  </si>
  <si>
    <t>سعیدرضا فتوحی اردکانی</t>
  </si>
  <si>
    <t>کارشناسی ارشد</t>
  </si>
  <si>
    <t>AC40-تاپیکو-06</t>
  </si>
  <si>
    <t>دبیر کمیته</t>
  </si>
  <si>
    <t>مجتبی اسکندری‌زاده</t>
  </si>
  <si>
    <t>حسابرس داخلی شستا/تاپیکو</t>
  </si>
  <si>
    <t>1401/07/23</t>
  </si>
  <si>
    <t>دبیر؛ عضو شمرده نشد</t>
  </si>
  <si>
    <t>AC40-تاپیکو-07</t>
  </si>
  <si>
    <t>رئیس کمیته (دوره قبل)</t>
  </si>
  <si>
    <t>FORMER</t>
  </si>
  <si>
    <t>محمد ابوالقاسمی</t>
  </si>
  <si>
    <t>عضو هیئت‌مدیره شرکت‌های مختلف؛ معاون مالی و اداری</t>
  </si>
  <si>
    <t>1403/10 (پایان دی ۱۴۰۳)</t>
  </si>
  <si>
    <t>عضو قبلی؛ خارج از مقطع پایان دوره</t>
  </si>
  <si>
    <t>AC40-تاپیکو-08</t>
  </si>
  <si>
    <t>عضو (دوره قبل)</t>
  </si>
  <si>
    <t>مهدی صیدی</t>
  </si>
  <si>
    <t>1403/11 (پایان بهمن)</t>
  </si>
  <si>
    <t>AC40-تاپیکو-09</t>
  </si>
  <si>
    <t>کامیز جامع</t>
  </si>
  <si>
    <t>عضو جامعه حسابداران رسمی ایران</t>
  </si>
  <si>
    <t>1403/11</t>
  </si>
  <si>
    <t>AC40-تاپیکو-10</t>
  </si>
  <si>
    <t>حسین ابراهیمی</t>
  </si>
  <si>
    <t>حسابرس در موسسات عضو جامعه حسابداران رسمی</t>
  </si>
  <si>
    <t>AC40-تاپیکو-11</t>
  </si>
  <si>
    <t>حمیدرضا بنی‌اسدی</t>
  </si>
  <si>
    <t>مدیر حسابرسی؛ عضو جامعه حسابداران رسمی</t>
  </si>
  <si>
    <t>AC40-فارس-01</t>
  </si>
  <si>
    <t>حسین حسین‌زاده</t>
  </si>
  <si>
    <t>مستقل (فقط از پانوشت: «یک عضو مستقل هیئت‌مدیره»؛ برچسب ردیف ندارد)</t>
  </si>
  <si>
    <t>دکترای مهندسی زمین‌شناسی</t>
  </si>
  <si>
    <t>سوابق: رئیس هیئت‌مدیره صندوق‌های بازنشستگی نفت؛ مدیرعامل؛ رئیس هیئت‌مدیره بهینه‌سازی مصرف سوخت</t>
  </si>
  <si>
    <t>1404/02/29</t>
  </si>
  <si>
    <t>EV_SRC_FARS_1404_001_p42</t>
  </si>
  <si>
    <t>42</t>
  </si>
  <si>
    <t>فرصت حضور نامشخص (عضو از ۱۴۰۴/۰۲/۲۹)</t>
  </si>
  <si>
    <t>AC40-فارس-02</t>
  </si>
  <si>
    <t>عضو مستقل کمیته</t>
  </si>
  <si>
    <t>معصومه کوشا</t>
  </si>
  <si>
    <t>کارشناسی حسابداری (ارشد؟ متن: کارشناسی حسابداری)</t>
  </si>
  <si>
    <t>عضو جامعه حسابداران رسمی؛ مدیر ارشد سازمان حسابرسی ۳۳ سال</t>
  </si>
  <si>
    <t>1401/09/26</t>
  </si>
  <si>
    <t>صریح در سند</t>
  </si>
  <si>
    <t>AC40-فارس-03</t>
  </si>
  <si>
    <t>بهرام نامدار</t>
  </si>
  <si>
    <t>مدیر فنی سازمان حسابرسی ۱۰ سال؛ عضو انجمن حسابرسان داخلی؛ کارشناس رسمی قوه قضاییه</t>
  </si>
  <si>
    <t>AC40-خودرو-01</t>
  </si>
  <si>
    <t>عضو هیئت‌مدیره (نایب رئیس؛ ص۵۳)</t>
  </si>
  <si>
    <t>نایب رئیس موظف (ص۵۳)</t>
  </si>
  <si>
    <t>مدیریت مالی؛ رئیس هیئت‌مدیره گروه بهمن</t>
  </si>
  <si>
    <t>1401/12/22</t>
  </si>
  <si>
    <t>EV_SRC_IKCO_1404_001_p54</t>
  </si>
  <si>
    <t>54</t>
  </si>
  <si>
    <t>AC40-خودرو-02</t>
  </si>
  <si>
    <t>برزو مختاری</t>
  </si>
  <si>
    <t>کارشناسی مدیریت مالی</t>
  </si>
  <si>
    <t>مدیریت مالی؛ عضو هیئت‌مدیره ایران‌خودرو ۱۳۸۶ ۱۳۸۸</t>
  </si>
  <si>
    <t>1392/03/05</t>
  </si>
  <si>
    <t>AC40-خودرو-03</t>
  </si>
  <si>
    <t>غلامرضا شوندی</t>
  </si>
  <si>
    <t>کارشناسی حسابداری</t>
  </si>
  <si>
    <t>حسابداری؛ اشتغال در سطوح مدیریت ایران‌خودرو</t>
  </si>
  <si>
    <t>1391/12/09</t>
  </si>
  <si>
    <t>AC40-زاگرس-01</t>
  </si>
  <si>
    <t>محمود مجیب</t>
  </si>
  <si>
    <t>C</t>
  </si>
  <si>
    <t>کارشناسی علوم اقتصادی</t>
  </si>
  <si>
    <t>فقط رشته اقتصاد</t>
  </si>
  <si>
    <t>1401/05/08</t>
  </si>
  <si>
    <t>EV_SRC_ZGRS_1404_001_p27</t>
  </si>
  <si>
    <t>متعارض</t>
  </si>
  <si>
    <t>متن ص۲۹: رئیس عضو غیرموظف هیئت‌مدیره است ولی نامش در فهرست هیئت‌مدیره v22 نیست؛ متعارض</t>
  </si>
  <si>
    <t>AC40-زاگرس-02</t>
  </si>
  <si>
    <t>عضو هیئت‌مدیره (v22)</t>
  </si>
  <si>
    <t>کارشناسی ارشد مدیریت بازرگانی</t>
  </si>
  <si>
    <t>سوابق مدیرعامل پتروشیمی‌ها</t>
  </si>
  <si>
    <t>1400/06/31</t>
  </si>
  <si>
    <t>«یکی دیگر از اعضا» نام ندارد؛ تطبیق با فهرست هیئت‌مدیره</t>
  </si>
  <si>
    <t>AC40-زاگرس-03</t>
  </si>
  <si>
    <t>باقر امینی</t>
  </si>
  <si>
    <t>حسابداری و مدیرمالی</t>
  </si>
  <si>
    <t>1399/10/13</t>
  </si>
  <si>
    <t>AC40-زاگرس-04</t>
  </si>
  <si>
    <t>ابراهیم صادقی</t>
  </si>
  <si>
    <t>حسابدار رسمی؛ مدیر فنی سازمان حسابرسی</t>
  </si>
  <si>
    <t>1402/06/08</t>
  </si>
  <si>
    <t>AC40-زاگرس-05</t>
  </si>
  <si>
    <t>مصطفی سعیدی</t>
  </si>
  <si>
    <t>حسابدار رسمی؛ مدیر حسابرسی مستقل موسسه تدوین و همکاران</t>
  </si>
  <si>
    <t>1401/08/15</t>
  </si>
  <si>
    <t>AC40-شبندر-01</t>
  </si>
  <si>
    <t>حامد اکبری</t>
  </si>
  <si>
    <t>دکترای حقوق عمومی</t>
  </si>
  <si>
    <t>سوابق حقوقی/لیزینگ</t>
  </si>
  <si>
    <t>1403/12/27</t>
  </si>
  <si>
    <t>EV_SRC_SHBN_1404_001_p56</t>
  </si>
  <si>
    <t>56</t>
  </si>
  <si>
    <t>AC40-شبندر-02</t>
  </si>
  <si>
    <t>محمد صادقی</t>
  </si>
  <si>
    <t>دکترای حقوق اقتصادی و تطبیقی</t>
  </si>
  <si>
    <t>حقوقی</t>
  </si>
  <si>
    <t>1404/05/27</t>
  </si>
  <si>
    <t>عضویت از میانه سال؛ اعضای قبلی در گزارش نیستند</t>
  </si>
  <si>
    <t>AC40-شبندر-03</t>
  </si>
  <si>
    <t>حمیدرضا دهقانی</t>
  </si>
  <si>
    <t>دکترای تخصصی مدیریت</t>
  </si>
  <si>
    <t>معاون مالی، منابع انسانی و پشتیبانی؛ معاون مالی سازمان بنادر</t>
  </si>
  <si>
    <t>1403/04/06</t>
  </si>
  <si>
    <t>AC40-شبندر-04</t>
  </si>
  <si>
    <t>سیدداود حیدری</t>
  </si>
  <si>
    <t>کارشناسی ارشد حقوق عمومی</t>
  </si>
  <si>
    <t>مدیر مالی و تامین منابع پتروشیمی بوشهر؛ مدیر امور مالی و پشتیبانی</t>
  </si>
  <si>
    <t>EV_SRC_SHBN_1404_001_p57</t>
  </si>
  <si>
    <t>57</t>
  </si>
  <si>
    <t>AC40-شبندر-05</t>
  </si>
  <si>
    <t>بهزاد کلوانی نیتلی</t>
  </si>
  <si>
    <t>کارشناسی ارشد جغرافیا و برنامه‌ریزی توریسم</t>
  </si>
  <si>
    <t>مدیر امور اداری و مالی تعاونی (ترکیبی)؛ شواهد مالی ناکافی</t>
  </si>
  <si>
    <t>AC40-پارس-01</t>
  </si>
  <si>
    <t>عضو جامعه حسابداران رسمی؛ مدیر فنی سازمان حسابرسی</t>
  </si>
  <si>
    <t>1404/09/16</t>
  </si>
  <si>
    <t>EV_SRC_PARS_1404_001_p36</t>
  </si>
  <si>
    <t>AC40-پارس-02</t>
  </si>
  <si>
    <t>بهرام شیرزاد</t>
  </si>
  <si>
    <t>دکترای حسابداری</t>
  </si>
  <si>
    <t>حسابدار رسمی؛ مدیر حسابرسی داخلی هلدینگ خلیج فارس</t>
  </si>
  <si>
    <t>AC40-پارس-03</t>
  </si>
  <si>
    <t>مهدی رضایی</t>
  </si>
  <si>
    <t>مدیر مالی و مشاور مالی؛ عضو کمیته حسابرسی نوری و جم</t>
  </si>
  <si>
    <t>1404/06/15</t>
  </si>
  <si>
    <t>مشتق: حضور برابر کل جلسات</t>
  </si>
  <si>
    <t>حضور ۱۷ با تاریخ عضویت ۱۴۰۴/۰۶/۱۵ ناسازگار؛ تاریخ احتمالا آغاز دوره فعلی</t>
  </si>
  <si>
    <t>AC40-پارس-04</t>
  </si>
  <si>
    <t>سیدمهدی حسینی</t>
  </si>
  <si>
    <t>عضو جامعه حسابداران رسمی؛ معاون مالی گروه گسترش نفت و گاز پارسیان</t>
  </si>
  <si>
    <t>AC40-پارس-05</t>
  </si>
  <si>
    <t>فلورا کریمی</t>
  </si>
  <si>
    <t>کارشناسی ارشد اقتصاد</t>
  </si>
  <si>
    <t>عضو کمیته کنترل کیفیت سازمان حسابرسی</t>
  </si>
  <si>
    <t>1402/06/21</t>
  </si>
  <si>
    <t>AC40-شتران-01</t>
  </si>
  <si>
    <t>رئیس کمیته حسابرسی</t>
  </si>
  <si>
    <t>میثم قاسمی</t>
  </si>
  <si>
    <t>عضو هیئت‌مدیره (نماینده سرمایه‌گذاری استان فارس)</t>
  </si>
  <si>
    <t>عضو هیئت‌مدیره (غیرموظف)</t>
  </si>
  <si>
    <t>دکترای حسابداری؛ رئیس هیئت‌مدیره تأمین سرمایه تمدن؛ معاون بانک توسعه صادرات</t>
  </si>
  <si>
    <t>عبارت جمعی «با حضور کلیه اعضا»</t>
  </si>
  <si>
    <t>EV_SRC_SHTR_1404_002_p17</t>
  </si>
  <si>
    <t>17</t>
  </si>
  <si>
    <t>حضور از عبارت جمعی «با حضور کلیه اعضا»؛ تاریخ عضویت ندارد</t>
  </si>
  <si>
    <t>AC40-شتران-02</t>
  </si>
  <si>
    <t>عضو مالی و مستقل کمیته</t>
  </si>
  <si>
    <t>مصطفی باتقوا</t>
  </si>
  <si>
    <t>حسابدار رسمی؛ حسابدار مستقل؛ شریک موسسه معتمد بورس</t>
  </si>
  <si>
    <t>استقلال و تخصص مالی با برچسب سمت</t>
  </si>
  <si>
    <t>AC40-شتران-03</t>
  </si>
  <si>
    <t>جواد عیش‌آبادی</t>
  </si>
  <si>
    <t>حسابرس معتمد بورس؛ عضو کمیته حسابرسی چند شرکت</t>
  </si>
  <si>
    <t>AC40-شتران-04</t>
  </si>
  <si>
    <t>محسن ترابی</t>
  </si>
  <si>
    <t>رئیس حسابرسی داخلی و امور بازرسی شرکت پالایش نفت تهران</t>
  </si>
  <si>
    <t>AC40-وتجارت-01</t>
  </si>
  <si>
    <t>عضو کمیته (سمت در بانک: رئیس هیئت‌مدیره)</t>
  </si>
  <si>
    <t>رئیس هیئت‌مدیره</t>
  </si>
  <si>
    <t>دکترای مدیریت کسب و کار</t>
  </si>
  <si>
    <t>عضو هیئت‌مدیره بانک تجارت؛ مدیر فناوری اطلاعات</t>
  </si>
  <si>
    <t>1404/12/29 (تاریخ جدول)</t>
  </si>
  <si>
    <t>EV_SRC_VTEJ_1404_001_p52</t>
  </si>
  <si>
    <t>52</t>
  </si>
  <si>
    <t>سمت در کمیته ذکر نشده؛ حضور ۴ (فرصت نامشخص)</t>
  </si>
  <si>
    <t>AC40-وتجارت-02</t>
  </si>
  <si>
    <t>عضو مستقل (خارج از بانک)</t>
  </si>
  <si>
    <t>فرشاد اسکندریانی</t>
  </si>
  <si>
    <t>فوق‌لیسانس حسابداری</t>
  </si>
  <si>
    <t>عضو هیئت‌عامل سازمان حسابرسی؛ عضو کمیته‌های سازمان بورس</t>
  </si>
  <si>
    <t>حضور ۴؛ عضو از میانه سال یا بعد</t>
  </si>
  <si>
    <t>AC40-وتجارت-03</t>
  </si>
  <si>
    <t>محسن غلامرضایی</t>
  </si>
  <si>
    <t>حسابدار رسمی؛ کارشناس رسمی دادگستری</t>
  </si>
  <si>
    <t>AC40-وتجارت-04</t>
  </si>
  <si>
    <t>منوچهر کاظمی</t>
  </si>
  <si>
    <t>لیسانس اقتصاد</t>
  </si>
  <si>
    <t>حسابرس؛ مدیر ارشد حسابرسی سازمان حسابرسی</t>
  </si>
  <si>
    <t>AC40-وتجارت-05</t>
  </si>
  <si>
    <t>فرهاد نورافکن طالشمیکائیل</t>
  </si>
  <si>
    <t>رئیس حسابرسی داخلی شرکت سرمایه‌گذاری خارجی ایران</t>
  </si>
  <si>
    <t>AC40-رمپنا-01</t>
  </si>
  <si>
    <t>عضو هیئت‌مدیره و رئیس فعلی کمیته</t>
  </si>
  <si>
    <t>محمدرضا اولی</t>
  </si>
  <si>
    <t>دکتری حسابداری</t>
  </si>
  <si>
    <t>رئیس و عضو هیئت‌مدیره و مدیرعامل شرکت‌های بورسی؛ عضو علمی دانشگاه آزاد</t>
  </si>
  <si>
    <t>EV_SRC_RMPN_1404_001_p38</t>
  </si>
  <si>
    <t>38</t>
  </si>
  <si>
    <t>حضور فقط ۹ جلسه شش‌ماهه دوم</t>
  </si>
  <si>
    <t>AC40-رمپنا-02</t>
  </si>
  <si>
    <t>حسن حاجیان</t>
  </si>
  <si>
    <t>دانشجوی دکتری حسابداری</t>
  </si>
  <si>
    <t>دارای ۴۲ سال سابقه حسابرسی؛ حسابدار رسمی</t>
  </si>
  <si>
    <t>AC40-رمپنا-03</t>
  </si>
  <si>
    <t>وحید منتی</t>
  </si>
  <si>
    <t>حسابدار رسمی ۲۰ سال؛ حسابرسی داخلی</t>
  </si>
  <si>
    <t>AC40-رمپنا-04</t>
  </si>
  <si>
    <t>عضو کمیته (سابقا رئیس)</t>
  </si>
  <si>
    <t>امیر هامونی</t>
  </si>
  <si>
    <t>عضو سابق هیئت‌مدیره</t>
  </si>
  <si>
    <t>دکتری علوم اقتصادی</t>
  </si>
  <si>
    <t>مدیر عامل شرکت فرابورس؛ عضو هیئت‌مدیره</t>
  </si>
  <si>
    <t>1402/04/18</t>
  </si>
  <si>
    <t>AC40-رمپنا-05</t>
  </si>
  <si>
    <t>مسعود گشته</t>
  </si>
  <si>
    <t>لیسانس مدیریت دولتی</t>
  </si>
  <si>
    <t>عضو سابق هیئت‌مدیره مپنا</t>
  </si>
  <si>
    <t>1401/10/18</t>
  </si>
  <si>
    <t>AC40-رمپنا-06</t>
  </si>
  <si>
    <t>روح‌الله رجبی</t>
  </si>
  <si>
    <t>حسابدار رسمی؛ حسابرس مستقل ۱۷ سال</t>
  </si>
  <si>
    <t>AC40-رمپنا-07</t>
  </si>
  <si>
    <t>روح‌الله بلکوتی</t>
  </si>
  <si>
    <t>لیسانس حسابداری</t>
  </si>
  <si>
    <t>حسابرس در موسسه خصوصی؛ مدیر اداری شرکت</t>
  </si>
  <si>
    <t>AC40-رمپنا-08</t>
  </si>
  <si>
    <t>دبیر کمیته و مدیر حسابرسی داخلی</t>
  </si>
  <si>
    <t>ایمان پوریا</t>
  </si>
  <si>
    <t>عضو جامعه حسابداران رسمی؛ سابقه حسابرسی</t>
  </si>
  <si>
    <t>1404/06/31</t>
  </si>
  <si>
    <t>دبیر؛ عضویت در کمیته به‌عنوان عضو صریح نیست؛ در جدول حضور آمده</t>
  </si>
  <si>
    <t>AC40-فخوز-01</t>
  </si>
  <si>
    <t>POST_ASOF</t>
  </si>
  <si>
    <t>سیدمحمد حسینی (نماینده سرمایه‌گذاری سامان مجد)</t>
  </si>
  <si>
    <t>بلی (عضو غیرموظف هیئت‌مدیره)</t>
  </si>
  <si>
    <t>عضو مستقل: خیر</t>
  </si>
  <si>
    <t>کارشناسی ارشد روابط بین‌الملل</t>
  </si>
  <si>
    <t>ستون عضو مالی: بلی (برچسب منبع)؛ رشته غیرمالی</t>
  </si>
  <si>
    <t>1405/01/30</t>
  </si>
  <si>
    <t>EV_SRC_FKHZ_1404_001_p34</t>
  </si>
  <si>
    <t>34</t>
  </si>
  <si>
    <t>تاییدشده (پس از مقطع)</t>
  </si>
  <si>
    <t>شروع پس از مقطع ۱۴۰۴/۱۲/۲۹؛ رئیس کمیته در مقطع هدف نامشخص</t>
  </si>
  <si>
    <t>AC40-فخوز-02</t>
  </si>
  <si>
    <t>ابوالفضل اکبری</t>
  </si>
  <si>
    <t>بلی</t>
  </si>
  <si>
    <t>ستون عضو مالی: بلی؛ عضو شورای عالی جامعه حسابداران رسمی</t>
  </si>
  <si>
    <t>ناقص</t>
  </si>
  <si>
    <t>AC40-فخوز-03</t>
  </si>
  <si>
    <t>دکترای مدیریت</t>
  </si>
  <si>
    <t>ستون عضو مالی: بلی؛ حسابدار رسمی؛ ۱۴ سال سازمان حسابرسی</t>
  </si>
  <si>
    <t>1400/06/22</t>
  </si>
  <si>
    <t>AC40-شستا-01</t>
  </si>
  <si>
    <t>مهرداد فصیحی</t>
  </si>
  <si>
    <t>حسابدار رسمی؛ شریک و مدیر فنی حسابرسی؛ مدیر حسابرسی داخلی</t>
  </si>
  <si>
    <t>1401/03/03</t>
  </si>
  <si>
    <t>EV_SRC_SHST_1404_001_p30</t>
  </si>
  <si>
    <t>AC40-شستا-02</t>
  </si>
  <si>
    <t>حسن پورعبدالهیان</t>
  </si>
  <si>
    <t>حسابرس رسمی؛ عضو عامل سازمان حسابرسی ۲۶ سال</t>
  </si>
  <si>
    <t>AC40-شستا-03</t>
  </si>
  <si>
    <t>حمیدرضا اصغری</t>
  </si>
  <si>
    <t>عضو جامعه حسابداران رسمی؛ عضو کانون کارشناسان رسمی دادگستری</t>
  </si>
  <si>
    <t>AC40-شستا-04</t>
  </si>
  <si>
    <t>آرش بهادری</t>
  </si>
  <si>
    <t>دکترای برنامه‌ریزی</t>
  </si>
  <si>
    <t>مدیرکل امور اداری و مالی استانداری (ترکیبی)؛ شواهد مالی ناکافی</t>
  </si>
  <si>
    <t>1402/09/27</t>
  </si>
  <si>
    <t>AC40-شپنا-01</t>
  </si>
  <si>
    <t>سیدمحمود سیدی</t>
  </si>
  <si>
    <t>رئیس حسابرسی شرکت‌های معدنی؛ مدیر امور مالی و اقتصادی؛ عضو هیئت‌مدیره شرکت‌های معدنی</t>
  </si>
  <si>
    <t>1399/12/13 تا 1403/07/25 و از 1403/11/17</t>
  </si>
  <si>
    <t>EV_SRC_SHPN_1404_001_p79</t>
  </si>
  <si>
    <t>79/80</t>
  </si>
  <si>
    <t>عضویت منقطع؛ خارج از سال ۱۴۰۴؛ حضور از ستون «دفعات حضور در سال مالی گذشته»</t>
  </si>
  <si>
    <t>AC40-شپنا-02</t>
  </si>
  <si>
    <t>احمدرضا اسدی خشویی</t>
  </si>
  <si>
    <t>عضو هیئت‌مدیره پالایش و پخش؛ رئیس حسابرسی داخلی شرکت ملی پالایش؛ مدیر امور مالی</t>
  </si>
  <si>
    <t>1391/10/16</t>
  </si>
  <si>
    <t>AC40-شپنا-03</t>
  </si>
  <si>
    <t>حسابدار رسمی؛ حسابرس مستقل؛ عضو شورای عالی جامعه حسابداران رسمی</t>
  </si>
  <si>
    <t>1397/05/17</t>
  </si>
  <si>
    <t>AC40-شپنا-04</t>
  </si>
  <si>
    <t>مسعود بهزادپور</t>
  </si>
  <si>
    <t>معاون مالی و اداری شرکت سرمایه‌گذاری صنایع پتروشیمی؛ معاون مالی</t>
  </si>
  <si>
    <t>1398/05/09</t>
  </si>
  <si>
    <t>AC40-شپنا-05</t>
  </si>
  <si>
    <t>سعید محمدی</t>
  </si>
  <si>
    <t>دانشجوی دکترا مهندسی مالی</t>
  </si>
  <si>
    <t>مهندسی مالی؛ رئیس هیئت‌مدیره رفاه پردیس؛ معاون سرمایه‌گذاری</t>
  </si>
  <si>
    <t>1401/04/16</t>
  </si>
  <si>
    <t>AC40-وغدیر-01</t>
  </si>
  <si>
    <t>علی‌اکبر مصطفی‌پور</t>
  </si>
  <si>
    <t>عضو غیرموظف هیئت‌مدیره (نماینده صندوق بازنشستگی)</t>
  </si>
  <si>
    <t>غیرموظف هیئت‌مدیره: بله</t>
  </si>
  <si>
    <t>ستون عضو مالی: بله؛ معاون مالی و اداری صندوق بازنشستگی</t>
  </si>
  <si>
    <t>1404/01/25</t>
  </si>
  <si>
    <t>EV_SRC_VGHD_1404_001_p34</t>
  </si>
  <si>
    <t>AC40-وغدیر-02</t>
  </si>
  <si>
    <t>رضا نظری</t>
  </si>
  <si>
    <t>غیرموظف هیئت‌مدیره: خیر</t>
  </si>
  <si>
    <t>عضو مستقل: بله</t>
  </si>
  <si>
    <t>دکتری مدیریت بازرگانی</t>
  </si>
  <si>
    <t>ستون عضو مالی: بله؛ حسابرس داخلی شرکت‌های نفتی؛ مدیر مالی</t>
  </si>
  <si>
    <t>1396/11/30</t>
  </si>
  <si>
    <t>AC40-وغدیر-03</t>
  </si>
  <si>
    <t>کامران پورمحمدی</t>
  </si>
  <si>
    <t>دکتری اقتصاد</t>
  </si>
  <si>
    <t>ستون عضو مالی: بله (برچسب منبع)؛ رشته اقتصاد</t>
  </si>
  <si>
    <t>1402/07/23</t>
  </si>
  <si>
    <t>AC40-وغدیر-04</t>
  </si>
  <si>
    <t>مهدی بیرانوند</t>
  </si>
  <si>
    <t>ستون عضو مالی: بله؛ عضو جامعه حسابداران رسمی</t>
  </si>
  <si>
    <t>AC40-وغدیر-05</t>
  </si>
  <si>
    <t>عباس مهرور</t>
  </si>
  <si>
    <t>ستون عضو مالی: بله؛ معاون مالی و بودجه سازمان صنایع</t>
  </si>
  <si>
    <t>1404/10/23</t>
  </si>
  <si>
    <t>تاریخ عضویت پس از پایان دوره ۱۴۰۴/۰۹/۳۰</t>
  </si>
  <si>
    <t>AC40-نوری-01</t>
  </si>
  <si>
    <t>فریدون امیری</t>
  </si>
  <si>
    <t>عضو غیرموظف هیئت‌مدیره: بله</t>
  </si>
  <si>
    <t>رشته مدیریت مالی؛ مدیر مالی و روابط با سرمایه‌گذاران پتروشیمی پارس</t>
  </si>
  <si>
    <t>1404/08/25</t>
  </si>
  <si>
    <t>EV_SRC_NOOR_1404_007_p43</t>
  </si>
  <si>
    <t>43</t>
  </si>
  <si>
    <t>AC40-نوری-02</t>
  </si>
  <si>
    <t>محمدرضا پاشایی</t>
  </si>
  <si>
    <t>عضو غیرموظف هیئت‌مدیره: خیر</t>
  </si>
  <si>
    <t>کارشناسی مدیریت بازرگانی</t>
  </si>
  <si>
    <t>معاون مالی هلدینگ تاپیکو؛ مدیرعامل نیروگاه</t>
  </si>
  <si>
    <t>1399/01/26</t>
  </si>
  <si>
    <t>AC40-نوری-03</t>
  </si>
  <si>
    <t>مدیر فنی سازمان حسابرسی؛ حسابرس رسمی</t>
  </si>
  <si>
    <t>1404/05/26</t>
  </si>
  <si>
    <t>AC40-فولاد-01</t>
  </si>
  <si>
    <t>رئیس</t>
  </si>
  <si>
    <t>علی افشین</t>
  </si>
  <si>
    <t>کارشناسی MBA</t>
  </si>
  <si>
    <t>سندیکای آلومینیوم ایران</t>
  </si>
  <si>
    <t>EV_SRC_FOLD_1404_002_p34</t>
  </si>
  <si>
    <t>AC40-فولاد-02</t>
  </si>
  <si>
    <t>شاپور محمدی</t>
  </si>
  <si>
    <t>دکترای اقتصاد</t>
  </si>
  <si>
    <t>AC40-فولاد-03</t>
  </si>
  <si>
    <t>امیرحسین ابطحی</t>
  </si>
  <si>
    <t>رشته حسابداری</t>
  </si>
  <si>
    <t>1401/06/09</t>
  </si>
  <si>
    <t>AC40-فولاد-04</t>
  </si>
  <si>
    <t>حسن فرج‌زاده</t>
  </si>
  <si>
    <t>1403/11/15</t>
  </si>
  <si>
    <t>AC40-فولاد-05</t>
  </si>
  <si>
    <t>حسن طالبی</t>
  </si>
  <si>
    <t>AC40-کچاد-01</t>
  </si>
  <si>
    <t>دکترا الهیات و معارف اسلامی</t>
  </si>
  <si>
    <t>سوابق: مستشار دیوان محاسبات؛ ریاست دانشگاه (ص ۱۴۱ گزارش)</t>
  </si>
  <si>
    <t>1403/10/11</t>
  </si>
  <si>
    <t>EV_SRC_KCHD_1404_001_p143</t>
  </si>
  <si>
    <t>143</t>
  </si>
  <si>
    <t>AC40-کچاد-02</t>
  </si>
  <si>
    <t>عضو و دبیر کمیته</t>
  </si>
  <si>
    <t>محمدرضا حسن‌پور</t>
  </si>
  <si>
    <t>مدیرعامل مؤسسه الزهرا؛ مدیر عامل سازمان پزشکی سیدالشهدا</t>
  </si>
  <si>
    <t>1401/06/22</t>
  </si>
  <si>
    <t>«عضو و دبیر» → عضو صریح</t>
  </si>
  <si>
    <t>AC40-کچاد-03</t>
  </si>
  <si>
    <t>ناصر شکاری وانقی</t>
  </si>
  <si>
    <t>۱۷ سال سازمان حسابرسی؛ ۱۲ سال شریک مؤسسات حسابرسی</t>
  </si>
  <si>
    <t>AC40-کچاد-04</t>
  </si>
  <si>
    <t>هادی فاوچی</t>
  </si>
  <si>
    <t>مشاور مدیرعامل ایراسکو؛ عضو کمیته حسابرسی سی‌پی‌جی‌پارس؛ مشاور رئیس کل دیوان محاسبات</t>
  </si>
  <si>
    <t>1404/01/18</t>
  </si>
  <si>
    <t>فرصت حضور نامشخص</t>
  </si>
  <si>
    <t>AC40-کچاد-05</t>
  </si>
  <si>
    <t>حیدر فرزانه</t>
  </si>
  <si>
    <t>قائم‌مقام معاونت منابع مالی سازمان صدا و سیما؛ مدیر کل اداری مالی</t>
  </si>
  <si>
    <t>1404/04/31</t>
  </si>
  <si>
    <t>فرصت حضور نامشخص (عضو از ۱۴۰۴/۰۴/۳۱)</t>
  </si>
  <si>
    <t>AC40-کگل-01</t>
  </si>
  <si>
    <t>حمیدرضا فولادگر</t>
  </si>
  <si>
    <t>دکتری مهندسی صنایع</t>
  </si>
  <si>
    <t>رشته مهندسی صنایع؛ سوابق دانشگاهی/هیئت‌مدیره</t>
  </si>
  <si>
    <t>1403/08/06</t>
  </si>
  <si>
    <t>EV_SRC_KGOL_1404_001_p136</t>
  </si>
  <si>
    <t>136</t>
  </si>
  <si>
    <t>AC40-کگل-02</t>
  </si>
  <si>
    <t>عضو کمیته (سابق)</t>
  </si>
  <si>
    <t>محمد سلطانی</t>
  </si>
  <si>
    <t>حسابدار رسمی؛ شریک؛ مدیر حسابرسی داخلی بانک ملی</t>
  </si>
  <si>
    <t>1403/03/26</t>
  </si>
  <si>
    <t>(سابق؛ جایگزین‌شده)</t>
  </si>
  <si>
    <t>عضو سابق؛ در مقطع پایان دوره عضو نیست</t>
  </si>
  <si>
    <t>AC40-کگل-03</t>
  </si>
  <si>
    <t>عضو کمیته (جدید)</t>
  </si>
  <si>
    <t>امیرحسین تائبی نقندری</t>
  </si>
  <si>
    <t>عضو هیئت علمی؛ عضو جامعه حسابداران رسمی</t>
  </si>
  <si>
    <t>1404/07/27</t>
  </si>
  <si>
    <t>AC40-کگل-04</t>
  </si>
  <si>
    <t>فاطمه حسنی دهکاء</t>
  </si>
  <si>
    <t>عضو هیئت‌مدیره و رئیس کمیته حسابرسی چند شرکت</t>
  </si>
  <si>
    <t>«عضو هیئت‌مدیره و رئیس کمیته حسابرسی» سایر شرکت‌ها</t>
  </si>
  <si>
    <t>AC40-کگل-05</t>
  </si>
  <si>
    <t>محمد سرچمی</t>
  </si>
  <si>
    <t>مدیر بورس و مجامع؛ معاون مالی</t>
  </si>
  <si>
    <t>1403/12/19</t>
  </si>
  <si>
    <t>AC40-پارسان-01</t>
  </si>
  <si>
    <t>عضو هیئت‌مدیره (ستون عضو هیئت‌مدیره/مستقل)</t>
  </si>
  <si>
    <t>دکترای حسابداری؛ مدیرعامل سرمایه‌گذاری غدیر</t>
  </si>
  <si>
    <t>1398/12/11</t>
  </si>
  <si>
    <t>EV_SRC_PRSN_1404_007_p42</t>
  </si>
  <si>
    <t>AC40-پارسان-02</t>
  </si>
  <si>
    <t>حمید اسدزاده</t>
  </si>
  <si>
    <t>مستقل</t>
  </si>
  <si>
    <t>مدیر حسابرسی داخلی هلدینگ؛ حسابدار رسمی</t>
  </si>
  <si>
    <t>1403/10/04</t>
  </si>
  <si>
    <t>عضو از میانه سال ولی ۱۳ جلسه حضور؛ تناقض احتمالی با تاریخ</t>
  </si>
  <si>
    <t>AC40-پارسان-03</t>
  </si>
  <si>
    <t>عضو کمیته (پایان‌یافته)</t>
  </si>
  <si>
    <t>افشین رحیمی</t>
  </si>
  <si>
    <t>حسابرس داخلی بین‌المللی؛ معاون مالی گردشگری</t>
  </si>
  <si>
    <t>1404/02/15</t>
  </si>
  <si>
    <t>عضویت پایان‌یافته؛ در پایان سال عضو نیست</t>
  </si>
  <si>
    <t>AC40-پارسان-04</t>
  </si>
  <si>
    <t>محسن غلامرضائی</t>
  </si>
  <si>
    <t>کارشناس رسمی دادگستری؛ عضو کمیته فنی انجمن حسابرسان داخلی</t>
  </si>
  <si>
    <t>1404/04/04</t>
  </si>
  <si>
    <t>AC40-اخابر-01</t>
  </si>
  <si>
    <t>ابراهیم محمودزاده</t>
  </si>
  <si>
    <t>عضو مستقل: × (خیر)</t>
  </si>
  <si>
    <t>دکترای مدیریت استراتژیک</t>
  </si>
  <si>
    <t>رئیس هیئت‌مدیره مخابرات؛ مدیرعامل صاایران؛ سوابق غیرمالی</t>
  </si>
  <si>
    <t>EV_SRC_AKHB_1404_001_p99</t>
  </si>
  <si>
    <t>99/95</t>
  </si>
  <si>
    <t>AC40-اخابر-02</t>
  </si>
  <si>
    <t>سیداسدالله دهناد</t>
  </si>
  <si>
    <t>کارشناسی ارشد مدیریت فناوری اطلاعات</t>
  </si>
  <si>
    <t>وزیر ارتباطات سابق؛ فناوری اطلاعات</t>
  </si>
  <si>
    <t>AC40-اخابر-03</t>
  </si>
  <si>
    <t>محمداسماعیل مولایی</t>
  </si>
  <si>
    <t>عضو مستقل: √ (بله)</t>
  </si>
  <si>
    <t>دکترا (رشته نامشخص)</t>
  </si>
  <si>
    <t>معاونت مالی در دستگاه‌های اجرایی مختلف</t>
  </si>
  <si>
    <t>99</t>
  </si>
  <si>
    <t>AC40-اخابر-04</t>
  </si>
  <si>
    <t>غلامعلی موحدی اصل</t>
  </si>
  <si>
    <t>رئیس گروه حسابرسی مدیریت ساصد؛ حسابدار رسمی؛ رئیس کمیته حسابرسی سرمایه‌گذاری ساتا</t>
  </si>
  <si>
    <t>AC40-اخابر-05</t>
  </si>
  <si>
    <t>کمال بیگدلی</t>
  </si>
  <si>
    <t>مدیرکل مالی؛ ذی‌حساب مخابرات؛ مسئول کمیته حسابرسی تأمین سرمایه لوتوس</t>
  </si>
  <si>
    <t>AC40-جم-01</t>
  </si>
  <si>
    <t>تحصیل/سابقه در این صفحه نیست (دکترا طبق Type19 هیئت‌مدیره)</t>
  </si>
  <si>
    <t>EV_SRC_JAM_1404_001_p62</t>
  </si>
  <si>
    <t>62</t>
  </si>
  <si>
    <t>AC40-جم-02</t>
  </si>
  <si>
    <t>مدیر حسابرسی داخلی</t>
  </si>
  <si>
    <t>عنوان: مدیر حسابرسی داخلی</t>
  </si>
  <si>
    <t>AC40-جم-03</t>
  </si>
  <si>
    <t>فقط نام</t>
  </si>
  <si>
    <t>AC40-جم-04</t>
  </si>
  <si>
    <t>دکترای حسابداری (ارجاع به گزارش پارس ص۳۶)</t>
  </si>
  <si>
    <t>گزارش پارس ص۳۶: عضو کمیته حسابرسی جم/نوری؛ دکترای حسابداری</t>
  </si>
  <si>
    <t>62+PARS36</t>
  </si>
  <si>
    <t>شواهد تخصص از سند شرکت دیگر با تصریح عضویت همزمان در جم</t>
  </si>
  <si>
    <t>AC40-جم-05</t>
  </si>
  <si>
    <t>مجید همتی</t>
  </si>
  <si>
    <t>AC40-جم-06</t>
  </si>
  <si>
    <t>فقط نام (گزارش پارس: ارشد اقتصاد)</t>
  </si>
  <si>
    <t>هویت با فلورا کریمی پارس بدون تصریح یکسان نشد</t>
  </si>
  <si>
    <t>AC40-ومعادن-01</t>
  </si>
  <si>
    <t>محمدرضا درخشنده</t>
  </si>
  <si>
    <t>معاون مالی و اقتصادی صدرتامین؛ مدیر سرمایه‌گذاری</t>
  </si>
  <si>
    <t>1403/02/02</t>
  </si>
  <si>
    <t>EV_SRC_VMDN_1404_001_p44</t>
  </si>
  <si>
    <t>44</t>
  </si>
  <si>
    <t>AC40-ومعادن-02</t>
  </si>
  <si>
    <t>غلامرضا روزبهانی</t>
  </si>
  <si>
    <t>رئیس هیئت‌مدیره شرکت‌های فولاد؛ مدیر مالی؛ حسابرس</t>
  </si>
  <si>
    <t>1400/02/12</t>
  </si>
  <si>
    <t>AC40-ومعادن-03</t>
  </si>
  <si>
    <t>سعید عبودی</t>
  </si>
  <si>
    <t>کارشناسی مدیریت</t>
  </si>
  <si>
    <t>مشاور و بازرس؛ مدیرعامل شرکت؛ بدون شاهد مالی صریح</t>
  </si>
  <si>
    <t>1394/08/17</t>
  </si>
  <si>
    <t>EV_SRC_VMDN_1404_001_p45</t>
  </si>
  <si>
    <t>45</t>
  </si>
  <si>
    <t>AC40-ومعادن-04</t>
  </si>
  <si>
    <t>رسول پورسعادت</t>
  </si>
  <si>
    <t>دکتری مدیریت کسب‌وکار</t>
  </si>
  <si>
    <t>مدیر حسابرسی داخلی و دبیر کمیته حسابرسی فولاد مبارکه؛ رئیس کمیته ریسک</t>
  </si>
  <si>
    <t>1403/05/14</t>
  </si>
  <si>
    <t>AC40-ومعادن-05</t>
  </si>
  <si>
    <t>دبیر کمیته آموزش و تحقیقات سازمان حسابرسی؛ عضو جامعه حسابداران رسمی</t>
  </si>
  <si>
    <t>1395/06/28</t>
  </si>
  <si>
    <t>AC40-ومعادن-06</t>
  </si>
  <si>
    <t>اعظم دانشی</t>
  </si>
  <si>
    <t>بیش از ۱۵ سال حسابرسی داخلی؛ موسسه حسابرسی</t>
  </si>
  <si>
    <t>1401/06/20</t>
  </si>
  <si>
    <t>AC40-وامید-01</t>
  </si>
  <si>
    <t>سیدمصطفی سیدهاشمی</t>
  </si>
  <si>
    <t>کارشناسی ارشد توسعه اقتصادی و برنامه‌ریزی</t>
  </si>
  <si>
    <t>1402/10/16</t>
  </si>
  <si>
    <t>EV_SRC_VAMD_1404_001_p73</t>
  </si>
  <si>
    <t>73</t>
  </si>
  <si>
    <t>AC40-وامید-02</t>
  </si>
  <si>
    <t>محمدرضا صادقی مقدم</t>
  </si>
  <si>
    <t>دکتری مدیریت تولید و عملیات</t>
  </si>
  <si>
    <t>ستون عضو مالی: بله؛ رئیس هیئت‌مدیره مدیریت سرمایه‌گذاری ملی</t>
  </si>
  <si>
    <t>1403/02/11</t>
  </si>
  <si>
    <t>AC40-وامید-03</t>
  </si>
  <si>
    <t>مرتضی درویشی</t>
  </si>
  <si>
    <t>ستون عضو مالی: بله؛ کارشناس رسمی دادگستری</t>
  </si>
  <si>
    <t>1401/02/06</t>
  </si>
  <si>
    <t>AC40-وامید-04</t>
  </si>
  <si>
    <t>حمیدرضا خطیبی</t>
  </si>
  <si>
    <t>کارشناسی ارشد مدیریت بانکی</t>
  </si>
  <si>
    <t>ستون عضو مالی: بله؛ هیئت‌مدیره بانک سپه</t>
  </si>
  <si>
    <t>1399/12/13</t>
  </si>
  <si>
    <t>AC40-وامید-05</t>
  </si>
  <si>
    <t>محسن خوش‌طینت نیک‌نیت</t>
  </si>
  <si>
    <t>ستون عضو مالی: بله؛ عضو کمیته حسابرسی شرکت‌های کارگزاری</t>
  </si>
  <si>
    <t>1399/09/11</t>
  </si>
  <si>
    <t>AC40-خساپا-01</t>
  </si>
  <si>
    <t>(برچسب استقلال ندارد)</t>
  </si>
  <si>
    <t>تحصیل/سابقه در این صفحه نیست</t>
  </si>
  <si>
    <t>1404/02/27</t>
  </si>
  <si>
    <t>EV_SRC_KHSP_1404_001_p49</t>
  </si>
  <si>
    <t>49</t>
  </si>
  <si>
    <t>AC40-خساپا-02</t>
  </si>
  <si>
    <t>عضو مستقل کمیته حسابرسی</t>
  </si>
  <si>
    <t>فریدون رهنمای رودپشتی</t>
  </si>
  <si>
    <t>عضو مستقل کمیته حسابرسی (صریح در متن)</t>
  </si>
  <si>
    <t>AC40-خساپا-03</t>
  </si>
  <si>
    <t>ابراهیم آقاپور</t>
  </si>
  <si>
    <t>AC40-همراه-01</t>
  </si>
  <si>
    <t>عضو کمیته (سمت شرکتی: رئیس هیئت‌مدیره)</t>
  </si>
  <si>
    <t>علی بقائی</t>
  </si>
  <si>
    <t>رئیس هیئت‌مدیره (عضو غیرموظف)</t>
  </si>
  <si>
    <t>دکتری مدیریت مالی</t>
  </si>
  <si>
    <t>دکتری مدیریت مالی؛ رئیس هیئت‌مدیره توسعه اقتصادی تدبیر</t>
  </si>
  <si>
    <t>1397</t>
  </si>
  <si>
    <t>EV_SRC_HMRH_1404_001_p29</t>
  </si>
  <si>
    <t>سمت در کمیته ذکر نشده؛ فقط سال عضویت</t>
  </si>
  <si>
    <t>AC40-همراه-02</t>
  </si>
  <si>
    <t>عضو کمیته (سمت شرکتی: نایب رئیس)</t>
  </si>
  <si>
    <t>محمد پیری</t>
  </si>
  <si>
    <t>نایب رئیس هیئت‌مدیره (عضو غیرموظف)</t>
  </si>
  <si>
    <t>دکتری مدیریت استراتژیک</t>
  </si>
  <si>
    <t>مدیرعامل شرکت‌های توسعه؛ غیرمالی</t>
  </si>
  <si>
    <t>1403</t>
  </si>
  <si>
    <t>AC40-همراه-03</t>
  </si>
  <si>
    <t>کیهان مهام</t>
  </si>
  <si>
    <t>عضو جامعه حسابداران رسمی؛ شریک موسسه حسابرسی</t>
  </si>
  <si>
    <t>1398</t>
  </si>
  <si>
    <t>AC40-همراه-04</t>
  </si>
  <si>
    <t>علی صفرعلی</t>
  </si>
  <si>
    <t>دکتری مدیریت مالی؛ معاون مدیرعامل تدبیر؛ تامین سرمایه لوتوس</t>
  </si>
  <si>
    <t>AC40-همراه-05</t>
  </si>
  <si>
    <t>امیرحسین عسگری‌زاده</t>
  </si>
  <si>
    <t>1404</t>
  </si>
  <si>
    <t>AC40-وبملت-01</t>
  </si>
  <si>
    <t>ریاست کمیته حسابرسی</t>
  </si>
  <si>
    <t>سیدکاظم چاووشی</t>
  </si>
  <si>
    <t>مدیر امور مالی بانک ملت؛ رئیس حسابرسی گروه مالی ملت</t>
  </si>
  <si>
    <t>1400/12/04</t>
  </si>
  <si>
    <t>EV_SRC_MELT_1404_002_p53</t>
  </si>
  <si>
    <t>53</t>
  </si>
  <si>
    <t>AC40-وبملت-02</t>
  </si>
  <si>
    <t>عضو کمیته حسابرسی</t>
  </si>
  <si>
    <t>علی اسماعیل‌زاده مقری</t>
  </si>
  <si>
    <t>دکتری مدیریت مالی؛ رئیس دانشکده حسابداری</t>
  </si>
  <si>
    <t>1397/03/09</t>
  </si>
  <si>
    <t>AC40-وبملت-03</t>
  </si>
  <si>
    <t>حسین کثیری</t>
  </si>
  <si>
    <t>معاون مالی بانک مرکزی؛ حسابداری</t>
  </si>
  <si>
    <t>1401/10/11 تا کنون (و ۱۴۰۰/۰۵/۱۷ ۱۴۰۰/۱۰/۱۲)</t>
  </si>
  <si>
    <t>EV_SRC_MELT_1404_002_p54</t>
  </si>
  <si>
    <t>AC40-وبملت-04</t>
  </si>
  <si>
    <t>محمدحسین صفرزاده بندری</t>
  </si>
  <si>
    <t>عضو هیئت علمی حسابداری؛ استانداردهای حسابداری</t>
  </si>
  <si>
    <t>1404/03/13</t>
  </si>
  <si>
    <t>عضو از میانه سال؛ ۳۰ حضور در برابر ۳۷ جلسه سال؛ فرصت واقعی نامشخص</t>
  </si>
  <si>
    <t>AC40-وبملت-05</t>
  </si>
  <si>
    <t>دبیر کمیته حسابرسی</t>
  </si>
  <si>
    <t>پیمان طوبائی</t>
  </si>
  <si>
    <t>رئیس مدیریت حسابرسی داخلی بانک ملت</t>
  </si>
  <si>
    <t>1398/01/21</t>
  </si>
  <si>
    <t>EV_SRC_MELT_1404_002_p55</t>
  </si>
  <si>
    <t>55</t>
  </si>
  <si>
    <t>AC40-وبصادر-01</t>
  </si>
  <si>
    <t>عضو هیئت‌مدیره و رئیس کمیته</t>
  </si>
  <si>
    <t>محمد وطن‌پور</t>
  </si>
  <si>
    <t>مدیرعامل موظف غیراجرایی؛ معاون بانکداری جامع؛ رشته مدیریت مالی</t>
  </si>
  <si>
    <t>EV_SRC_VBSD_1404_001_p49</t>
  </si>
  <si>
    <t>AC40-وبصادر-02</t>
  </si>
  <si>
    <t>محمود لنگری</t>
  </si>
  <si>
    <t>AC40-وبصادر-03</t>
  </si>
  <si>
    <t>حمیدرضا گنجی</t>
  </si>
  <si>
    <t>کارشناس رسمی؛ مشاور مالیاتی؛ عضو هیئت‌مدیره شرکت‌های بورسی</t>
  </si>
  <si>
    <t>EV_SRC_VBSD_1404_001_p50</t>
  </si>
  <si>
    <t>50</t>
  </si>
  <si>
    <t>AC40-وبصادر-04</t>
  </si>
  <si>
    <t>محسن قادری</t>
  </si>
  <si>
    <t>کارشناسی ارشد مهندسی برق-کامپیوتر</t>
  </si>
  <si>
    <t>مدیر فناوری اطلاعات؛ عضو هیئت‌مدیره فناوری</t>
  </si>
  <si>
    <t>1404/03/10</t>
  </si>
  <si>
    <t>عضو از میانه سال؛ حضور کمتر طبق پانوشت</t>
  </si>
  <si>
    <t>AC40-وبصادر-05</t>
  </si>
  <si>
    <t>عضو کمیته (مستقل طبق پانوشت)</t>
  </si>
  <si>
    <t>محمد خدایاری</t>
  </si>
  <si>
    <t>عضو مستقل (پانوشت)</t>
  </si>
  <si>
    <t>بازنشسته بانک مرکزی؛ معاون حسابداری؛ رئیس گروه حسابداری و مالی</t>
  </si>
  <si>
    <t>1404/03/20</t>
  </si>
  <si>
    <t>عضو از میانه سال</t>
  </si>
  <si>
    <t>AC40-وبصادر-06</t>
  </si>
  <si>
    <t>رئیس اداره کل حسابرسی داخلی و دبیر کمیته</t>
  </si>
  <si>
    <t>حسین جعفری</t>
  </si>
  <si>
    <t>رئیس اداره کل حسابرسی داخلی؛ عضو مستقل کمیته حسابرسی شرکت‌ها</t>
  </si>
  <si>
    <t>AC40-حکشتی-01</t>
  </si>
  <si>
    <t>(نام ثبت نشده ردیف ۱)</t>
  </si>
  <si>
    <t>دکتری</t>
  </si>
  <si>
    <t>رشته ذکر نشده</t>
  </si>
  <si>
    <t>1398/07/17</t>
  </si>
  <si>
    <t>EV_SRC_HKSH_1404_002_p89</t>
  </si>
  <si>
    <t>89</t>
  </si>
  <si>
    <t>AC40-حکشتی-02</t>
  </si>
  <si>
    <t>(نام ثبت نشده ردیف ۲)</t>
  </si>
  <si>
    <t>1400/04/22</t>
  </si>
  <si>
    <t>AC40-حکشتی-03</t>
  </si>
  <si>
    <t>(نام ثبت نشده ردیف ۳)</t>
  </si>
  <si>
    <t>1399/04/07</t>
  </si>
  <si>
    <t>AC40-حکشتی-04</t>
  </si>
  <si>
    <t>(نام ثبت نشده ردیف ۴)</t>
  </si>
  <si>
    <t>1395/02/15</t>
  </si>
  <si>
    <t>AC40-حکشتی-05</t>
  </si>
  <si>
    <t>(نام ثبت نشده ردیف ۵)</t>
  </si>
  <si>
    <t>1397/05/23</t>
  </si>
  <si>
    <t>AC40-حکشتی-06</t>
  </si>
  <si>
    <t>مدیر حسابرسی داخلی و دبیر کمیته</t>
  </si>
  <si>
    <t>(نام ثبت نشده دبیر)</t>
  </si>
  <si>
    <t>1403/08/09</t>
  </si>
  <si>
    <t>AC40-شپدیس-01</t>
  </si>
  <si>
    <t>عضو غیرموظف هیئت‌مدیره (رئیس هیئت‌مدیره تا ۱۴۰۴/۰۸/۱۷)</t>
  </si>
  <si>
    <t>رشته مدیریت بازرگانی</t>
  </si>
  <si>
    <t>رشته مدیریت بازرگانی؛ بدون شاهد مالی صریح</t>
  </si>
  <si>
    <t>1403/12/12</t>
  </si>
  <si>
    <t>EV_SRC_SHPD_1404_001_p23</t>
  </si>
  <si>
    <t>AC40-شپدیس-02</t>
  </si>
  <si>
    <t>رشته حسابداری (دکترا طبق گزارش پارسان)</t>
  </si>
  <si>
    <t>1391/05/16</t>
  </si>
  <si>
    <t>عضو هیئت‌مدیره پارسان؛ در شپدیس غیرهیئت‌مدیره</t>
  </si>
  <si>
    <t>AC40-شپدیس-03</t>
  </si>
  <si>
    <t>اکبر لطفی</t>
  </si>
  <si>
    <t>رشته مدیریت مالی</t>
  </si>
  <si>
    <t>1401/05/30</t>
  </si>
  <si>
    <t>AC40-شپدیس-04</t>
  </si>
  <si>
    <t>کمال محمدعلی‌زاده</t>
  </si>
  <si>
    <t>1402/08/17</t>
  </si>
  <si>
    <t>خلاصه شرکت به شرکت کمیته حسابرسی v40</t>
  </si>
  <si>
    <t>ستون های شمارشی با فرمول از برگه AC Members v40 ساخته شده اند. سنجه ها فقط وقتی مقدار می گیرند که فهرست تاییدشده و مخرج معتبر باشد؛ نامشخص هرگز صفر نشده است. ستون های ACX01 و ACX02 کاندید تکمیلی اند، نه سنجه نهایی.</t>
  </si>
  <si>
    <t>دوره یا مقطع گزارش</t>
  </si>
  <si>
    <t>مقطع مبنا</t>
  </si>
  <si>
    <t>پایان دوره پس از ۱۴۰۴/۱۲/۲۹ یا پیش از آن</t>
  </si>
  <si>
    <t>وضعیت وجود کمیته</t>
  </si>
  <si>
    <t>AUD01 وجود کمیته</t>
  </si>
  <si>
    <t>تعداد اعلام شده در متن</t>
  </si>
  <si>
    <t>عبارت اعلام تعداد</t>
  </si>
  <si>
    <t>وضعیت فهرست اعضا</t>
  </si>
  <si>
    <t>تعداد اعضای شناسایی شده (MEMBER)</t>
  </si>
  <si>
    <t>تعداد دبیر</t>
  </si>
  <si>
    <t>تعداد عضو پیشین</t>
  </si>
  <si>
    <t>تعداد شروع پس از مقطع</t>
  </si>
  <si>
    <t>AUD02 اندازه کمیته (نهایی)</t>
  </si>
  <si>
    <t>تفاوت اعلام شده و شناسایی شده</t>
  </si>
  <si>
    <t>تعداد مستقل مستند</t>
  </si>
  <si>
    <t>تعداد غیرمستقل مستند</t>
  </si>
  <si>
    <t>تعداد نامشخص استقلال</t>
  </si>
  <si>
    <t>وضعیت استقلال</t>
  </si>
  <si>
    <t>N14 استقلال کمیته (کل اعضا)</t>
  </si>
  <si>
    <t>نسبت مستقل در میان قابل ارزیابی (جدا از N14)</t>
  </si>
  <si>
    <t>تعداد دارای تخصص مالی مستند</t>
  </si>
  <si>
    <t>تعداد بدون شاهد مالی کافی</t>
  </si>
  <si>
    <t>تعداد نامشخص تخصص مالی</t>
  </si>
  <si>
    <t>وضعیت وجود متخصص مالی</t>
  </si>
  <si>
    <t>N15 وجود متخصص مالی</t>
  </si>
  <si>
    <t>کامل بودن تعیین تخصص همه اعضا</t>
  </si>
  <si>
    <t>ACX01 سهم اعضای متخصص مالی (حد پایین)</t>
  </si>
  <si>
    <t>تعداد جلسات (عبارت منبع)</t>
  </si>
  <si>
    <t>وضعیت جلسات</t>
  </si>
  <si>
    <t>N16 تعداد جلسات</t>
  </si>
  <si>
    <t>دوره جلسات</t>
  </si>
  <si>
    <t>طول دوره جلسات به ماه</t>
  </si>
  <si>
    <t>جمع حضور اعضای مشمول</t>
  </si>
  <si>
    <t>جمع فرصت حضور اعضای مشمول</t>
  </si>
  <si>
    <t>تعداد اعضای مشمول نرخ حضور</t>
  </si>
  <si>
    <t>ACX02 نرخ حضور کمیته</t>
  </si>
  <si>
    <t>وضعیت حضور</t>
  </si>
  <si>
    <t>نام رئیس کمیته</t>
  </si>
  <si>
    <t>شاهد صفحه</t>
  </si>
  <si>
    <t>توضیح و محدودیت</t>
  </si>
  <si>
    <t>SRC_FMLI_1404_001</t>
  </si>
  <si>
    <t>FY1404 (…/12/29)</t>
  </si>
  <si>
    <t>مقطع مبنا برابر ۱۴۰۴/۱۲/۲۹</t>
  </si>
  <si>
    <t>کمیته از پنج عضو (با اکثریت مستقل و دارای تخصص مالی) تشکیل شده است</t>
  </si>
  <si>
    <t>بررسی شده ولی افشا یافت نشد</t>
  </si>
  <si>
    <t>1404/01/01 تا 1404/12/29</t>
  </si>
  <si>
    <t>فهرست پایان سال؛ جلسات حضور فردی ندارد؛ اعضای غیر از رئیس در فهرست هیئت‌مدیره نیستند.</t>
  </si>
  <si>
    <t>SRC_TPIK_1404_002</t>
  </si>
  <si>
    <t>FYE 1404/02/31 (1403/03/01 تا 1404/02/31)</t>
  </si>
  <si>
    <t>1404/02/31</t>
  </si>
  <si>
    <t>پایان دوره شرکت 1404/02/31، با مقطع مشترک ۱۴۰۴/۱۲/۲۹ برابر نیست</t>
  </si>
  <si>
    <t>تاییدشده با هشدار</t>
  </si>
  <si>
    <t>1403/03/01 تا 1404/02/31 (با هشدار سرصفحه)</t>
  </si>
  <si>
    <t>۵ عضو فعلی از ۱۴۰۳/۱۲/۱۵؛ فهرست ۵ عضو قبلی با تاریخ پایان در همان جدول؛ رشته تحصیلی اعضای فعلی صراحتا مالی نیست؛ فرصت حضور مشخص نیست.</t>
  </si>
  <si>
    <t>SRC_FARS_1404_001</t>
  </si>
  <si>
    <t>FYE 1404/03/31 (1403/04/01 تا 1404/03/31)</t>
  </si>
  <si>
    <t>1404/03/31</t>
  </si>
  <si>
    <t>پایان دوره شرکت 1404/03/31، با مقطع مشترک ۱۴۰۴/۱۲/۲۹ برابر نیست</t>
  </si>
  <si>
    <t>به موجب مصوبه ۴۲۸ مورخ ۱۴۰۳/۰۵/۲۹ هیئت‌مدیره، اعضای کمیته از ۵ نفر به ۳ نفر (یک عضو مستقل هیئت‌مدیره و دو عضو مستقل خارج از شرکت) تغییر یافت</t>
  </si>
  <si>
    <t>1403/04/01 تا 1404/03/31</t>
  </si>
  <si>
    <t>دو عضو قبلی بعد از ۱۴۰۳/۰۵/۲۹ حذف شده‌اند و در فهرست نیستند؛ حضور آنان قبل از آن مستند نیست؛ نرخ کل کمیته فقط برای دو عضو دارای فرصت معلوم قابل محاسبه است.</t>
  </si>
  <si>
    <t>SRC_IKCO_1404_001</t>
  </si>
  <si>
    <t>جدول «اعضای کمیته حسابرسی» (۳ ردیف)</t>
  </si>
  <si>
    <t>تاریخ‌ها «ریسک، انتصابات، حسابرسی» مشترک در عنوان ستون؛ تاریخ عضویت AC تعبیر شده با تردید جزئی.</t>
  </si>
  <si>
    <t>SRC_ZGRS_1404_001</t>
  </si>
  <si>
    <t>«مشخصات و سوابق کمیته حسابرسی» (۵ نفر)؛ بدون عدد اعلام‌شده</t>
  </si>
  <si>
    <t>وجود کمیته برای نخستین بار با سند تایید شد (v31: نامشخص). حضور و جلسات کمیته در گزارش نیست.</t>
  </si>
  <si>
    <t>جدول ۴ تا ۲ تا ۱ اطلاعات اعضای کمیته حسابرسی (۵ ردیف)</t>
  </si>
  <si>
    <t>فهرست اعضا؛ مصوبات و حضور فردی ندارد؛ اعضای پیشین کمیته در ۱۴۰۴ ثبت نشده.</t>
  </si>
  <si>
    <t>SRC_PARS_1404_001</t>
  </si>
  <si>
    <t>«اطلاعات اعضای کمیته حسابرسی» (۵ ردیف)</t>
  </si>
  <si>
    <t>حضور اعضای تازه‌وارد (۱۴۰۴/۰۹/۱۶) = ۵ جلسه؛ فرصت حضور آنها مشخص نیست.</t>
  </si>
  <si>
    <t>جدول «اعضای کمیته حسابرسی» (۴ ردیف شامل دبیر)</t>
  </si>
  <si>
    <t>وجود کمیته برای نخستین بار با سند تایید شد (v31: نامشخص). حضور فردی عددی نیست، فقط عبارت جمعی.</t>
  </si>
  <si>
    <t>FY1404 (…/12/29)؛ جدول «در تاریخ ۱۴۰۴/۱۲/۲۹»</t>
  </si>
  <si>
    <t>«۴ تا ۲-اطلاعات مربوط به کمیته‌های تخصصی در تاریخ ۱۴۰۴/۱۲/۲۹ کمیته حسابرسی» (۵ ردیف)</t>
  </si>
  <si>
    <t>مشخص نشده</t>
  </si>
  <si>
    <t>هیچ تاریخ عضویت؛ سمت رئیس کمیته مشخص نشده؛ فرصت حضور نامعلوم.</t>
  </si>
  <si>
    <t>SRC_RMPN_1404_001</t>
  </si>
  <si>
    <t>FY1404 (…/12/29)؛ اصلاحیه اسکن‌شده</t>
  </si>
  <si>
    <t>متن: «تعداد جلسات ۱۸ که ۹ جلسه آن با حضور اعضای جدید در شش‌ماهه دوم برگزار شده؛ جدول ۹ جلسه»</t>
  </si>
  <si>
    <t>۷ عضو + دبیر؛ ۹ جلسه نیمه اول با اعضای قبلی بدون نام و حضور. شاهد از اصلاحیه اسکن‌شده با خواندن تصویر صفحه.</t>
  </si>
  <si>
    <t>SRC_FKHZ_1404_001</t>
  </si>
  <si>
    <t>در مقطع ۱۴۰۴/۱۲/۲۹ فقط دو عضو تایید می‌شود؛ ممکن است عضو/رئیس قبلی حذف شده باشد (فهرست پایان سال نیست).</t>
  </si>
  <si>
    <t>SRC_SHST_1404_001</t>
  </si>
  <si>
    <t>«اعضای کمیته حسابرسی شستا برای دوره مالی منتهی به ۱۴۰۴/۰۳/۳۱ به شرح جدول» (۴ ردیف)</t>
  </si>
  <si>
    <t>شستا سال مالی ۰۳/۳۱ دارد؛ ترکیب پایان ۱۴۰۴/۰۳/۳۱ با مقطع مشترک ۱۴۰۴/۱۲/۲۹ فاصله دارد.</t>
  </si>
  <si>
    <t>SRC_SHPN_1404_001</t>
  </si>
  <si>
    <t>«مشخصات اعضای کمیته حسابرسی» (۵ ردیف)</t>
  </si>
  <si>
    <t>همه اعضا پیش از ابتدای ۱۴۰۴ عضو بودند → فرصت حضور ۱۲؛ عنوان ستون حضور «سال مالی گذشته» است و به سال گزارش تعبیر شد.</t>
  </si>
  <si>
    <t>SRC_VGHD_1404_001</t>
  </si>
  <si>
    <t>FYE 1404/09/30 (1403/10/01 تا 1404/09/30)</t>
  </si>
  <si>
    <t>1404/09/30</t>
  </si>
  <si>
    <t>پایان دوره شرکت 1404/09/30، با مقطع مشترک ۱۴۰۴/۱۲/۲۹ برابر نیست</t>
  </si>
  <si>
    <t>جدول «اعضای کمیته حسابرسی» (۵ ردیف)</t>
  </si>
  <si>
    <t>استقلال و تخصص مالی صریح (برچسب ستون). عضو پنجم پس از FYE آغاز شده؛ ترکیب در پایان ۱۴۰۴/۰۹/۳۰ چهار نفر.</t>
  </si>
  <si>
    <t>SRC_NOOR_1404_007</t>
  </si>
  <si>
    <t>جدول اعضای کمیته حسابرسی (۳ ردیف)</t>
  </si>
  <si>
    <t>رئیس از ۱۴۰۴/۰۸/۲۵؛ رئیس قبلی و حضور افراد ثبت نشده.</t>
  </si>
  <si>
    <t>همه اعضا پیش از ابتدای ۱۴۰۴ عضو شده‌اند → فرصت حضور ۲۲.</t>
  </si>
  <si>
    <t>SRC_KCHD_1404_001</t>
  </si>
  <si>
    <t>دوره ۹ ماهه منتهی به 1404/09/30 (1404/01/01 تا 1404/09/30؛ تغییر سال مالی)</t>
  </si>
  <si>
    <t>1404/01/01 تا 1404/09/30 (۹ ماه؛ ۱۲ ماهه ۱۴۰۴ منتشر نشده)</t>
  </si>
  <si>
    <t>دوره ۹ ماهه انتقالی؛ فاصله با دوره ۱۲ ماهه استاندارد؛ رئیس از ۱۴۰۳/۱۰/۱۱.</t>
  </si>
  <si>
    <t>SRC_KGOL_1404_001</t>
  </si>
  <si>
    <t>جدول «اعضای کمیته حسابرسی» (ردیف ۲ شامل عضو سابق و عضو جدید)</t>
  </si>
  <si>
    <t>۹ ماهه انتقالی؛ ۳ عضو فعلی + دبیر در مقطع ۱۴۰۴/۰۹/۳۰.</t>
  </si>
  <si>
    <t>FYE 1404/06/31 (1403/07/01 تا 1404/06/31)</t>
  </si>
  <si>
    <t>پایان دوره شرکت 1404/06/31، با مقطع مشترک ۱۴۰۴/۱۲/۲۹ برابر نیست</t>
  </si>
  <si>
    <t>«تعداد جلسات این کمیته طی سال مالی ۱۳ جلسه… اعضای کمیته حسابرسی به شرح زیر» (۴ ردیف)</t>
  </si>
  <si>
    <t>1403/07/01 تا 1404/06/31</t>
  </si>
  <si>
    <t>سال مالی ۰۶/۳۱؛ سه عضو فعال در پایان دوره؛ ترکیب در ۱۴۰۴/۱۲/۲۹ از این گزارش مشخص نیست.</t>
  </si>
  <si>
    <t>SRC_AKHB_1404_001</t>
  </si>
  <si>
    <t>جدول «ترکیب کمیته حسابرسی» (۵ ردیف)</t>
  </si>
  <si>
    <t>تاریخ عضویت اعضا در گزارش نیست؛ جلسات کل کمیته ناموجود؛ استقلال صریح برای هر ۵ نفر.</t>
  </si>
  <si>
    <t>SRC_JAM_1404_001</t>
  </si>
  <si>
    <t>کادر «کمیته حسابرسی» با ۶ ردیف (رئیس، دبیر، ۴ عضو)</t>
  </si>
  <si>
    <t>فقط نام و سمت؛ تحصیل، تاریخ، جلسات، حضور و استقلال گزارش نشده.</t>
  </si>
  <si>
    <t>جدول ۳۳ اعضای کمیته حسابرسی شرکت (۶ ردیف شامل دبیر)</t>
  </si>
  <si>
    <t>۵ عضو + دبیر؛ همه اعضا پیش از ابتدای ۱۴۰۴ عضو بوده‌اند (فرصت ۱۰).</t>
  </si>
  <si>
    <t>FYE 1404/10/30 (1403/11/01 تا 1404/10/30)</t>
  </si>
  <si>
    <t>1404/10/30</t>
  </si>
  <si>
    <t>پایان دوره شرکت 1404/10/30، با مقطع مشترک ۱۴۰۴/۱۲/۲۹ برابر نیست</t>
  </si>
  <si>
    <t>«کمیته مزبور دارای ۵ عضو است… یک نفر از اعضای غیرموظف هیئت‌مدیره و ۳ نفر عضو مستقل و یک نفر عضو غیرمستقل»</t>
  </si>
  <si>
    <t>1403/11/01 تا 1404/10/30</t>
  </si>
  <si>
    <t>استقلال و تخصص مالی صریح؛ تاریخ عضویت جدول ۴۰؛ همه پیش از شروع دوره مالی.</t>
  </si>
  <si>
    <t>SRC_KHSP_1404_001</t>
  </si>
  <si>
    <t>«کمیته… براساس الگوی ۳ نفره تشکیل … ترکیب اعضا طبق بند ۴ صورتجلسه ۸۰۲ هیئت‌مدیره مورخ ۱۴۰۴/۰۲/۲۷»</t>
  </si>
  <si>
    <t>تاریخ ۱۴۰۴/۰۲/۲۷ تاریخ تعیین ترکیب (جلسه هیئت‌مدیره)؛ تاریخ شروع دقیق عضویت ذکر نشده؛ پیش از آن ترکیب قبلی ثبت نشده؛ حضور و تحصیلات ندارد.</t>
  </si>
  <si>
    <t>جدول «کمیته حسابرسی» (۵ ردیف)</t>
  </si>
  <si>
    <t>فقط سال عضویت؛ رئیس کمیته مشخص نشده؛ «تبصره ۶ ماده ۱۴ رعایت شده».</t>
  </si>
  <si>
    <t>SRC_MELT_1404_002</t>
  </si>
  <si>
    <t>«الف- اعضای کمیته حسابرسی» ۵ کارت (۴ عضو + دبیر)</t>
  </si>
  <si>
    <t>تاریخ‌های عضویت صریح؛ حضور ۳۷ جلسه سالانه؛ ۴ عضو + دبیر.</t>
  </si>
  <si>
    <t>«تعداد اعضای کمیته ۶ عضو، مشتمل بر عضو هیئت‌مدیره به‌عنوان رئیس کمیته و چهار عضو مستقل خبره… و دبیر کمیته»</t>
  </si>
  <si>
    <t>۵ عضو + دبیر؛ تاریخ شروع فقط برای دو عضو؛ فرصت حضور اعضای میانه‌سال نامشخص.</t>
  </si>
  <si>
    <t>SRC_VPSR_1404_ICR(1526305)</t>
  </si>
  <si>
    <t>دوره ۱۲ ماهه منتهی به 1404/12/29</t>
  </si>
  <si>
    <t>منبع در دسترس نبود</t>
  </si>
  <si>
    <t>گزارش کنترل‌های داخلی: «عدم توافق با اهمیت بین کمیته حسابرسی و هیئت‌مدیره وجود ندارد» (جمله قالبی)؛ گزارش FY1403: فقط «کارگروه حسابرسی داخلی» در فهرست کارگروه‌ها</t>
  </si>
  <si>
    <t>EV_SRC_VPSR_1404_ICR1526305_p1</t>
  </si>
  <si>
    <t>وجود کمیته حسابرسی با افشای صریح تایید نشد: جمله قالبی ICR کافی نیست و FY1403 فقط «کارگروه حسابرسی داخلی» دارد. اطلاعیه ICR هیئت‌مدیره را ۷ نفر نشان می‌دهد (خارج از دامنه این مرحله).</t>
  </si>
  <si>
    <t>SRC_HKSH_1404_002</t>
  </si>
  <si>
    <t>جدول «کمیته حسابرسی» ۵ ردیف بدون نام + دبیر</t>
  </si>
  <si>
    <t>نام ثبت نشده</t>
  </si>
  <si>
    <t>وجود کمیته برای نخستین بار با سند تایید شد؛ ۵ ردیف بدون نام؛ اعضا و استقلال/تخصص قابل کدگذاری نیست؛ نام‌ها نیازمند منبع دیگر (جدول با نام یا ثبت شرکت).</t>
  </si>
  <si>
    <t>SRC_SHPD_1404_001</t>
  </si>
  <si>
    <t>«مشخصات اعضای کمیته حسابرسی» جدول ۴ ردیف (شامل دبیر)؛ کمیته از ۱۳۹۱/۰۷/۱۶ ایجاد شده</t>
  </si>
  <si>
    <t>حضور فردی ندارد؛ ترکیب پایان ۱۴۰۴/۰۶/۳۱؛ رئیس از ۱۴۰۳/۱۲/۱۲.</t>
  </si>
  <si>
    <t>رجیستری منابع کمیته حسابرسی v40</t>
  </si>
  <si>
    <t>هر ردیف یک صفحه شاهد است. تاریخ انتشار با مقطع داده یکی نیست؛ پرچم افشای پس از مقطع بر پایه ۱۴۰۴/۱۲/۲۹ است و درباره گزارش های منتشر شده پس از آن، داده فقط با صراحت درباره مقطع خودش استفاده شده است.</t>
  </si>
  <si>
    <t>شناسه منبع</t>
  </si>
  <si>
    <t>عنوان سند</t>
  </si>
  <si>
    <t>شماره ردیابی کدال</t>
  </si>
  <si>
    <t>تاریخ انتشار</t>
  </si>
  <si>
    <t>دوره مربوط</t>
  </si>
  <si>
    <t>شماره صفحه فایل</t>
  </si>
  <si>
    <t>شماره چاپی صفحه</t>
  </si>
  <si>
    <t>نشانی منبع</t>
  </si>
  <si>
    <t>مسیر نسخه محلی</t>
  </si>
  <si>
    <t>فایل شاهد در بسته</t>
  </si>
  <si>
    <t>خلاصه شاهد</t>
  </si>
  <si>
    <t>پرچم افشای پس از مقطع</t>
  </si>
  <si>
    <t>گزارش فعالیت هیئت مدیره دوره ۱۲ ماهه منتهی به ۱۴۰۴/۱۲/۲۹</t>
  </si>
  <si>
    <t>1566308</t>
  </si>
  <si>
    <t>1405/04/21 16:30</t>
  </si>
  <si>
    <t>https://www.codal.ir/Reports/Attachment.aspx?LetterSerial=qFAlYPrWWU4mR2wbOXOOObOOOsiA%3d%3d</t>
  </si>
  <si>
    <t>sources/codal/فملی/1404/original/SRC_FMLI_1404_001_attachment_1.pdf</t>
  </si>
  <si>
    <t>evidence/pages/EV_SRC_FMLI_1404_001_p36.png</t>
  </si>
  <si>
    <t>گزارش فعالیت هیئت مدیره دوره ۱۲ ماهه منتهی به ۱۴۰۴/۰۲/۳۱</t>
  </si>
  <si>
    <t>1394922</t>
  </si>
  <si>
    <t>1404/06/25 20:05</t>
  </si>
  <si>
    <t>https://www.codal.ir/Reports/Attachment.aspx?LetterSerial=BuFOOObOOOo6jufQQQaQQQ5kvXlvOOObOOOry5cw%3d%3d</t>
  </si>
  <si>
    <t>sources/codal/تاپیکو/1404/original/SRC_TPIK_1404_002_attachment_1.pdf</t>
  </si>
  <si>
    <t>evidence/pages/EV_SRC_TPIK_1404_002_p82.png</t>
  </si>
  <si>
    <t>EV_SRC_TPIK_1404_002_p83</t>
  </si>
  <si>
    <t>برابر شماره فایل یا نامشخص</t>
  </si>
  <si>
    <t>evidence/pages/EV_SRC_TPIK_1404_002_p83.png</t>
  </si>
  <si>
    <t>صفحه کمکی (جلسات، حضور، پیوست یا تکمیل جدول)</t>
  </si>
  <si>
    <t>گزارش فعالیت هیئت مدیره دوره ۱۲ ماهه منتهی به ۱۴۰۴/۰۳/۳۱</t>
  </si>
  <si>
    <t>1416214</t>
  </si>
  <si>
    <t>1404/07/23 19:45</t>
  </si>
  <si>
    <t>https://www.codal.ir/Reports/Attachment.aspx?LetterSerial=R1q7jKYS7pe0ND5SbFC8MQ%3d%3d</t>
  </si>
  <si>
    <t>sources/codal/فارس/1404/original/SRC_FARS_1404_001_attachment_1.pdf</t>
  </si>
  <si>
    <t>evidence/pages/EV_SRC_FARS_1404_001_p42.png</t>
  </si>
  <si>
    <t>گزارش فعالیت و وضع عمومی شرکت سال مالی منتهی به ۱۴۰۴/۱۲/۲۹ (فایل محلی؛ ردیابی کدال در manifest ثبت نشده)</t>
  </si>
  <si>
    <t>ثبت نشده</t>
  </si>
  <si>
    <t>sources/codal/خودرو/1404/original/SRC_IKCO_1404_001_original.pdf</t>
  </si>
  <si>
    <t>evidence/pages/EV_SRC_IKCO_1404_001_p54.png</t>
  </si>
  <si>
    <t>1565632</t>
  </si>
  <si>
    <t>1405/04/21 14:07</t>
  </si>
  <si>
    <t>https://www.codal.ir/Reports/Attachment.aspx?LetterSerial=zY6COOObOOOcgr0C4s0ZIhRMGryg%3d%3d</t>
  </si>
  <si>
    <t>sources/codal/زاگرس/1404/original/SRC_ZGRS_1404_001_attachment_1.pdf</t>
  </si>
  <si>
    <t>evidence/pages/EV_SRC_ZGRS_1404_001_p27.png</t>
  </si>
  <si>
    <t>EV_SRC_ZGRS_1404_001_p29</t>
  </si>
  <si>
    <t>evidence/pages/EV_SRC_ZGRS_1404_001_p29.png</t>
  </si>
  <si>
    <t>1564208</t>
  </si>
  <si>
    <t>1405/04/24 18:34</t>
  </si>
  <si>
    <t>https://www.codal.ir/Reports/Attachment.aspx?LetterSerial=N3GCfd3RcquN31sqdSRQQQaQQQug%3d%3d</t>
  </si>
  <si>
    <t>sources/codal/شبندر/1404/original/SRC_SHBN_1404_001_attachment_1.pdf</t>
  </si>
  <si>
    <t>evidence/pages/EV_SRC_SHBN_1404_001_p56.png</t>
  </si>
  <si>
    <t>evidence/pages/EV_SRC_SHBN_1404_001_p57.png</t>
  </si>
  <si>
    <t>EV_SRC_SHBN_1404_001_p59</t>
  </si>
  <si>
    <t>evidence/pages/EV_SRC_SHBN_1404_001_p59.png</t>
  </si>
  <si>
    <t>1559697</t>
  </si>
  <si>
    <t>1405/04/09 16:05</t>
  </si>
  <si>
    <t>https://www.codal.ir/Reports/Attachment.aspx?LetterSerial=cdWaWGqftXF7vQrdXi5MJw%3d%3d</t>
  </si>
  <si>
    <t>sources/codal/پارس/1404/original/SRC_PARS_1404_001_attachment_1.pdf</t>
  </si>
  <si>
    <t>evidence/pages/EV_SRC_PARS_1404_001_p36.png</t>
  </si>
  <si>
    <t>1575311</t>
  </si>
  <si>
    <t>1405/05/03 17:49</t>
  </si>
  <si>
    <t>sources/codal/شتران/1404/original/SRC_SHTR_1404_001_original.pdf</t>
  </si>
  <si>
    <t>evidence/pages/EV_SRC_SHTR_1404_002_p17.png</t>
  </si>
  <si>
    <t>1573032</t>
  </si>
  <si>
    <t>1405/04/31 10:07</t>
  </si>
  <si>
    <t>https://www.codal.ir/Reports/Attachment.aspx?LetterSerial=VZhrioZj31aPiJoRufitSg%3d%3d</t>
  </si>
  <si>
    <t>sources/codal/وتجارت/1404/original/SRC_VTEJ_1404_001_original.pdf</t>
  </si>
  <si>
    <t>evidence/pages/EV_SRC_VTEJ_1404_001_p52.png</t>
  </si>
  <si>
    <t>گزارش فعالیت هیئت مدیره دوره ۱۲ ماهه منتهی به ۱۴۰۴/۱۲/۲۹(اصلاحیه)</t>
  </si>
  <si>
    <t>1589141</t>
  </si>
  <si>
    <t>1405/06/02 17:03</t>
  </si>
  <si>
    <t>https://www.codal.ir/Reports/Attachment.aspx?LetterSerial=ZPTwXsha10FqOu4gKDQQQaQQQ3Ow%3d%3d</t>
  </si>
  <si>
    <t>sources/codal/رمپنا/1404/original/SRC_RMPN_1404_001_attachment_1.pdf</t>
  </si>
  <si>
    <t>evidence/pages/EV_SRC_RMPN_1404_001_p38.png</t>
  </si>
  <si>
    <t>1585806</t>
  </si>
  <si>
    <t>1405/05/26 19:59</t>
  </si>
  <si>
    <t>https://www.codal.ir/Reports/Attachment.aspx?LetterSerial=5ZWyvKDK0MJDzka9EiaU0g%3d%3d</t>
  </si>
  <si>
    <t>sources/codal/فخوز/1404/original/SRC_FKHZ_1404_001_attachment_1.pdf</t>
  </si>
  <si>
    <t>evidence/pages/EV_SRC_FKHZ_1404_001_p34.png</t>
  </si>
  <si>
    <t>EV_SRC_FKHZ_1404_001_p35</t>
  </si>
  <si>
    <t>evidence/pages/EV_SRC_FKHZ_1404_001_p35.png</t>
  </si>
  <si>
    <t>1417590</t>
  </si>
  <si>
    <t>1404/07/20 19:55</t>
  </si>
  <si>
    <t>https://www.codal.ir/Reports/Attachment.aspx?LetterSerial=TEl3hTcY7RdDCFEpY1ehSg%3d%3d</t>
  </si>
  <si>
    <t>sources/codal/شستا/1404/original/SRC_SHST_1404_001_attachment_1.pdf</t>
  </si>
  <si>
    <t>evidence/pages/EV_SRC_SHST_1404_001_p30.png</t>
  </si>
  <si>
    <t>1565408</t>
  </si>
  <si>
    <t>1405/04/21 09:15</t>
  </si>
  <si>
    <t>https://www.codal.ir/Reports/Attachment.aspx?LetterSerial=WBnwPdhi1lTe8pRlgN6wYw%3d%3d</t>
  </si>
  <si>
    <t>sources/codal/شپنا/1404/original/SRC_SHPN_1404_001_attachment_1.pdf</t>
  </si>
  <si>
    <t>evidence/pages/EV_SRC_SHPN_1404_001_p79.png</t>
  </si>
  <si>
    <t>EV_SRC_SHPN_1404_001_p80</t>
  </si>
  <si>
    <t>evidence/pages/EV_SRC_SHPN_1404_001_p80.png</t>
  </si>
  <si>
    <t>EV_SRC_SHPN_1404_001_p83</t>
  </si>
  <si>
    <t>evidence/pages/EV_SRC_SHPN_1404_001_p83.png</t>
  </si>
  <si>
    <t>گزارش فعالیت هیئت مدیره دوره ۱۲ ماهه منتهی به ۱۴۰۴/۰۹/۳۰</t>
  </si>
  <si>
    <t>1489172</t>
  </si>
  <si>
    <t>1404/11/27 18:56</t>
  </si>
  <si>
    <t>https://www.codal.ir/Reports/Attachment.aspx?LetterSerial=t59jEJeZqIV2QQQaQQQEqa1HjS8A%3d%3d</t>
  </si>
  <si>
    <t>sources/codal/وغدیر/1404/original/SRC_VGHD_1404_001_attachment_1.pdf</t>
  </si>
  <si>
    <t>evidence/pages/EV_SRC_VGHD_1404_001_p34.png</t>
  </si>
  <si>
    <t>EV_SRC_VGHD_1404_001_p38</t>
  </si>
  <si>
    <t>evidence/pages/EV_SRC_VGHD_1404_001_p38.png</t>
  </si>
  <si>
    <t>1561297</t>
  </si>
  <si>
    <t>1405/04/20 11:20</t>
  </si>
  <si>
    <t>sources/codal/نوری/1404/original/SRC_NOOR_1404_007_attachment_1.pdf</t>
  </si>
  <si>
    <t>evidence/pages/EV_SRC_NOOR_1404_007_p43.png</t>
  </si>
  <si>
    <t>1579311</t>
  </si>
  <si>
    <t>1405/05/09 09:46</t>
  </si>
  <si>
    <t>sources/codal/فولاد/1404/original/SRC_FOLD_1404_001_original.pdf</t>
  </si>
  <si>
    <t>evidence/pages/EV_SRC_FOLD_1404_002_p34.png</t>
  </si>
  <si>
    <t>گزارش فعالیت هیئت مدیره دوره ۹ ماهه منتهی به ۱۴۰۴/۰۹/۳۰</t>
  </si>
  <si>
    <t>1525630</t>
  </si>
  <si>
    <t>1405/02/26 15:36</t>
  </si>
  <si>
    <t>https://www.codal.ir/Reports/Attachment.aspx?LetterSerial=DHJOOObOOOqc3jnsfP3yy4jiGz1w%3d%3d</t>
  </si>
  <si>
    <t>sources/codal/کچاد/1404/original/SRC_KCHD_1404_001_attachment_1.pdf</t>
  </si>
  <si>
    <t>evidence/pages/EV_SRC_KCHD_1404_001_p143.png</t>
  </si>
  <si>
    <t>1525656</t>
  </si>
  <si>
    <t>1405/02/28 17:26</t>
  </si>
  <si>
    <t>https://www.codal.ir/Reports/Attachment.aspx?LetterSerial=GJchxNzFayYlVOX4LPTQQQaQQQJA%3d%3d</t>
  </si>
  <si>
    <t>sources/codal/کگل/1404/original/SRC_KGOL_1404_001_attachment_1.pdf</t>
  </si>
  <si>
    <t>evidence/pages/EV_SRC_KGOL_1404_001_p136.png</t>
  </si>
  <si>
    <t>گزارش فعالیت هیئت مدیره دوره ۱۲ ماهه منتهی به ۱۴۰۴/۰۶/۳۱</t>
  </si>
  <si>
    <t>1467768</t>
  </si>
  <si>
    <t>1404/10/11 16:28</t>
  </si>
  <si>
    <t>sources/codal/پارسان/1404/original/SRC_PRSN_1404_007_attachment_1.pdf</t>
  </si>
  <si>
    <t>evidence/pages/EV_SRC_PRSN_1404_007_p42.png</t>
  </si>
  <si>
    <t>EV_SRC_AKHB_1404_001_p95</t>
  </si>
  <si>
    <t>1556542</t>
  </si>
  <si>
    <t>1405/04/12 17:54</t>
  </si>
  <si>
    <t>https://www.codal.ir/Reports/Attachment.aspx?LetterSerial=q3EF5HWBdE3Wa0MdSn8GbQ%3d%3d</t>
  </si>
  <si>
    <t>sources/codal/اخابر/1404/original/SRC_AKHB_1404_001_attachment_1.pdf</t>
  </si>
  <si>
    <t>evidence/pages/EV_SRC_AKHB_1404_001_p95.png</t>
  </si>
  <si>
    <t>evidence/pages/EV_SRC_AKHB_1404_001_p99.png</t>
  </si>
  <si>
    <t>1564049</t>
  </si>
  <si>
    <t>1405/04/18 21:55</t>
  </si>
  <si>
    <t>https://www.codal.ir/Reports/Attachment.aspx?LetterSerial=CgOXSpDZ3Vj2G0QQQaQQQHLu6OZQ%3d%3d</t>
  </si>
  <si>
    <t>sources/codal/جم/1404/original/SRC_JAM_1404_001_attachment_1.pdf</t>
  </si>
  <si>
    <t>evidence/pages/EV_SRC_JAM_1404_001_p62.png</t>
  </si>
  <si>
    <t>1563796</t>
  </si>
  <si>
    <t>1405/04/17 21:16</t>
  </si>
  <si>
    <t>sources/codal/ومعادن/1404/original/SRC_VMDN_1404_001_attachment_1.pdf</t>
  </si>
  <si>
    <t>evidence/pages/EV_SRC_VMDN_1404_001_p44.png</t>
  </si>
  <si>
    <t>evidence/pages/EV_SRC_VMDN_1404_001_p45.png</t>
  </si>
  <si>
    <t>گزارش فعالیت هیئت مدیره دوره ۱۲ ماهه منتهی به ۱۴۰۴/۱۰/۳۰</t>
  </si>
  <si>
    <t>1542189</t>
  </si>
  <si>
    <t>1405/04/01 14:28</t>
  </si>
  <si>
    <t>sources/codal/وامید/1404/original/SRC_VAMD_1404_001_attachment_1.pdf</t>
  </si>
  <si>
    <t>evidence/pages/EV_SRC_VAMD_1404_001_p73.png</t>
  </si>
  <si>
    <t>1573029</t>
  </si>
  <si>
    <t>1405/04/31 06:18</t>
  </si>
  <si>
    <t>https://www.codal.ir/Reports/Attachment.aspx?LetterSerial=60kT03yuLOHH5WA9uPOCeA%3d%3d</t>
  </si>
  <si>
    <t>sources/codal/خساپا/1404/original/SRC_KHSP_1404_001_attachment_1.pdf</t>
  </si>
  <si>
    <t>evidence/pages/EV_SRC_KHSP_1404_001_p49.png</t>
  </si>
  <si>
    <t>1546925</t>
  </si>
  <si>
    <t>1405/03/17 22:38</t>
  </si>
  <si>
    <t>sources/codal/همراه/1404/original/SRC_HMRH_1404_001_attachment_1.pdf</t>
  </si>
  <si>
    <t>evidence/pages/EV_SRC_HMRH_1404_001_p29.png</t>
  </si>
  <si>
    <t>1572964</t>
  </si>
  <si>
    <t>1405/04/31 04:04</t>
  </si>
  <si>
    <t>https://www.codal.ir/Reports/Attachment.aspx?LetterSerial=THFdwqreiTgzbTNvC0gJkg%3d%3d</t>
  </si>
  <si>
    <t>sources/codal/وبملت/1404/original/SRC_MELT_1404_002_attachment_1.pdf</t>
  </si>
  <si>
    <t>evidence/pages/EV_SRC_MELT_1404_002_p53.png</t>
  </si>
  <si>
    <t>evidence/pages/EV_SRC_MELT_1404_002_p54.png</t>
  </si>
  <si>
    <t>evidence/pages/EV_SRC_MELT_1404_002_p55.png</t>
  </si>
  <si>
    <t>1573026</t>
  </si>
  <si>
    <t>1405/04/31 10:58</t>
  </si>
  <si>
    <t>sources/codal/وبصادر/1404/original/SRC_VBSD_1404_001_attachment_1.pdf</t>
  </si>
  <si>
    <t>evidence/pages/EV_SRC_VBSD_1404_001_p49.png</t>
  </si>
  <si>
    <t>evidence/pages/EV_SRC_VBSD_1404_001_p50.png</t>
  </si>
  <si>
    <t>گزارش کنترل های داخلی در تاریخ ۱۴۰۴/۱۲/۲۹ (بانک پاسارگاد)</t>
  </si>
  <si>
    <t>1526305</t>
  </si>
  <si>
    <t>1405/02/27 08:57</t>
  </si>
  <si>
    <t>evidence/docs/EV_VPSR_ICR_1526305.pdf</t>
  </si>
  <si>
    <t>evidence/pages/EV_SRC_VPSR_1404_ICR1526305_p1.png</t>
  </si>
  <si>
    <t>EV_SRC_VPSR_1404_ICR1526305_p2</t>
  </si>
  <si>
    <t>evidence/pages/EV_SRC_VPSR_1404_ICR1526305_p2.png</t>
  </si>
  <si>
    <t>1413901</t>
  </si>
  <si>
    <t>1404/07/09 18:40</t>
  </si>
  <si>
    <t>https://www.codal.ir/Reports/Attachment.aspx?LetterSerial=3QQQaQQQITPSQQQaQQQ3dbYPQY9zB0bgKA%3d%3d</t>
  </si>
  <si>
    <t>sources/codal/حکشتی/1404/original/SRC_HKSH_1404_002_attachment_1.pdf</t>
  </si>
  <si>
    <t>evidence/pages/EV_SRC_HKSH_1404_002_p89.png</t>
  </si>
  <si>
    <t>1454478</t>
  </si>
  <si>
    <t>1404/09/19 14:48</t>
  </si>
  <si>
    <t>https://www.codal.ir/Reports/Attachment.aspx?LetterSerial=t1tQQQaQQQcNvwpPS9GfIrOV6OOObOOOiQ%3d%3d</t>
  </si>
  <si>
    <t>sources/codal/شپدیس/1404/original/SRC_SHPD_1404_001_attachment_1.pdf</t>
  </si>
  <si>
    <t>evidence/pages/EV_SRC_SHPD_1404_001_p23.png</t>
  </si>
  <si>
    <t>EV_SRC_SHPD_1404_001_p24</t>
  </si>
  <si>
    <t>evidence/pages/EV_SRC_SHPD_1404_001_p24.png</t>
  </si>
  <si>
    <t>فرهنگ داده کمیته حسابرسی v40</t>
  </si>
  <si>
    <t>تعریف کدهای AUD01 تا N16 از فایل های مبنا حفظ شده است. ACX01 و ACX02 کدهای تازه و غیرمتداخل اند. هیچ وزن، رتبه یا شاخص ترکیبی ساخته نشده است.</t>
  </si>
  <si>
    <t>تعریف عملیاتی</t>
  </si>
  <si>
    <t>صورت</t>
  </si>
  <si>
    <t>مخرج</t>
  </si>
  <si>
    <t>قاعده داده مفقود</t>
  </si>
  <si>
    <t>دامنه زمانی</t>
  </si>
  <si>
    <t>نقش پژوهشی</t>
  </si>
  <si>
    <t>ستون فرمول در AC Company v40</t>
  </si>
  <si>
    <t>سنجه موجود، حفظ تعریف</t>
  </si>
  <si>
    <t>یک اگر افشای رسمی صریح مربوط به دوره هدف کمیته را تایید کند. صفر فقط با شاهد صریح نبود برای همان دوره. نبود سند یا خطای دسترسی صفر نیست.</t>
  </si>
  <si>
    <t>صفر یا یک</t>
  </si>
  <si>
    <t>شرکت با تایید صریح</t>
  </si>
  <si>
    <t>نامشخص خالی می ماند</t>
  </si>
  <si>
    <t>دوره مالی ۱۴۰۴ هر شرکت</t>
  </si>
  <si>
    <t>سنجه موجود (نقش در معماری بدون تغییر)</t>
  </si>
  <si>
    <t>تعداد افراد یکتای عضو (طبقه MEMBER) در فهرست کامل و معتبر همان مقطع. دبیر، مدعو و عضو پیشین یا شروع پس از مقطع شمرده نمی شود. تعداد اعلام شده در متن جدا نگه داشته می شود.</t>
  </si>
  <si>
    <t>اعضای یکتا</t>
  </si>
  <si>
    <t>فهرست ناقص: فقط تعداد مشاهده شده در برگه جدا، مقدار نهایی خالی</t>
  </si>
  <si>
    <t>مقطع پایان دوره مالی ۱۴۰۴ هر شرکت</t>
  </si>
  <si>
    <t>Robustness (نقش بدون تغییر)</t>
  </si>
  <si>
    <t>کاندید موجود، حفظ تعریف</t>
  </si>
  <si>
    <t>تعداد اعضای مستقل مستند (برچسب صریح همان عضو در کمیته) تقسیم بر کل اعضای MEMBER. نسبت فقط وقتی تولید می شود که فهرست تاییدشده و تعداد نامشخص صفر باشد. غیرموظف بودن، خارج از شرکت بودن و مستقل بودن یک مفهوم نیست.</t>
  </si>
  <si>
    <t>مستقل مستند</t>
  </si>
  <si>
    <t>کل اعضای MEMBER</t>
  </si>
  <si>
    <t>نامشخص نرخ دقیق ندارد؛ نسبت در میان قابل ارزیابی جدا و با عنوان روشن</t>
  </si>
  <si>
    <t>مقطع پایان دوره مالی ۱۴۰۴</t>
  </si>
  <si>
    <t>کاندید (اعتبارسنجی هدفمند)</t>
  </si>
  <si>
    <t>وجود حداقل یک عضو متخصص مالی</t>
  </si>
  <si>
    <t>یک اگر دست کم یک عضو MEMBER تخصص مالی مستند داشته باشد: مدرک حسابداری، حسابرسی یا مالی، یا شاهد صریح سابقه مالی و حسابرسی، یا برچسب صریح عضو مالی در سند. مدرک اقتصاد به تنهایی کافی نیست (فقط ECON). صفر هرگز ثبت نشده است چون فهرست و شواهد همه اعضا برای صفر کافی نبود.</t>
  </si>
  <si>
    <t>حداقل یک متخصص</t>
  </si>
  <si>
    <t>نبود شاهد برابر نداشتن تخصص نیست؛ خالی</t>
  </si>
  <si>
    <t>تعداد جلسات صریح کمیته حسابرسی در دوره مالی گزارش. جلسات هیئت مدیره یا سایر کمیته ها و شماره تجمعی صورتجلسه وارد نمی شود. حضور اعضا جمع نمی شود.</t>
  </si>
  <si>
    <t>جلسه</t>
  </si>
  <si>
    <t>عدد صریح</t>
  </si>
  <si>
    <t>عدد صریح نیافته: خالی</t>
  </si>
  <si>
    <t>دوره مالی گزارش (طول دوره در ستون جدا)</t>
  </si>
  <si>
    <t>ACX01</t>
  </si>
  <si>
    <t>کاندید تکمیلی جدید</t>
  </si>
  <si>
    <t>تعداد اعضای MEMBER با تخصص مالی مستند تقسیم بر کل اعضای MEMBER. چون نبود شاهد به معنی نبود تخصص نیست، مقدار حد پایین است و فقط وقتی دقیق نامیده می شود که تعداد نامشخص تخصص صفر باشد. اگر هیچ عضوی مستند نشده و نامشخص وجود دارد مقدار تولید نمی شود (صفر نمی شود). با N15 هم پوشانی دارد و وارد ترکیب نمی شود.</t>
  </si>
  <si>
    <t>اعضا با تخصص مالی مستند</t>
  </si>
  <si>
    <t>کل اعضای MEMBER در فهرست تاییدشده</t>
  </si>
  <si>
    <t>فهرست ناقص: ثبت نمی شود</t>
  </si>
  <si>
    <t>کاندید تکمیلی (غیرنهایی)</t>
  </si>
  <si>
    <t>ACX02</t>
  </si>
  <si>
    <t>نرخ حضور اعضای کمیته</t>
  </si>
  <si>
    <t>جمع حضور واقعی اعضای MEMBER تقسیم بر جمع فرصت حضور همان اعضا. فرصت حضور فقط وقتی معلوم است که صریح باشد، یا عضو پیش از آغاز دوره عضو بوده و پایانی ندارد، یا حضور او برابر کل جلسات باشد. میانگین ساده نرخ های فردی استفاده نشده.</t>
  </si>
  <si>
    <t>مجموع حضور واقعی</t>
  </si>
  <si>
    <t>مجموع فرصت حضور</t>
  </si>
  <si>
    <t>عضو بدون فرصت معلوم از نرخ حذف می شود و تعداد اعضای مشمول ثبت می شود. نرخ شرکت فقط وقتی تولید می شود که دست کم دو عضو و دست کم نیمی از اعضای MEMBER مشمول باشند</t>
  </si>
  <si>
    <t>دوره جلسات همان گزارش</t>
  </si>
  <si>
    <t>TARGET</t>
  </si>
  <si>
    <t>مقطع هدف و دوره مالی</t>
  </si>
  <si>
    <t>تعریف ثبت شده</t>
  </si>
  <si>
    <t>برای هر شرکت پایان دوره مالی ۱۴۰۴ همان گزارش (FYE) مبنای ترکیب است؛ دوره مالی متفاوت شرکت ها یکسان سازی نشده است. شرکت های با پایان سال غیر از ۱۴۰۴/۱۲/۲۹ در ستون مقطع پرچم دارند. کچاد و کگل دوره ۹ ماهه انتقالی دارند.</t>
  </si>
  <si>
    <t>تاریخ</t>
  </si>
  <si>
    <t>دوره مالی ۱۴۰۴</t>
  </si>
  <si>
    <t>ROLE</t>
  </si>
  <si>
    <t>MEMBER عضو صریح؛ SECRETARY دبیر یا مدیر حسابرسی داخلی بدون عضویت صریح؛ FORMER عضو پایان یافته یا جایگزین شده؛ POST_ASOF شروع پس از مقطع. فقط MEMBER در شمارش ها وارد می شود.</t>
  </si>
  <si>
    <t>STATUS</t>
  </si>
  <si>
    <t>تاییدشده، ناقص، متعارض، بررسی شده ولی افشا یافت نشد، منبع در دسترس نبود، هنوز بررسی نشده، قابل اعمال نیست. وضعیت از مقدار جدا ثبت می شود.</t>
  </si>
  <si>
    <t>متن</t>
  </si>
  <si>
    <t>ستون های وضعیت</t>
  </si>
  <si>
    <t>کاندیدهای تکمیلی کمیته حسابرسی v40</t>
  </si>
  <si>
    <t>ACX01 و ACX02 سنجه نهایی نیستند. پوشش بالاتر به تنهایی مجوز ارتقا نیست. ستون نامشخص برای ACX02 تعداد اعضای MEMBER خارج از محاسبه نرخ است.</t>
  </si>
  <si>
    <t>تعداد نامشخص یا خارج از مخرج</t>
  </si>
  <si>
    <t>کاندید تکمیلی؛ وارد ترکیب نمی شود</t>
  </si>
  <si>
    <t>کاندید تکمیلی؛ فرصت حضور فقط با قاعده تعریف شده</t>
  </si>
  <si>
    <t>ثبت ممیزی کمیته حسابرسی v40</t>
  </si>
  <si>
    <t>تناقض ها، تصمیم های کدگذاری، محدودیت ها، موارد حل شده و باز. برگه های ممیزی تاریخی بازنویسی نشده اند. بازبینی دوم توسط هوش مصنوعی بوده و ارزیابی مستقل انسانی نیست.</t>
  </si>
  <si>
    <t>نوع</t>
  </si>
  <si>
    <t>شرکت یا سنجه</t>
  </si>
  <si>
    <t>شرح</t>
  </si>
  <si>
    <t>مقدار پیشین (v31 یا v39)</t>
  </si>
  <si>
    <t>تصمیم یا مقدار v40</t>
  </si>
  <si>
    <t>سند لازم برای بستن</t>
  </si>
  <si>
    <t>A01</t>
  </si>
  <si>
    <t>حل شده</t>
  </si>
  <si>
    <t>وجود کمیته حسابرسی با افشای صریح در گزارش دوره ۱۴۰۴ تایید شد</t>
  </si>
  <si>
    <t>نامشخص (v31، ممیزی v36 Keyword)</t>
  </si>
  <si>
    <t>AUD01 برابر یک</t>
  </si>
  <si>
    <t>A02</t>
  </si>
  <si>
    <t>A03</t>
  </si>
  <si>
    <t>A04</t>
  </si>
  <si>
    <t>A05</t>
  </si>
  <si>
    <t>A06</t>
  </si>
  <si>
    <t>A07</t>
  </si>
  <si>
    <t>وجود کمیته با افشای صریح تایید نشد: جمله قالبی گزارش کنترل داخلی و فهرست کارگروه حسابرسی داخلی در FY1403؛ گزارش فعالیت FY1404 منتشر نشده است</t>
  </si>
  <si>
    <t>AUD01 خالی</t>
  </si>
  <si>
    <t>EV_VPSR_ICR_1526305</t>
  </si>
  <si>
    <t>گزارش فعالیت هیئت مدیره FY1404 یا اطلاعیه ترکیب کمیته حسابرسی</t>
  </si>
  <si>
    <t>A08</t>
  </si>
  <si>
    <t>تناقض حل شده</t>
  </si>
  <si>
    <t>ترکیب v31 متعلق به بانک ملت بود (رئیس چاووشی) و نادرست در فملی ثبت شده بود</t>
  </si>
  <si>
    <t>اندازه ۶ رئیس چاووشی</t>
  </si>
  <si>
    <t>فهرست FY1404 با ۵ عضو و ۱ دبیر</t>
  </si>
  <si>
    <t>A09</t>
  </si>
  <si>
    <t>v31 اندازه ۳؛ جدول FY1404 پنج عضو را نشان می دهد</t>
  </si>
  <si>
    <t>اندازه ۳</t>
  </si>
  <si>
    <t>۵ عضو</t>
  </si>
  <si>
    <t>A10</t>
  </si>
  <si>
    <t>v31 اندازه ۴ و رئیس نامشخص؛ جدول FY1404 پنج عضو و دبیر با رئیس مشخص</t>
  </si>
  <si>
    <t>اندازه ۴</t>
  </si>
  <si>
    <t>۵ عضو و دبیر</t>
  </si>
  <si>
    <t>A11</t>
  </si>
  <si>
    <t>v31 اندازه ۳؛ جدول مقطع ۱۴۰۴/۰۳/۳۱ چهار عضو</t>
  </si>
  <si>
    <t>۴ عضو</t>
  </si>
  <si>
    <t>v31 اندازه ۶؛ جدول FY1404 پنج عضو</t>
  </si>
  <si>
    <t>اندازه ۶</t>
  </si>
  <si>
    <t>v31 رئیس کمیته مدیرعامل؛ جدول FY1404 رئیس سیاهکارزاده و دبیر فصیحی</t>
  </si>
  <si>
    <t>رئیس نجفی اردکانی</t>
  </si>
  <si>
    <t>رئیس سیاهکارزاده</t>
  </si>
  <si>
    <t>v31 رئیس شریفیان (دوره FY1403)؛ جدول ۱۴۰۴/۱۲/۲۹ پنج عضو بدون شریفیان</t>
  </si>
  <si>
    <t>رئیس شریفیان</t>
  </si>
  <si>
    <t>۵ عضو (۴ مستقل خارج از بانک)</t>
  </si>
  <si>
    <t>رئیس تغییر کرده (جدول مقطع ۱۴۰۴/۰۳/۳۱: حسین‌زاده از ۱۴۰۴/۰۲/۲۹)؛ اندازه ۳</t>
  </si>
  <si>
    <t>رئیس نعیمی</t>
  </si>
  <si>
    <t>رئیس حسین‌زاده</t>
  </si>
  <si>
    <t>v39 و v31 پنج شرکت را دارای استقلال می دانست (همراه، وامید، وغدیر، وبصادر، فارس). v40 فقط با برچسب همه اعضا نسبت کل می دهد: فارس، وغدیر، پارسان، اخابر، وامید. همراه، وبصادر، وتجارت، شتران، خساپا فقط نسبت جزئی دارند چون رئیس بدون برچسب است</t>
  </si>
  <si>
    <t>پوشش ۵</t>
  </si>
  <si>
    <t>پوشش بر پایه تعریف سخت گیرانه</t>
  </si>
  <si>
    <t>A17</t>
  </si>
  <si>
    <t>کدگذاری</t>
  </si>
  <si>
    <t>استقلال رئیس کمیته فقط از پانوشت (یک عضو مستقل هیئت مدیره) استخراج شد نه برچسب ردیف</t>
  </si>
  <si>
    <t>Y با علامت مشتق در توضیح</t>
  </si>
  <si>
    <t>فقط تعداد</t>
  </si>
  <si>
    <t>دبیر و مدیر حسابرسی داخلی عضو شمرده نشدند مگر عبارت «عضو و دبیر» (حسن‌پور در کچاد)</t>
  </si>
  <si>
    <t>قاعده طبقه نقش</t>
  </si>
  <si>
    <t>صفحه خلاصه جلسات (ص۸۳) در گزارش FYE ۱۴۰۴/۰۲/۳۱ سرصفحه «۱۴۰۳» دارد؛ ۱۹ جلسه با هشدار پذیرفته شد (گزارش FY1403: ۱۴ جلسه)</t>
  </si>
  <si>
    <t>۱۹ (v31 ردیف هلدینگ)</t>
  </si>
  <si>
    <t>N16 برابر ۱۹ با هشدار</t>
  </si>
  <si>
    <t>باز با هشدار</t>
  </si>
  <si>
    <t>گزارش مستقل کمیته حسابرسی تاپیکو برای دوره ۱۴۰۴ یا اصلاحیه صفحه</t>
  </si>
  <si>
    <t>A20</t>
  </si>
  <si>
    <t>تناقض</t>
  </si>
  <si>
    <t>جمله زیر جدول کمیته حسابرسی «تعداد جلسات کمیته ریسک ۱۷» است؛ حداکثر حضور اعضا هم ۱۷ است؛ به عنوان جلسات کمیته حسابرسی با هشدار پذیرفته شد</t>
  </si>
  <si>
    <t>N16 برابر ۱۷ با هشدار</t>
  </si>
  <si>
    <t>تایید عنوان جدول در نسخه اصلاحی یا گزارش کمیته</t>
  </si>
  <si>
    <t>A21</t>
  </si>
  <si>
    <t>عضو با تاریخ عضویت ۱۴۰۴/۰۶/۱۵ حضور ۱۷ از ۱۷ دارد؛ تاریخ احتمالا آغاز دوره فعلی است نه نخستین عضویت</t>
  </si>
  <si>
    <t>فرصت حضور از قاعده خارج شد</t>
  </si>
  <si>
    <t>تاریخ نخستین عضویت</t>
  </si>
  <si>
    <t>A22</t>
  </si>
  <si>
    <t>عضو با تاریخ ۱۴۰۴/۰۳/۱۳ حضور ۳۰ از ۳۷ جلسه سال دارد؛ فرصت واقعی روشن نیست</t>
  </si>
  <si>
    <t>فرصت حضور نامشخص و حذف از نرخ</t>
  </si>
  <si>
    <t>تعداد جلسات پس از تاریخ عضویت</t>
  </si>
  <si>
    <t>A23</t>
  </si>
  <si>
    <t>متن می گوید رئیس کمیته عضو غیرموظف هیئت مدیره است ولی نام او در فهرست هیئت مدیره v22 نیست</t>
  </si>
  <si>
    <t>عضویت هیئت مدیره رئیس: متعارض (C)</t>
  </si>
  <si>
    <t>فهرست هیئت مدیره FY1404 با تاریخ</t>
  </si>
  <si>
    <t>A24</t>
  </si>
  <si>
    <t>رئیس کمیته از ۱۴۰۵/۰۱/۳۰ عضو است (پس از مقطع)؛ ترکیب در ۱۴۰۴/۱۲/۲۹ ناقص و AUD02 نهایی ثبت نشد</t>
  </si>
  <si>
    <t>شروع پس از مقطع</t>
  </si>
  <si>
    <t>AUD02 خالی، تعداد مشاهده شده ۲</t>
  </si>
  <si>
    <t>ترکیب کمیته در ۱۴۰۴/۱۲/۲۹ (رئیس و عضو پیشین)</t>
  </si>
  <si>
    <t>A25</t>
  </si>
  <si>
    <t>عضو پنجم از ۱۴۰۴/۱۰/۲۳ پس از پایان دوره ۱۴۰۴/۰۹/۳۰ آغاز شده؛ AUD02 در مقطع پایان دوره برابر ۴</t>
  </si>
  <si>
    <t>AUD02 برابر ۴ با یادداشت</t>
  </si>
  <si>
    <t>A26</t>
  </si>
  <si>
    <t>نام اعضای کمیته در جدول ثبت نشده و ۵ ردیف بی نام است؛ AUD02 نهایی و استقلال و تخصص قابل کدگذاری نیست</t>
  </si>
  <si>
    <t>AUD01 یک، AUD02 ناقص</t>
  </si>
  <si>
    <t>جدول با نام اعضا یا صورتجلسه هیئت مدیره</t>
  </si>
  <si>
    <t>A27</t>
  </si>
  <si>
    <t>شرکت های با پایان سال غیر از ۱۴۰۴/۱۲/۲۹: تاپیکو (۰۲/۳۱)، فارس، شستا، حکشتی (۰۳/۳۱)، پارسان، شپدیس (۰۶/۳۱)، وغدیر (۰۹/۳۰)، وامید (۱۰/۳۰)، کچاد و کگل (دوره ۹ ماهه ۰۹/۳۰). دوره ها یکسان سازی نشد</t>
  </si>
  <si>
    <t>پرچم در ستون مقطع</t>
  </si>
  <si>
    <t>گزارش دوره ۱۲ ماهه استاندارد یا اطلاعیه تغییر کمیته</t>
  </si>
  <si>
    <t>A28</t>
  </si>
  <si>
    <t>اطلاعیه کنترل داخلی ۱۴۰۴/۱۲/۲۹ هفت امضاکننده هیئت مدیره دارد؛ این مطلب برای خانواده گردش است و در این مرحله تغییری ایجاد نکرد</t>
  </si>
  <si>
    <t>فقط ثبت</t>
  </si>
  <si>
    <t>A29</t>
  </si>
  <si>
    <t>بازبینی دوم</t>
  </si>
  <si>
    <t>همه</t>
  </si>
  <si>
    <t>بازبینی ماشینی (هوش مصنوعی) در نوبت جدا: رمپنا، فارس، وامید، وغدیر، شپنا و زاگرس با بزرگنمایی تصویر دوباره خوانده شد؛ برای PDF های دارای لایه متن، رشته تاریخ هر عضو در متن جستجو شد و موارد ناهمخوان (ومعادن، پارسان، شپدیس، شبندر، زاگرس، شپنا، وامید) با تصویر یا ترتیب ارقام بررسی شد</t>
  </si>
  <si>
    <t>دو اصلاح: تاریخ هامونی رمپنا ۱۴۰۲/۰۴/۱۸ و تاریخ اسماعیلی دانا در پارسان ۱۳۹۸/۱۲/۱۱</t>
  </si>
  <si>
    <t>AC Members v40</t>
  </si>
  <si>
    <t>بازبینی مستقل انسانی انجام نشده است</t>
  </si>
  <si>
    <t>A30</t>
  </si>
  <si>
    <t>مورد باز</t>
  </si>
  <si>
    <t>تعداد جلسات کمیته در گزارش دوره ۱۴۰۴ یافت نشد</t>
  </si>
  <si>
    <t>N16 خالی</t>
  </si>
  <si>
    <t>گزارش کمیته حسابرسی یا جدول جلسات دوره ۱۴۰۴</t>
  </si>
  <si>
    <t>A31</t>
  </si>
  <si>
    <t>A32</t>
  </si>
  <si>
    <t>A33</t>
  </si>
  <si>
    <t>A34</t>
  </si>
  <si>
    <t>A35</t>
  </si>
  <si>
    <t>A36</t>
  </si>
  <si>
    <t>A37</t>
  </si>
  <si>
    <t>A38</t>
  </si>
  <si>
    <t>گزارش فعالیت دوره ۱۴۰۴ منتشر نشده است</t>
  </si>
  <si>
    <t>A39</t>
  </si>
  <si>
    <t>A40</t>
  </si>
  <si>
    <t>برچسب صریح استقلال اعضای کمیته افشا نشده</t>
  </si>
  <si>
    <t>N14 خالی</t>
  </si>
  <si>
    <t>جدول اعضا با ستون استقلال یا شرح تفصیلی در گزارش کمیته</t>
  </si>
  <si>
    <t>A41</t>
  </si>
  <si>
    <t>A42</t>
  </si>
  <si>
    <t>A43</t>
  </si>
  <si>
    <t>A44</t>
  </si>
  <si>
    <t>A45</t>
  </si>
  <si>
    <t>A46</t>
  </si>
  <si>
    <t>A47</t>
  </si>
  <si>
    <t>A48</t>
  </si>
  <si>
    <t>A49</t>
  </si>
  <si>
    <t>A50</t>
  </si>
  <si>
    <t>A51</t>
  </si>
  <si>
    <t>A52</t>
  </si>
  <si>
    <t>A53</t>
  </si>
  <si>
    <t>A54</t>
  </si>
  <si>
    <t>A55</t>
  </si>
  <si>
    <t>A56</t>
  </si>
  <si>
    <t>A57</t>
  </si>
  <si>
    <t>A58</t>
  </si>
  <si>
    <t>حضور فردی یا فرصت حضور اعضا کامل نیست</t>
  </si>
  <si>
    <t>ACX02 جزئی یا خالی</t>
  </si>
  <si>
    <t>جدول حضور فردی با تاریخ عضویت</t>
  </si>
  <si>
    <t>A59</t>
  </si>
  <si>
    <t>A60</t>
  </si>
  <si>
    <t>A61</t>
  </si>
  <si>
    <t>A62</t>
  </si>
  <si>
    <t>A63</t>
  </si>
  <si>
    <t>A64</t>
  </si>
  <si>
    <t>A65</t>
  </si>
  <si>
    <t>A66</t>
  </si>
  <si>
    <t>A67</t>
  </si>
  <si>
    <t>A68</t>
  </si>
  <si>
    <t>A69</t>
  </si>
  <si>
    <t>A70</t>
  </si>
  <si>
    <t>A71</t>
  </si>
  <si>
    <t>A72</t>
  </si>
  <si>
    <t>A73</t>
  </si>
  <si>
    <t>A74</t>
  </si>
  <si>
    <t>A75</t>
  </si>
  <si>
    <t>A76</t>
  </si>
  <si>
    <t>A77</t>
  </si>
  <si>
    <t>A78</t>
  </si>
  <si>
    <t>A79</t>
  </si>
  <si>
    <t>A80</t>
  </si>
  <si>
    <t>QA</t>
  </si>
  <si>
    <t>تعداد شرکت یکتا: 30 (انتظار ۳۰)</t>
  </si>
  <si>
    <t>A81</t>
  </si>
  <si>
    <t>عضو MEMBER تکراری در یک مقطع: 0 (انتظار ۰)</t>
  </si>
  <si>
    <t>A82</t>
  </si>
  <si>
    <t>شرکت با مستقل بیشتر از اعضا: 0 (انتظار ۰)</t>
  </si>
  <si>
    <t>A83</t>
  </si>
  <si>
    <t>شرکت با متخصص بیشتر از اعضا: 0 (انتظار ۰)</t>
  </si>
  <si>
    <t>A84</t>
  </si>
  <si>
    <t>ردیف با حضور بیشتر از فرصت: 0 (انتظار ۰)</t>
  </si>
  <si>
    <t>A85</t>
  </si>
  <si>
    <t>حضور بیشتر از کل جلسات اعلام شده (بدون فرصت): 0 (انتظار ۰ (هشدار حد پایین))</t>
  </si>
  <si>
    <t>مقایسه پوشش قبل و بعد کمیته حسابرسی v40</t>
  </si>
  <si>
    <t>پوشش سطح شرکت و سطح عضو جدا گزارش شده است. وضعیت ها از برگه AC Company v40 شمرده می شوند. مخرج ۳۰ شرکت؛ شرکت غیرقابل اعمال نداریم.</t>
  </si>
  <si>
    <t>سنجه</t>
  </si>
  <si>
    <t>پوشش قبل (دارای داده)</t>
  </si>
  <si>
    <t>پوشش بعد (فرمول)</t>
  </si>
  <si>
    <t>داده کامل</t>
  </si>
  <si>
    <t>نامشخص یا افشا نشده</t>
  </si>
  <si>
    <t>غیرقابل اعمال</t>
  </si>
  <si>
    <t>پوشش پیشین از جدول های v39 (AUD01 و AUD02) و برگه Source Availability (N14 تا N16)؛ ACX01 و ACX02 جدید اند</t>
  </si>
  <si>
    <t>کاندید تکمیلی جدید؛ پیشتر نبود</t>
  </si>
  <si>
    <t>پوشش سطح عضو: اعضای MEMBER</t>
  </si>
  <si>
    <t>جمع اعضای شناسایی شده</t>
  </si>
  <si>
    <t>اعضای دارای نرخ حضور قابل محاسبه</t>
  </si>
  <si>
    <t>پوشش حضور در سطح عضو</t>
  </si>
  <si>
    <t>اعضای دارای شاهد استقلال (Y یا N)</t>
  </si>
  <si>
    <t>پوشش استقلال در سطح عضو</t>
  </si>
  <si>
    <t>اعضای دارای تخصص مالی مستند</t>
  </si>
  <si>
    <t>پوشش تخصص مالی در سطح عضو</t>
  </si>
  <si>
    <t>ثبت تغییرات مستر v40</t>
  </si>
  <si>
    <t>فقط سلول های وابسته به کمیته حسابرسی تغییر کرده است. تعداد سلول های تغییر یافته مستر: 35. برگه های جدید جدا از این شمارش اند.</t>
  </si>
  <si>
    <t>نام برگه</t>
  </si>
  <si>
    <t>آدرس سلول</t>
  </si>
  <si>
    <t>دلیل تغییر</t>
  </si>
  <si>
    <t>AUD01: وجود کمیته برای ۶ شرکت اولویت دار تایید شد</t>
  </si>
  <si>
    <t>AC Company v40</t>
  </si>
  <si>
    <t>شش Keyword Hit نیازمند بازبینی صفحه</t>
  </si>
  <si>
    <t>محدودیت جدید پس از ممیزی v40</t>
  </si>
  <si>
    <t>AC Audit v40</t>
  </si>
  <si>
    <t>O9</t>
  </si>
  <si>
    <t>v31 AC_EXISTENCE_30 + SRC_SHBN_1404_001</t>
  </si>
  <si>
    <t>منبع به روز</t>
  </si>
  <si>
    <t>AC Sources v40</t>
  </si>
  <si>
    <t>P9</t>
  </si>
  <si>
    <t>گپ Keyword Hit برای ۶ شرکت با صفحه منبع بسته شد</t>
  </si>
  <si>
    <t>AUD02: فهرست تاییدشده در مقطع پایان دوره</t>
  </si>
  <si>
    <t>محدودیت جدید</t>
  </si>
  <si>
    <t>O10</t>
  </si>
  <si>
    <t>P10</t>
  </si>
  <si>
    <t>اندازه از فهرست اعضا در مقطع پایان دوره بازتولید شد</t>
  </si>
  <si>
    <t>AUD01: پوشش به روز</t>
  </si>
  <si>
    <t>N8</t>
  </si>
  <si>
    <t>v31 + ممیزی شبندر</t>
  </si>
  <si>
    <t>AUD02: پوشش به روز</t>
  </si>
  <si>
    <t>AUD01 پوشش</t>
  </si>
  <si>
    <t>AUD01 پوشش واجد شرایط</t>
  </si>
  <si>
    <t>11/30</t>
  </si>
  <si>
    <t>AUD02 پوشش</t>
  </si>
  <si>
    <t>AUD02 پوشش واجد شرایط</t>
  </si>
  <si>
    <t>E26</t>
  </si>
  <si>
    <t>N14 پوشش</t>
  </si>
  <si>
    <t>2/30</t>
  </si>
  <si>
    <t>N15 پوشش</t>
  </si>
  <si>
    <t>E27</t>
  </si>
  <si>
    <t>2/28</t>
  </si>
  <si>
    <t>D28</t>
  </si>
  <si>
    <t>12/30</t>
  </si>
  <si>
    <t>N16 پوشش</t>
  </si>
  <si>
    <t>E28</t>
  </si>
  <si>
    <t>12/28</t>
  </si>
  <si>
    <t>Source Availability</t>
  </si>
  <si>
    <t>F18</t>
  </si>
  <si>
    <t>N15 دسترسی به روز</t>
  </si>
  <si>
    <t>F19</t>
  </si>
  <si>
    <t>N16 دسترسی به روز</t>
  </si>
  <si>
    <t>Feasibility Test</t>
  </si>
  <si>
    <t>تمام Measureهای پیشنهادی</t>
  </si>
  <si>
    <t>L18</t>
  </si>
  <si>
    <t>L19</t>
  </si>
  <si>
    <t>Coverage Potential</t>
  </si>
  <si>
    <t>N15 دارای داده</t>
  </si>
  <si>
    <t>N16 دارای داده</t>
  </si>
  <si>
    <t>v40: صفحه جدول کمیته برای زاگرس، شتران، رمپنا، فخوز، حکشتی، شپدیس خوانده شد</t>
  </si>
  <si>
    <t>Keyword Hit به تنهایی YES نیست</t>
  </si>
  <si>
    <t>قاعده حفظ شد</t>
  </si>
  <si>
    <t>دامنه ۳۰ شرکت و تاریخ مبنای v41</t>
  </si>
  <si>
    <t>مبنای v41 پایان سال مالی خود شرکت در FY1404 است و با cutoffهای مشترک v39 یکی نیست؛ تفاوت به روز ثبت شده است. فهرست ۳۰ شرکت از مستر بدون تغییر.</t>
  </si>
  <si>
    <t>نام حقوقی</t>
  </si>
  <si>
    <t>شروع سال مالی</t>
  </si>
  <si>
    <t>as-of v41 (پایان سال مالی)</t>
  </si>
  <si>
    <t>منبع تایید پایان سال مالی</t>
  </si>
  <si>
    <t>v39 cutoff اول</t>
  </si>
  <si>
    <t>v39 cutoff دوم</t>
  </si>
  <si>
    <t>تفاوت روز تا 1403/12/29</t>
  </si>
  <si>
    <t>تفاوت روز تا 1404/12/29 (منفی یعنی v41 قبل از آن)</t>
  </si>
  <si>
    <t>وضعیت تایید FYE</t>
  </si>
  <si>
    <t>F01</t>
  </si>
  <si>
    <t>شرکت ملی صنایع مس ایران</t>
  </si>
  <si>
    <t>1403/12/30</t>
  </si>
  <si>
    <t>گزارش فعالیت هیئت مدیره دوره ۱۲ ماهه منتهی به  ۱۴۰۴/۱۲/۲۹ | ردیابی 1566308 | انتشار 1405/04/21 16:30</t>
  </si>
  <si>
    <t>تایید شده از سند</t>
  </si>
  <si>
    <t>F02</t>
  </si>
  <si>
    <t>شرکت سرمایه گذاری نفت و گاز و پتروشیمی تامین</t>
  </si>
  <si>
    <t>1403/03/01</t>
  </si>
  <si>
    <t>گزارش فعالیت هیئت مدیره دوره ۱۲ ماهه منتهی به  ۱۴۰۴/۰۲/۳۱ | ردیابی 1394922 | انتشار 1404/06/25 20:05</t>
  </si>
  <si>
    <t>سال مالی غیرتقویمی</t>
  </si>
  <si>
    <t>F03</t>
  </si>
  <si>
    <t>شرکت صنایع پتروشیمی خلیج فارس</t>
  </si>
  <si>
    <t>1403/04/01</t>
  </si>
  <si>
    <t>گزارش فعالیت هیئت مدیره دوره ۱۲ ماهه منتهی به  ۱۴۰۴/۰۳/۳۱ | ردیابی 1416214 | انتشار ۱۴۰۴/۰۷/۲۳ ۱۹:۴۵:۴۴</t>
  </si>
  <si>
    <t>F04</t>
  </si>
  <si>
    <t>شرکت ایران خودرو</t>
  </si>
  <si>
    <t>گزارش ص۵۳: سال مالی منتهی به ۲۹ اسفند ۱۴۰۴</t>
  </si>
  <si>
    <t>F05</t>
  </si>
  <si>
    <t>شرکت پتروشیمی زاگرس</t>
  </si>
  <si>
    <t>گزارش فعالیت هیئت مدیره دوره ۱۲ ماهه منتهی به  ۱۴۰۴/۱۲/۲۹ | ردیابی 1565632 | انتشار 1405/04/21 14:07</t>
  </si>
  <si>
    <t>F06</t>
  </si>
  <si>
    <t>شرکت پالایش نفت بندرعباس</t>
  </si>
  <si>
    <t>گزارش فعالیت هیئت مدیره دوره ۱۲ ماهه منتهی به  ۱۴۰۴/۱۲/۲۹ | ردیابی 1564208 | انتشار 1405/04/24 18:34</t>
  </si>
  <si>
    <t>F07</t>
  </si>
  <si>
    <t>شرکت پتروشیمی پارس</t>
  </si>
  <si>
    <t>گزارش فعالیت هیئت مدیره دوره ۱۲ ماهه منتهی به  ۱۴۰۴/۱۲/۲۹ | ردیابی 1559697 | انتشار 1405/04/09 16:05</t>
  </si>
  <si>
    <t>F08</t>
  </si>
  <si>
    <t>شرکت پالایش نفت تهران</t>
  </si>
  <si>
    <t>گزارش فعالیت هیئت مدیره دوره ۱۲ ماهه منتهی به  ۱۴۰۴/۱۲/۲۹ | ردیابی 1575311 | انتشار ۱۴۰۵/۰۵/۰۳ ۱۷:۴۹:۰۵</t>
  </si>
  <si>
    <t>F09</t>
  </si>
  <si>
    <t>شرکت بانک تجارت</t>
  </si>
  <si>
    <t>گزارش ص۴۳: جدول در تاریخ ۱۴۰۴/۱۲/۲۹؛ پایان سال مالی ۲۹ اسفند ۱۴۰۴</t>
  </si>
  <si>
    <t>شرکت گروه مپنا</t>
  </si>
  <si>
    <t>گزارش فعالیت هیئت مدیره دوره ۱۲ ماهه منتهی به  ۱۴۰۴/۱۲/۲۹ | ردیابی 1563170 | انتشار 1405/04/21 12:33</t>
  </si>
  <si>
    <t>SRC_RMPN_1404_002</t>
  </si>
  <si>
    <t>F11</t>
  </si>
  <si>
    <t>شرکت فولاد خوزستان</t>
  </si>
  <si>
    <t>گزارش فعالیت هیئت مدیره دوره ۱۲ ماهه منتهی به  ۱۴۰۴/۱۲/۲۹ | ردیابی 1585806 | انتشار 1405/05/26 19:59</t>
  </si>
  <si>
    <t>F12</t>
  </si>
  <si>
    <t>شرکت سرمایه گذاری تأمین اجتماعی</t>
  </si>
  <si>
    <t>گزارش فعالیت هیئت مدیره دوره ۱۲ ماهه منتهی به  ۱۴۰۴/۰۳/۳۱ | ردیابی 1417590 | انتشار ۱۴۰۴/۰۷/۲۰ ۱۹:۵۵:۲۵</t>
  </si>
  <si>
    <t>شرکت پالایش نفت اصفهان</t>
  </si>
  <si>
    <t>گزارش فعالیت هیئت مدیره دوره ۱۲ ماهه منتهی به  ۱۴۰۴/۱۲/۲۹ | ردیابی 1565408 | انتشار ۱۴۰۵/۰۴/۲۱ ۰۹:۱۵:۲۰</t>
  </si>
  <si>
    <t>شرکت سرمایه گذاری غدیر</t>
  </si>
  <si>
    <t>1403/10/01</t>
  </si>
  <si>
    <t>گزارش فعالیت هیئت مدیره دوره ۱۲ ماهه منتهی به  ۱۴۰۴/۰۹/۳۰ | ردیابی 1489172 | انتشار ۱۴۰۴/۱۱/۲۷ ۱۸:۵۶:۲۷</t>
  </si>
  <si>
    <t>شرکت پتروشیمی نوری</t>
  </si>
  <si>
    <t>گزارش فعالیت هیئت مدیره دوره ۱۲ ماهه منتهی به  ۱۴۰۴/۱۲/۲۹ | ردیابی 1561297 | انتشار ۱۴۰۵/۰۴/۲۰ ۱۱:۲۰:۰۱</t>
  </si>
  <si>
    <t>شرکت فولاد مبارکه اصفهان</t>
  </si>
  <si>
    <t>گزارش فعالیت هیئت مدیره دوره ۱۲ ماهه منتهی به  ۱۴۰۴/۱۲/۲۹ | ردیابی 1579311 | انتشار ۱۴۰۵/۰۵/۰۹ ۰۹:۴۶:۰۶</t>
  </si>
  <si>
    <t>F17</t>
  </si>
  <si>
    <t>شرکت معدنی و صنعتی چادرملو</t>
  </si>
  <si>
    <t>1404/01/01</t>
  </si>
  <si>
    <t>گزارش فعالیت هیئت مدیره دوره ۹ ماهه منتهی به  ۱۴۰۴/۰۹/۳۰ | ردیابی 1525630 | انتشار ۱۴۰۵/۰۲/۲۶ ۱۵:۳۶:۴۹</t>
  </si>
  <si>
    <t>دوره ۹ ماهه به دلیل تغییر سال مالی</t>
  </si>
  <si>
    <t>شرکت معدنی و صنعتی گل گهر</t>
  </si>
  <si>
    <t>گزارش فعالیت هیئت مدیره دوره ۹ ماهه منتهی به  ۱۴۰۴/۰۹/۳۰ | ردیابی 1525656 | انتشار ۱۴۰۵/۰۲/۲۸ ۱۷:۲۶:۵۰</t>
  </si>
  <si>
    <t>شرکت گروه گسترش نفت و گاز پارسیان</t>
  </si>
  <si>
    <t>1403/07/01</t>
  </si>
  <si>
    <t>گزارش فعالیت هیئت مدیره دوره ۱۲ ماهه منتهی به  ۱۴۰۴/۰۶/۳۱ | ردیابی 1467768 | انتشار ۱۴۰۴/۱۰/۱۱ ۱۶:۲۸:۰۵</t>
  </si>
  <si>
    <t>F20</t>
  </si>
  <si>
    <t>شرکت مخابرات ایران</t>
  </si>
  <si>
    <t>گزارش فعالیت هیئت مدیره دوره ۱۲ ماهه منتهی به  ۱۴۰۴/۱۲/۲۹ | ردیابی 1556542 | انتشار 1405/04/12 17:54</t>
  </si>
  <si>
    <t>F21</t>
  </si>
  <si>
    <t>شرکت پترو شیمی جم</t>
  </si>
  <si>
    <t>گزارش فعالیت هیئت مدیره دوره ۱۲ ماهه منتهی به  ۱۴۰۴/۱۲/۲۹ | ردیابی 1564049 | انتشار 1405/04/18 21:55</t>
  </si>
  <si>
    <t>شرکت سرمایه گذاری توسعه معادن و فلزات</t>
  </si>
  <si>
    <t>گزارش فعالیت هیئت مدیره دوره ۱۲ ماهه منتهی به  ۱۴۰۴/۱۲/۲۹ | ردیابی 1563796 | انتشار 1405/04/17 21:16</t>
  </si>
  <si>
    <t>F23</t>
  </si>
  <si>
    <t>شرکت گروه مدیریت سرمایه گذاری امید</t>
  </si>
  <si>
    <t>1403/11/01</t>
  </si>
  <si>
    <t>گزارش فعالیت هیئت مدیره دوره ۱۲ ماهه منتهی به  ۱۴۰۴/۱۰/۳۰ | ردیابی 1542189 | انتشار 1405/04/01 14:28</t>
  </si>
  <si>
    <t>F24</t>
  </si>
  <si>
    <t>شرکت ایرانی تولید اتومبیل سایپا</t>
  </si>
  <si>
    <t>گزارش فعالیت هیئت مدیره دوره ۱۲ ماهه منتهی به  ۱۴۰۴/۱۲/۲۹ | ردیابی 1573029 | انتشار ۱۴۰۵/۰۴/۳۱ ۰۶:۱۸:۳۴</t>
  </si>
  <si>
    <t>F25</t>
  </si>
  <si>
    <t>شرکت ارتباطات سیار ایران</t>
  </si>
  <si>
    <t>گزارش فعالیت هیئت مدیره دوره ۱۲ ماهه منتهی به  ۱۴۰۴/۱۲/۲۹ | ردیابی 1546925 | انتشار 1405/03/17 22:38</t>
  </si>
  <si>
    <t>F26</t>
  </si>
  <si>
    <t>شرکت بانک ملت</t>
  </si>
  <si>
    <t>گزارش فعالیت هیئت مدیره دوره ۱۲ ماهه منتهی به  ۱۴۰۴/۱۲/۲۹ | ردیابی 1572964 | انتشار 1405/04/31 04:04</t>
  </si>
  <si>
    <t>F27</t>
  </si>
  <si>
    <t>شرکت بانک صادرات ایران</t>
  </si>
  <si>
    <t>گزارش فعالیت هیئت مدیره دوره ۱۲ ماهه منتهی به  ۱۴۰۴/۱۲/۲۹ | ردیابی 1573026 | انتشار 1405/04/31 10:58</t>
  </si>
  <si>
    <t>F28</t>
  </si>
  <si>
    <t>شرکت بانک پاسارگاد</t>
  </si>
  <si>
    <t>تایید نشده: گزارش فعالیت هیئت مدیره FY1404 در آرشیو نیست؛ فقط سرنخ ICR (دوره ۱۲ ماهه منتهی به ۱۴۰۴/۱۲/۲۹)</t>
  </si>
  <si>
    <t>تایید نشده</t>
  </si>
  <si>
    <t>F29</t>
  </si>
  <si>
    <t>شرکت کشتیرانی جمهوری اسلامی ایران</t>
  </si>
  <si>
    <t>گزارش فعالیت هیئت مدیره دوره ۱۲ ماهه منتهی به  ۱۴۰۴/۰۳/۳۱ | ردیابی 1413901 | انتشار 1404/07/09 18:40</t>
  </si>
  <si>
    <t>F30</t>
  </si>
  <si>
    <t>شرکت پترو شیمی پردیس</t>
  </si>
  <si>
    <t>گزارش فعالیت هیئت مدیره دوره ۱۲ ماهه منتهی به  ۱۴۰۴/۰۶/۳۱ | ردیابی 1454478 | انتشار 1404/09/19 14:48</t>
  </si>
  <si>
    <t>استقلال مستند اعضای هیئت مدیره و رئیس</t>
  </si>
  <si>
    <t>لایه یک: برچسب صریح منبع (برای هیچ عضو هیئت مدیره در گزارش‌های FY1404 و اطلاعیه‌های ن۴۵ عبارت «عضو مستقل هیئت مدیره» یافت نشد؛ برچسب مستقل فقط برای اعضای کمیته‌ها دیده شد). لایه دو: تعریف عملیاتی OD1 (ثابت و بدون تنظیم بعدی): عضو موظف یا مدیرعامل هیئت مدیره دارای رابطه اشتغال مستند و غیرمستقل است؛ غیرموظف بودن، نمایندگی شخص حقوقی و عضویت در کمیته حسابرسی استقلال نمی‌سازد و مقدار UNKNOWN می‌ماند. متن رسمی دستورالعمل حاکمیت شرکتی فقط از رونوشت غیررسمی دیده شد و به عنوان مرجع نقل نشده است.</t>
  </si>
  <si>
    <t>شناسه عضو</t>
  </si>
  <si>
    <t>شخص حقوقی عضو</t>
  </si>
  <si>
    <t>نام شخص (نماینده یا عضو حقیقی)</t>
  </si>
  <si>
    <t>موظف/غیرموظف (ن۴۵)</t>
  </si>
  <si>
    <t>موظف/غیرموظف (گزارش)</t>
  </si>
  <si>
    <t>تعارض</t>
  </si>
  <si>
    <t>لایه۱ برچسب صریح</t>
  </si>
  <si>
    <t>دامنه برچسب</t>
  </si>
  <si>
    <t>عبارت دقیق</t>
  </si>
  <si>
    <t>دوره اعتبار</t>
  </si>
  <si>
    <t>سایر روابط افشاشده (وابستگی به سهامدار)</t>
  </si>
  <si>
    <t>لایه۲ ارزیابی پژوهشگر</t>
  </si>
  <si>
    <t>as-of</t>
  </si>
  <si>
    <t>مدیرعامل</t>
  </si>
  <si>
    <t>F01-M1</t>
  </si>
  <si>
    <t>سازمان توسعه و نوسازی معادن و صنایع معدنی ایران</t>
  </si>
  <si>
    <t>غلامرضا شافعی</t>
  </si>
  <si>
    <t>نماینده حقوقی</t>
  </si>
  <si>
    <t>رئیس هیئت مدیره</t>
  </si>
  <si>
    <t>غیر موظف</t>
  </si>
  <si>
    <t>NO_EXPLICIT_BOARD_LABEL_FOUND</t>
  </si>
  <si>
    <t>board</t>
  </si>
  <si>
    <t>Type19 1388917 ؛ گزارش SRC_FMLI_1404_001</t>
  </si>
  <si>
    <t>OD1</t>
  </si>
  <si>
    <t>F01-M2</t>
  </si>
  <si>
    <t>صندوق بازنشستگی شرکت ملی صنایع مس ایران</t>
  </si>
  <si>
    <t>سیدمصطفی فیض اردکانی</t>
  </si>
  <si>
    <t>نایب رئیس هیئت مدیره</t>
  </si>
  <si>
    <t>NOT_INDEPENDENT_DOCUMENTED_EXECUTIVE</t>
  </si>
  <si>
    <t>موظف در اطلاعیه ن۴۵; مدیرعامل عضو هیئت مدیره</t>
  </si>
  <si>
    <t>F01-M3</t>
  </si>
  <si>
    <t>سرمایه گذاری استان ایلام</t>
  </si>
  <si>
    <t>سمیه خلوصی</t>
  </si>
  <si>
    <t>عضو هیئت مدیره</t>
  </si>
  <si>
    <t>F01-M4</t>
  </si>
  <si>
    <t>سرمایه گذاری استان آذربایجان شرقی</t>
  </si>
  <si>
    <t>شهریار متوکل</t>
  </si>
  <si>
    <t>موظف در اطلاعیه ن۴۵</t>
  </si>
  <si>
    <t>F01-M5</t>
  </si>
  <si>
    <t>صندوق بازنشستگی وظیفه از کار افتادگی و پس انداز کارکنان بانکهای ملی و ادغام شده</t>
  </si>
  <si>
    <t>مهرداد محقق زاده</t>
  </si>
  <si>
    <t>F02-M1</t>
  </si>
  <si>
    <t>سرمایه گذاری تأمین اجتماعی</t>
  </si>
  <si>
    <t>(نماینده نامشخص)</t>
  </si>
  <si>
    <t>Type19 1371339 ؛ گزارش SRC_TPIK_1404_002</t>
  </si>
  <si>
    <t>F02-M2</t>
  </si>
  <si>
    <t>سرمایه گذاری صباتأمین</t>
  </si>
  <si>
    <t>F02-M3</t>
  </si>
  <si>
    <t>سرمایه گذاری صدر تامین</t>
  </si>
  <si>
    <t>F02-M4</t>
  </si>
  <si>
    <t>سرمایه گذاری سیمان تأمین</t>
  </si>
  <si>
    <t>F02-M5</t>
  </si>
  <si>
    <t>سرمایه گذاری داروئی تامین</t>
  </si>
  <si>
    <t>F03-M1</t>
  </si>
  <si>
    <t>ملی صنایع پتروشیمی</t>
  </si>
  <si>
    <t>کیوان ایلکا</t>
  </si>
  <si>
    <t>Type19 1417899 ؛ گزارش SRC_FARS_1404_001</t>
  </si>
  <si>
    <t>F03-M2</t>
  </si>
  <si>
    <t>سرمایه گذاری استان خراسان جنوبی</t>
  </si>
  <si>
    <t>حسین قربان زاده</t>
  </si>
  <si>
    <t>F03-M3</t>
  </si>
  <si>
    <t>سرمایه گذاری نفت و گاز و پتروشیمی تامین</t>
  </si>
  <si>
    <t>عبدالعلی علی عسکری</t>
  </si>
  <si>
    <t>CONFLICT_DUTY_STATUS</t>
  </si>
  <si>
    <t>گزارش: موظف در برابر ن۴۵: غیر موظف</t>
  </si>
  <si>
    <t>F03-M4</t>
  </si>
  <si>
    <t>توسعه نفت و گاز صبا کارون</t>
  </si>
  <si>
    <t>حسین حسین زاده</t>
  </si>
  <si>
    <t>F03-M5</t>
  </si>
  <si>
    <t>صندوق های بازنشستگی پس انداز و رفاه کارکنان صنعت نفت</t>
  </si>
  <si>
    <t>محمد شریعتمداری</t>
  </si>
  <si>
    <t>F04-M1</t>
  </si>
  <si>
    <t>عبداله سلطانی ثانی</t>
  </si>
  <si>
    <t>Type19 1417850 ؛ گزارش SRC_IKCO_1404_001</t>
  </si>
  <si>
    <t>F04-M2</t>
  </si>
  <si>
    <t>مدیریت سرمایه گذاری ملی ایران</t>
  </si>
  <si>
    <t>F04-M3</t>
  </si>
  <si>
    <t>سرمایه گذاری گنجینه ایرانیان</t>
  </si>
  <si>
    <t>F04-M4</t>
  </si>
  <si>
    <t>بهینه سازان بهمن</t>
  </si>
  <si>
    <t>F04-M5</t>
  </si>
  <si>
    <t>جمشید ایمانی کتک لاهیجانی</t>
  </si>
  <si>
    <t>F05-M1</t>
  </si>
  <si>
    <t>Type19 1461380 ؛ گزارش SRC_ZGRS_1404_001</t>
  </si>
  <si>
    <t>F05-M2</t>
  </si>
  <si>
    <t>گروه صنعتی شیمی پوشینه</t>
  </si>
  <si>
    <t>سیدمجید سیدیان</t>
  </si>
  <si>
    <t>شرکت گروه صنعتی شیمی پوشینه</t>
  </si>
  <si>
    <t>F05-M3</t>
  </si>
  <si>
    <t>سرمایه گذاری هامون سپاهان</t>
  </si>
  <si>
    <t>شرکت سرمایه گذاری هامون سپاهان</t>
  </si>
  <si>
    <t>F05-M4</t>
  </si>
  <si>
    <t>صادرفر</t>
  </si>
  <si>
    <t>محمدحسین مغازه ای</t>
  </si>
  <si>
    <t>شرکت صادرفر</t>
  </si>
  <si>
    <t>F05-M5</t>
  </si>
  <si>
    <t>مجتمع صنعتی نفت و گاز صبا جم کنگان</t>
  </si>
  <si>
    <t>عماد صدیقی</t>
  </si>
  <si>
    <t>شرکت مجتمع صنعتی نفت و گاز کنگان جم صبا</t>
  </si>
  <si>
    <t>F06-M1</t>
  </si>
  <si>
    <t>توسعه پیشرو رفاه پردیس</t>
  </si>
  <si>
    <t>اسحاق جعفری</t>
  </si>
  <si>
    <t>Type19 1472522</t>
  </si>
  <si>
    <t>F06-M2</t>
  </si>
  <si>
    <t>سرمایه گذاری توسعه سرمایه رفاه</t>
  </si>
  <si>
    <t>احمد هاشمی</t>
  </si>
  <si>
    <t>F06-M3</t>
  </si>
  <si>
    <t>بانک صادرات ایران</t>
  </si>
  <si>
    <t>سیدحامد اکبری</t>
  </si>
  <si>
    <t>F06-M4</t>
  </si>
  <si>
    <t>سرمایه گذاری استان بوشهر</t>
  </si>
  <si>
    <t>F06-M5</t>
  </si>
  <si>
    <t>عبدالوهاب ارامش</t>
  </si>
  <si>
    <t>F07-M1</t>
  </si>
  <si>
    <t>Type19 1423115 ؛ گزارش SRC_PARS_1404_001</t>
  </si>
  <si>
    <t>F07-M2</t>
  </si>
  <si>
    <t>سرمایه گذاری غدیر</t>
  </si>
  <si>
    <t>رضا فرزادی</t>
  </si>
  <si>
    <t>F07-M3</t>
  </si>
  <si>
    <t>پتروشیمی کارون</t>
  </si>
  <si>
    <t>یداله مصدقی فرد</t>
  </si>
  <si>
    <t>F07-M4</t>
  </si>
  <si>
    <t>پتروشیمی هنگام</t>
  </si>
  <si>
    <t>F07-M5</t>
  </si>
  <si>
    <t>پتروشیمی هرمز خلیج فارس</t>
  </si>
  <si>
    <t>F08-M1</t>
  </si>
  <si>
    <t>ملی پالایش و پخش فرآورده های نفتی ایران</t>
  </si>
  <si>
    <t>محمدعلی دادور</t>
  </si>
  <si>
    <t>Type19 1389607 ؛ گزارش SRC_SHTR_1404_002</t>
  </si>
  <si>
    <t>F08-M2</t>
  </si>
  <si>
    <t>سرمایه گذاری استان فارس</t>
  </si>
  <si>
    <t>F08-M3</t>
  </si>
  <si>
    <t>سرمایه گذاری عدالت استان مازندران</t>
  </si>
  <si>
    <t>عباس محسنی نیکوگفتار</t>
  </si>
  <si>
    <t>F08-M4</t>
  </si>
  <si>
    <t>سرمایه گذاری استان لرستان</t>
  </si>
  <si>
    <t>فریدون ورشوساز</t>
  </si>
  <si>
    <t>F08-M5</t>
  </si>
  <si>
    <t>سرمایه گذاری استان چهارمحال و بختیاری</t>
  </si>
  <si>
    <t>محمدمجتبی حاجی سالم</t>
  </si>
  <si>
    <t>F09-M1</t>
  </si>
  <si>
    <t>علی کی لانی</t>
  </si>
  <si>
    <t>حقیقی</t>
  </si>
  <si>
    <t>Type19 1444154 ؛ گزارش SRC_VTEJ_1404_001</t>
  </si>
  <si>
    <t>F09-M2</t>
  </si>
  <si>
    <t>مرتضی ترک تبریزی</t>
  </si>
  <si>
    <t>F09-M3</t>
  </si>
  <si>
    <t>هادی اخلاقی فیض آثار</t>
  </si>
  <si>
    <t>F09-M4</t>
  </si>
  <si>
    <t>سیدمهدی حسینی دولت آبادی</t>
  </si>
  <si>
    <t>F10-M1</t>
  </si>
  <si>
    <t>سرمایه گذاری ثروت آفرین صبا</t>
  </si>
  <si>
    <t>Type19 1482306</t>
  </si>
  <si>
    <t>F10-M2</t>
  </si>
  <si>
    <t>سرمایه گذاری استان گلستان</t>
  </si>
  <si>
    <t>ابوالفضل عسگری</t>
  </si>
  <si>
    <t>F10-M3</t>
  </si>
  <si>
    <t>مدبر رضوی</t>
  </si>
  <si>
    <t>محمد اولیاء</t>
  </si>
  <si>
    <t>F10-M4</t>
  </si>
  <si>
    <t>سرمایه گذاری پیشگامان سریر رضوی</t>
  </si>
  <si>
    <t>خلیل بهبهانی</t>
  </si>
  <si>
    <t>F10-M5</t>
  </si>
  <si>
    <t>کسب و کار رضوی</t>
  </si>
  <si>
    <t>F11-M1</t>
  </si>
  <si>
    <t>گروه توسعه اقتصادی پایندگان</t>
  </si>
  <si>
    <t>امین ابراهیمی</t>
  </si>
  <si>
    <t>Type19 1393004 ؛ گزارش SRC_FKHZ_1404_001</t>
  </si>
  <si>
    <t>F11-M2</t>
  </si>
  <si>
    <t>سرمایه گذاری استان خوزستان</t>
  </si>
  <si>
    <t>عبدالمجید شریفی</t>
  </si>
  <si>
    <t>F11-M3</t>
  </si>
  <si>
    <t>سرمایه گذاری سامان مجد</t>
  </si>
  <si>
    <t>محمد شهسواری</t>
  </si>
  <si>
    <t>F11-M4</t>
  </si>
  <si>
    <t>پیشران کسب و کار شریف</t>
  </si>
  <si>
    <t>سیدمحسن هاطلی اصفهانی</t>
  </si>
  <si>
    <t>F11-M5</t>
  </si>
  <si>
    <t>همراه سیر فردیس</t>
  </si>
  <si>
    <t>ابوذر شکری</t>
  </si>
  <si>
    <t>F12-M1</t>
  </si>
  <si>
    <t>سازمان تامین اجتماعی</t>
  </si>
  <si>
    <t>محمدرضا سعیدی</t>
  </si>
  <si>
    <t>Type19 1320931 ؛ گزارش SRC_SHST_1404_001</t>
  </si>
  <si>
    <t>F12-M2</t>
  </si>
  <si>
    <t>املاک ومستغلات تامین اجتماعی</t>
  </si>
  <si>
    <t>سیاوش افضلی</t>
  </si>
  <si>
    <t>F12-M3</t>
  </si>
  <si>
    <t>سرمایه گذاری خانه سازی ایران</t>
  </si>
  <si>
    <t>غلام رضا رحیمی</t>
  </si>
  <si>
    <t>F12-M4</t>
  </si>
  <si>
    <t>خدمات بهداشتی درمانی میلاد سلامت تهران</t>
  </si>
  <si>
    <t>عادل دهدشتی</t>
  </si>
  <si>
    <t>F12-M5</t>
  </si>
  <si>
    <t>رفاه گستر تامین اجتماعی</t>
  </si>
  <si>
    <t>علیرضا چناری</t>
  </si>
  <si>
    <t>F13-M1</t>
  </si>
  <si>
    <t>عنایت اله نصیری جهان آباد</t>
  </si>
  <si>
    <t>Type19 1428503</t>
  </si>
  <si>
    <t>F13-M2</t>
  </si>
  <si>
    <t>آوای پردیس سلامت</t>
  </si>
  <si>
    <t>F13-M3</t>
  </si>
  <si>
    <t>توسعه سرمایه رفاه</t>
  </si>
  <si>
    <t>امید جلیل پور</t>
  </si>
  <si>
    <t>F13-M4</t>
  </si>
  <si>
    <t>سرمایه گذاری ایرانیان</t>
  </si>
  <si>
    <t>غلامرضا باقری دیزج</t>
  </si>
  <si>
    <t>F13-M5</t>
  </si>
  <si>
    <t>گروه پتروشیمی تابان فردا</t>
  </si>
  <si>
    <t>فرهاد امین دهقان</t>
  </si>
  <si>
    <t>F14-M1</t>
  </si>
  <si>
    <t>توسعه و مدیریت سرمایه صبا</t>
  </si>
  <si>
    <t>Type19 1405584 ؛ گزارش SRC_VGHD_1404_001</t>
  </si>
  <si>
    <t>F14-M2</t>
  </si>
  <si>
    <t>سرمایه گذاری تجاری شستان</t>
  </si>
  <si>
    <t>مهدی ریاضی کلاهدوزمحله</t>
  </si>
  <si>
    <t>F14-M3</t>
  </si>
  <si>
    <t>علی اکبر مصطفی پور</t>
  </si>
  <si>
    <t>F14-M4</t>
  </si>
  <si>
    <t>صندوق بازنشستگی نیروهای مسلح</t>
  </si>
  <si>
    <t>سیدمجید هدایت</t>
  </si>
  <si>
    <t>F14-M5</t>
  </si>
  <si>
    <t>صندوق بیمه عمر و حوادث نیروهای مسلح</t>
  </si>
  <si>
    <t>F15-M1</t>
  </si>
  <si>
    <t>صالح رحیمی</t>
  </si>
  <si>
    <t>Type19 1582361 ؛ گزارش SRC_NOOR_1404_007</t>
  </si>
  <si>
    <t>F15-M2</t>
  </si>
  <si>
    <t>صنایع پتروشیمی دهدشت</t>
  </si>
  <si>
    <t>حسام خوشبین فر</t>
  </si>
  <si>
    <t>F15-M3</t>
  </si>
  <si>
    <t>پالایش گاز هویزه خلیج فارس</t>
  </si>
  <si>
    <t>تقی صانعی</t>
  </si>
  <si>
    <t>F15-M4</t>
  </si>
  <si>
    <t>پتروشیمی الماس ماهشهر</t>
  </si>
  <si>
    <t>F15-M5</t>
  </si>
  <si>
    <t>پالایش گاز بیدبلند خلیج فارس</t>
  </si>
  <si>
    <t>غلامرضا جمشیدی</t>
  </si>
  <si>
    <t>F16-M1</t>
  </si>
  <si>
    <t>محسن صالحی نیا</t>
  </si>
  <si>
    <t>Type19 1464295 ؛ گزارش SRC_FOLD_1404_002</t>
  </si>
  <si>
    <t>F16-M2</t>
  </si>
  <si>
    <t>سرمایه گذاری استان اصفهان</t>
  </si>
  <si>
    <t>محمدحسین مقیمی</t>
  </si>
  <si>
    <t>F16-M3</t>
  </si>
  <si>
    <t>بهسازان انرژی تدبیر زنگان</t>
  </si>
  <si>
    <t>F16-M4</t>
  </si>
  <si>
    <t>ملی صنایع مس ایران</t>
  </si>
  <si>
    <t>سعید زرندی</t>
  </si>
  <si>
    <t>F16-M5</t>
  </si>
  <si>
    <t>مهدی زحمت کش</t>
  </si>
  <si>
    <t>F17-M1</t>
  </si>
  <si>
    <t>گروه مدیریت سرمایه گذاری امید</t>
  </si>
  <si>
    <t>Type19 1391765 ؛ گزارش SRC_KCHD_1404_001</t>
  </si>
  <si>
    <t>F17-M2</t>
  </si>
  <si>
    <t>سرمایه گذاری توسعه معادن و فلزات</t>
  </si>
  <si>
    <t>F17-M3</t>
  </si>
  <si>
    <t>سرمایه گذاری سپه</t>
  </si>
  <si>
    <t>F17-M4</t>
  </si>
  <si>
    <t>مهدی آقاپوربی شک</t>
  </si>
  <si>
    <t>F17-M5</t>
  </si>
  <si>
    <t>خدایار کریم نژادسرخی</t>
  </si>
  <si>
    <t>F18-M1</t>
  </si>
  <si>
    <t>Type19 1414920 ؛ گزارش SRC_KGOL_1404_001</t>
  </si>
  <si>
    <t>F18-M2</t>
  </si>
  <si>
    <t>مجتبی رضاخواه</t>
  </si>
  <si>
    <t>F18-M3</t>
  </si>
  <si>
    <t>ایمان عتیقی</t>
  </si>
  <si>
    <t>F18-M4</t>
  </si>
  <si>
    <t>توسعه معدنی و صنعتی صبانور</t>
  </si>
  <si>
    <t>محمد امید</t>
  </si>
  <si>
    <t>F18-M5</t>
  </si>
  <si>
    <t>محمدحسین ایران منش</t>
  </si>
  <si>
    <t>F19-M1</t>
  </si>
  <si>
    <t>Type19 1451719 ؛ گزارش SRC_PRSN_1404_007</t>
  </si>
  <si>
    <t>F19-M2</t>
  </si>
  <si>
    <t>سرمایه گذاری اعتضاد غدیر</t>
  </si>
  <si>
    <t>F19-M3</t>
  </si>
  <si>
    <t>علی مهری پرگو</t>
  </si>
  <si>
    <t>F19-M4</t>
  </si>
  <si>
    <t>F19-M5</t>
  </si>
  <si>
    <t>سرمایه گذاری مهرگان تامین پارس</t>
  </si>
  <si>
    <t>F20-M1</t>
  </si>
  <si>
    <t>وزارت امور اقتصادی و دارایی</t>
  </si>
  <si>
    <t>محمد جعفرپورترشیزی</t>
  </si>
  <si>
    <t>Type19 1432680</t>
  </si>
  <si>
    <t>F20-M2</t>
  </si>
  <si>
    <t>توسعه اعتماد مبین</t>
  </si>
  <si>
    <t>سیداسداله دهناد</t>
  </si>
  <si>
    <t>F20-M3</t>
  </si>
  <si>
    <t>سرمایه گذاری استان تهران</t>
  </si>
  <si>
    <t>رضا خضردوست</t>
  </si>
  <si>
    <t>F20-M4</t>
  </si>
  <si>
    <t>فراز و فرود اقتصاد آینده</t>
  </si>
  <si>
    <t>F20-M5</t>
  </si>
  <si>
    <t>امین اعتماد پیشرو</t>
  </si>
  <si>
    <t>علی اصغر طراوتی</t>
  </si>
  <si>
    <t>F21-M1</t>
  </si>
  <si>
    <t>صبا انرژی جهان گستر</t>
  </si>
  <si>
    <t>Type19 1527389 ؛ گزارش SRC_JAM_1404_001</t>
  </si>
  <si>
    <t>F21-M2</t>
  </si>
  <si>
    <t>F21-M3</t>
  </si>
  <si>
    <t>سرمایه گذاری استان اردبیل</t>
  </si>
  <si>
    <t>F21-M4</t>
  </si>
  <si>
    <t>F21-M5</t>
  </si>
  <si>
    <t>گسترش تجارت هامون</t>
  </si>
  <si>
    <t>F22-M1</t>
  </si>
  <si>
    <t>محمد آقاجانلو</t>
  </si>
  <si>
    <t>Type19 1426875 ؛ گزارش SRC_VMDN_1404_001</t>
  </si>
  <si>
    <t>F22-M2</t>
  </si>
  <si>
    <t>معدنی و صنعتی فولاد سنگ مبارکه اصفهان</t>
  </si>
  <si>
    <t>سجاد طهماسبی</t>
  </si>
  <si>
    <t>F22-M3</t>
  </si>
  <si>
    <t>فولاد هرمزگان جنوب</t>
  </si>
  <si>
    <t>اردشیر سعدمحمدی</t>
  </si>
  <si>
    <t>F22-M4</t>
  </si>
  <si>
    <t>سرمایه گذاری ملی ایران</t>
  </si>
  <si>
    <t>F22-M5</t>
  </si>
  <si>
    <t>سرمایه گذاری ارشک</t>
  </si>
  <si>
    <t>محمد کلانتری</t>
  </si>
  <si>
    <t>F23-M1</t>
  </si>
  <si>
    <t>بانک سپه</t>
  </si>
  <si>
    <t>سیدبابک ابراهیمی</t>
  </si>
  <si>
    <t>Type19 1401521</t>
  </si>
  <si>
    <t>F23-M2</t>
  </si>
  <si>
    <t>گروه مالی سپه</t>
  </si>
  <si>
    <t>محمدعلی یزدان جو</t>
  </si>
  <si>
    <t>F23-M3</t>
  </si>
  <si>
    <t>F23-M4</t>
  </si>
  <si>
    <t>گروه خدمات کارکنان سپه نوین</t>
  </si>
  <si>
    <t>F23-M5</t>
  </si>
  <si>
    <t>توسعه کسب و کار مهستان</t>
  </si>
  <si>
    <t>وحید خاشعی ورنامخواستی</t>
  </si>
  <si>
    <t>F24-M1</t>
  </si>
  <si>
    <t>سرمایه گذاری گروه صنعتی رنا</t>
  </si>
  <si>
    <t>Type19 1386511</t>
  </si>
  <si>
    <t>F24-M2</t>
  </si>
  <si>
    <t>گروه سرمایه گذاری کارکنان سایپا</t>
  </si>
  <si>
    <t>علی شیخ زاده</t>
  </si>
  <si>
    <t>F24-M3</t>
  </si>
  <si>
    <t>صندوق حمایت وبازنشستگی کارکنان فولاد</t>
  </si>
  <si>
    <t>F24-M4</t>
  </si>
  <si>
    <t>F24-M5</t>
  </si>
  <si>
    <t>F25-M1</t>
  </si>
  <si>
    <t>مخابرات ایران</t>
  </si>
  <si>
    <t>حجت اله نیکی ملکی</t>
  </si>
  <si>
    <t>Type19 1352932 ؛ گزارش SRC_HMRH_1404_001</t>
  </si>
  <si>
    <t>F25-M2</t>
  </si>
  <si>
    <t>سرمایه گذاری مهر اقتصاد مبین</t>
  </si>
  <si>
    <t>F25-M3</t>
  </si>
  <si>
    <t>گسترش الکترونیک تدبیر ایران</t>
  </si>
  <si>
    <t>F25-M4</t>
  </si>
  <si>
    <t>گسترش خدمات ارتباطات کارا شاب</t>
  </si>
  <si>
    <t>حسین میرزاپور</t>
  </si>
  <si>
    <t>F25-M5</t>
  </si>
  <si>
    <t>مدیریت سامان سازه غدیر</t>
  </si>
  <si>
    <t>مهدی اخوان بهابادی</t>
  </si>
  <si>
    <t>F26-M1</t>
  </si>
  <si>
    <t>سیدکاظم چاوشی</t>
  </si>
  <si>
    <t>Type19 1397174</t>
  </si>
  <si>
    <t>F26-M2</t>
  </si>
  <si>
    <t>مسعود نصراصفهانی</t>
  </si>
  <si>
    <t>F26-M3</t>
  </si>
  <si>
    <t>عباس اشرف نژاد</t>
  </si>
  <si>
    <t>F26-M4</t>
  </si>
  <si>
    <t>سیدرضا موسوی</t>
  </si>
  <si>
    <t>F26-M5</t>
  </si>
  <si>
    <t>فرشید فرخ نژاد</t>
  </si>
  <si>
    <t>F27-M1</t>
  </si>
  <si>
    <t>یاسر مرادی</t>
  </si>
  <si>
    <t>Type19 1321081 ؛ گزارش SRC_VBSD_1404_001</t>
  </si>
  <si>
    <t>F27-M2</t>
  </si>
  <si>
    <t>محسن سیفی کفشگری</t>
  </si>
  <si>
    <t>F27-M3</t>
  </si>
  <si>
    <t>قربان اسکندری کبودان</t>
  </si>
  <si>
    <t>F27-M4</t>
  </si>
  <si>
    <t>محمد وطن پور</t>
  </si>
  <si>
    <t>F27-M5</t>
  </si>
  <si>
    <t>مهدی اقبالی راد</t>
  </si>
  <si>
    <t>F28-NA</t>
  </si>
  <si>
    <t>NOT_EVALUATED</t>
  </si>
  <si>
    <t>فهرست اعضا در as-of مستند نشد: STALE_ROSTER_ONLY_1402/04/05</t>
  </si>
  <si>
    <t>F29-M1</t>
  </si>
  <si>
    <t>Type19 1310210</t>
  </si>
  <si>
    <t>F29-M2</t>
  </si>
  <si>
    <t>مادر تخصصی بازرگانی دولتی ایران</t>
  </si>
  <si>
    <t>F29-M3</t>
  </si>
  <si>
    <t>F29-M4</t>
  </si>
  <si>
    <t>صندوق بازنشستگی کشوری</t>
  </si>
  <si>
    <t>F29-M5</t>
  </si>
  <si>
    <t>سرمایه گذاری استان گیلان</t>
  </si>
  <si>
    <t>F30-M1</t>
  </si>
  <si>
    <t>Type19 1354441 ؛ گزارش SRC_SHPD_1404_001</t>
  </si>
  <si>
    <t>F30-M2</t>
  </si>
  <si>
    <t>سعید کاردار</t>
  </si>
  <si>
    <t>F30-M3</t>
  </si>
  <si>
    <t>F30-M4</t>
  </si>
  <si>
    <t>F30-M5</t>
  </si>
  <si>
    <t>نقش‌ها و عضویت‌های همزمان اعضای هیئت مدیره</t>
  </si>
  <si>
    <t>هر ردیف: شخص، سازمان دیگر، نقش و دوره. سابقه شغلی گذشته هم‌زمان محسوب نمی‌شود؛ ستون ترکیبی فقط سرنخ است؛ اعلام خط تیره فقط اعلام نبودن است و صفر قطعی تنها با شواهد کافی در خلاصه می‌آید؛ شمارش همزمانی جدا از هیئت مدیره خود شرکت و کمیته‌ها است.</t>
  </si>
  <si>
    <t>شخص</t>
  </si>
  <si>
    <t>سمت در شرکت اصلی</t>
  </si>
  <si>
    <t>سازمان دیگر</t>
  </si>
  <si>
    <t>نقش در سازمان دیگر</t>
  </si>
  <si>
    <t>دوره</t>
  </si>
  <si>
    <t>نوع شاهد</t>
  </si>
  <si>
    <t>محاسبه به عنوان همزمان</t>
  </si>
  <si>
    <t>اطمینان</t>
  </si>
  <si>
    <t>R001</t>
  </si>
  <si>
    <t>AS_OF_REPORT_TABLE</t>
  </si>
  <si>
    <t>ISSUER_DECLARED_NONE</t>
  </si>
  <si>
    <t>p32-33,42</t>
  </si>
  <si>
    <t>ستون عضویت همزمان با علامت خط تیره؛ اعلام نبودن عضویت</t>
  </si>
  <si>
    <t>R002</t>
  </si>
  <si>
    <t>R003</t>
  </si>
  <si>
    <t>R004</t>
  </si>
  <si>
    <t>شرکت پویا مس ایرانیان (عضو هیئت مدیره)</t>
  </si>
  <si>
    <t>ISSUER_DECLARED_CONCURRENT_FIELD</t>
  </si>
  <si>
    <t>گزارش فعالیت هیئت مدیره؛ ستون عضویت همزمان</t>
  </si>
  <si>
    <t>R005</t>
  </si>
  <si>
    <t>و معاون سرمایه گذاری و امور شرکتها در موسسه صندوق بازنشستگی کارکنان بانکها</t>
  </si>
  <si>
    <t>R006</t>
  </si>
  <si>
    <t>1: رییس هیات مدیره گروه مالی ملت</t>
  </si>
  <si>
    <t>p11,77,96</t>
  </si>
  <si>
    <t>R007</t>
  </si>
  <si>
    <t>1: عضو هیات مدیره شرکت پتروشیمی شیراز</t>
  </si>
  <si>
    <t>R008</t>
  </si>
  <si>
    <t>1: نایب رییس هیات مدیره شرکت بازرگانی و توسعه صنعت طاووس خاورمیانه</t>
  </si>
  <si>
    <t>R009</t>
  </si>
  <si>
    <t>UNSPECIFIED</t>
  </si>
  <si>
    <t>MIXED_COLUMN_LEAD</t>
  </si>
  <si>
    <t>p26</t>
  </si>
  <si>
    <t>ستون ترکیبی عضویت همزمان و سوابق ۵ ساله؛ بدون تفکیک؛ فقط سرنخ</t>
  </si>
  <si>
    <t>R010</t>
  </si>
  <si>
    <t>R011</t>
  </si>
  <si>
    <t>پتروشیمی جم</t>
  </si>
  <si>
    <t>R012</t>
  </si>
  <si>
    <t>انجمن صنفی کارفرمایی صنعت پتروشیمی</t>
  </si>
  <si>
    <t>R013</t>
  </si>
  <si>
    <t>عضو سابق پتروشیمی امیرکبیر</t>
  </si>
  <si>
    <t>PAST</t>
  </si>
  <si>
    <t>EXPLICIT_PAST_ROLE</t>
  </si>
  <si>
    <t>عبارت سابق در متن؛ هم‌زمان محسوب نمی‌شود</t>
  </si>
  <si>
    <t>R014</t>
  </si>
  <si>
    <t>رئیس سابق پتروشیمی گوهر افق</t>
  </si>
  <si>
    <t>R015</t>
  </si>
  <si>
    <t>عضو سابق پتروشیمی کیان</t>
  </si>
  <si>
    <t>R016</t>
  </si>
  <si>
    <t>هیئت مدیره وغدیر (عضو حقوقی: توسعه و مدیریت سرمایه صبا)</t>
  </si>
  <si>
    <t>AS_OF_SAME_DATE:1404/12/29</t>
  </si>
  <si>
    <t>CROSS_BOARD_TYPE19_NATIONAL_ID_MATCH</t>
  </si>
  <si>
    <t>Type19 1405584</t>
  </si>
  <si>
    <t>همان کد ملی در فهرست هیئت مدیره وغدیر در تاریخ مبنا؛ نماد شرکت دیگر در نمونه ۳۰ تایی</t>
  </si>
  <si>
    <t>R017</t>
  </si>
  <si>
    <t>هیئت مدیره جم (عضو حقوقی: گسترش تجارت هامون)</t>
  </si>
  <si>
    <t>Type19 1527389</t>
  </si>
  <si>
    <t>همان کد ملی در فهرست هیئت مدیره جم در تاریخ مبنا؛ نماد شرکت دیگر در نمونه ۳۰ تایی</t>
  </si>
  <si>
    <t>R018</t>
  </si>
  <si>
    <t>پویا پژوهش باختر</t>
  </si>
  <si>
    <t>R019</t>
  </si>
  <si>
    <t>پارس گلایکول</t>
  </si>
  <si>
    <t>R020</t>
  </si>
  <si>
    <t>عضو سابق پتروشیمی کرمانشاه</t>
  </si>
  <si>
    <t>R021</t>
  </si>
  <si>
    <t>پتروشیمی مهاباد</t>
  </si>
  <si>
    <t>R022</t>
  </si>
  <si>
    <t>پتروشیمی باختر</t>
  </si>
  <si>
    <t>R023</t>
  </si>
  <si>
    <t>گروه شرکت نفت و گاز پارسیان</t>
  </si>
  <si>
    <t>R024</t>
  </si>
  <si>
    <t>سرمایه گذاری توسعه گوهران</t>
  </si>
  <si>
    <t>R025</t>
  </si>
  <si>
    <t>شرکت تجاری بین الملل زرین پرشیا</t>
  </si>
  <si>
    <t>R026</t>
  </si>
  <si>
    <t>سابق پتروشیمی کرمانشاه</t>
  </si>
  <si>
    <t>R027</t>
  </si>
  <si>
    <t>رئیس سابق پتروشیمی پردیس</t>
  </si>
  <si>
    <t>R028</t>
  </si>
  <si>
    <t>هیئت مدیره پارسان (عضو حقوقی: سرمایه گذاری غدیر)</t>
  </si>
  <si>
    <t>Type19 1451719</t>
  </si>
  <si>
    <t>همان کد ملی در فهرست هیئت مدیره پارسان در تاریخ مبنا؛ نماد شرکت دیگر در نمونه ۳۰ تایی</t>
  </si>
  <si>
    <t>R029</t>
  </si>
  <si>
    <t>هلدینگ باختر</t>
  </si>
  <si>
    <t>R030</t>
  </si>
  <si>
    <t>شرکت توسعه صنایع پتروشیمی کوروش</t>
  </si>
  <si>
    <t>R031</t>
  </si>
  <si>
    <t>R032</t>
  </si>
  <si>
    <t>مهندسی شرکت بام دژ طرح</t>
  </si>
  <si>
    <t>مشاور</t>
  </si>
  <si>
    <t>R033</t>
  </si>
  <si>
    <t>شرکت سپهرآفرین گیتی قشم (and possibly خلیج ستاره/نفت - text unclear)</t>
  </si>
  <si>
    <t>عضو هیأت مدیره</t>
  </si>
  <si>
    <t>p17</t>
  </si>
  <si>
    <t>گزارش فعالیت هیئت مدیره؛ ستون عضویت همزمان؛ تفکیک ستون از لایه متن تایید تصویری نشده</t>
  </si>
  <si>
    <t>R034</t>
  </si>
  <si>
    <t>پتروشیمی شازند</t>
  </si>
  <si>
    <t>عضو هیات مدیره</t>
  </si>
  <si>
    <t>R035</t>
  </si>
  <si>
    <t>صنایع شیمیایی ایران</t>
  </si>
  <si>
    <t>R036</t>
  </si>
  <si>
    <t>تامین سرمایه تمدن</t>
  </si>
  <si>
    <t>R037</t>
  </si>
  <si>
    <t>بانک آینده</t>
  </si>
  <si>
    <t>R038</t>
  </si>
  <si>
    <t>R039</t>
  </si>
  <si>
    <t>R040</t>
  </si>
  <si>
    <t>R041</t>
  </si>
  <si>
    <t>p28</t>
  </si>
  <si>
    <t>R042</t>
  </si>
  <si>
    <t>R043</t>
  </si>
  <si>
    <t>هیئت مدیره زاگرس (عضو حقوقی: گروه گسترش نفت و گاز پارسیان)</t>
  </si>
  <si>
    <t>AS_OF_SAME_DATE:1404/09/30</t>
  </si>
  <si>
    <t>Type19 1461380</t>
  </si>
  <si>
    <t>همان کد ملی در فهرست هیئت مدیره زاگرس در تاریخ مبنا؛ نماد شرکت دیگر در نمونه ۳۰ تایی</t>
  </si>
  <si>
    <t>R044</t>
  </si>
  <si>
    <t>Type19 1407198</t>
  </si>
  <si>
    <t>R045</t>
  </si>
  <si>
    <t>هیئت مدیره پارسان (عضو حقوقی: سرمایه گذاری مهرگان تامین پارس)</t>
  </si>
  <si>
    <t>R046</t>
  </si>
  <si>
    <t>p32</t>
  </si>
  <si>
    <t>R047</t>
  </si>
  <si>
    <t>شرکت نسیم پارس</t>
  </si>
  <si>
    <t>R048</t>
  </si>
  <si>
    <t>موسسه بنیاد همدلان آینده نگر ایران</t>
  </si>
  <si>
    <t>R049</t>
  </si>
  <si>
    <t>شرکت تراکتورسازی ایران</t>
  </si>
  <si>
    <t>R050</t>
  </si>
  <si>
    <t>شرکت سرمایه گذاری صدرآرین</t>
  </si>
  <si>
    <t>R051</t>
  </si>
  <si>
    <t>R052</t>
  </si>
  <si>
    <t>سندیکای صنایع آلومینیوم ایران</t>
  </si>
  <si>
    <t>R053</t>
  </si>
  <si>
    <t>p133-136</t>
  </si>
  <si>
    <t>R054</t>
  </si>
  <si>
    <t>هیئت مدیره وامید (عضو حقوقی: صندوق بازنشستگی وظیفه از کار افتادگی و پس انداز کارکنان بانکهای ملی و ادغام شده)</t>
  </si>
  <si>
    <t>همان کد ملی در فهرست هیئت مدیره وامید در تاریخ مبنا؛ نماد شرکت دیگر در نمونه ۳۰ تایی</t>
  </si>
  <si>
    <t>R055</t>
  </si>
  <si>
    <t>پتروشیمی زاگرس</t>
  </si>
  <si>
    <t>p38</t>
  </si>
  <si>
    <t>R056</t>
  </si>
  <si>
    <t>هیئت مدیره زاگرس (عضو حقوقی: سرمایه گذاری هامون سپاهان)</t>
  </si>
  <si>
    <t>AS_OF_SAME_DATE:1404/06/31</t>
  </si>
  <si>
    <t>Type19 1393291</t>
  </si>
  <si>
    <t>R057</t>
  </si>
  <si>
    <t>تأمین سرمایه دماوند</t>
  </si>
  <si>
    <t>R058</t>
  </si>
  <si>
    <t>رئیس هیأت مدیره</t>
  </si>
  <si>
    <t>R059</t>
  </si>
  <si>
    <t>هیئت مدیره وغدیر (عضو حقوقی: صندوق بیمه عمر و حوادث نیروهای مسلح)</t>
  </si>
  <si>
    <t>R060</t>
  </si>
  <si>
    <t>R061</t>
  </si>
  <si>
    <t>R062</t>
  </si>
  <si>
    <t>p43</t>
  </si>
  <si>
    <t>R063</t>
  </si>
  <si>
    <t>R064</t>
  </si>
  <si>
    <t>R065</t>
  </si>
  <si>
    <t>R066</t>
  </si>
  <si>
    <t>شرکت صنایع آهن و فولاد سرمد ابرکوه</t>
  </si>
  <si>
    <t>R067</t>
  </si>
  <si>
    <t>هیئت مدیره کچاد (عضو حقوقی: سرمایه گذاری سپه)</t>
  </si>
  <si>
    <t>AS_OF_SAME_DATE:1404/10/30</t>
  </si>
  <si>
    <t>Type19 1473973</t>
  </si>
  <si>
    <t>همان کد ملی در فهرست هیئت مدیره کچاد در تاریخ مبنا؛ نماد شرکت دیگر در نمونه ۳۰ تایی</t>
  </si>
  <si>
    <t>R068</t>
  </si>
  <si>
    <t>p27</t>
  </si>
  <si>
    <t>R069</t>
  </si>
  <si>
    <t>شرکت توسعه اعتماد مبین (عضو هیأت مدیره و مدیرعامل)</t>
  </si>
  <si>
    <t>R070</t>
  </si>
  <si>
    <t>گروه توسعه اقتصادی تدبیر</t>
  </si>
  <si>
    <t>R071</t>
  </si>
  <si>
    <t>گروه داده پردازی پارسیان</t>
  </si>
  <si>
    <t>R072</t>
  </si>
  <si>
    <t>R073</t>
  </si>
  <si>
    <t>تصدی واقعی اعضا، رئیس و مدیرعامل</t>
  </si>
  <si>
    <t>تصدی عضویت پیوسته به تفکیک عضو، رئیس و مدیرعامل. کلاس‌ها: EXACT تاریخ مستند، INTERVAL بازه قابل دفاع، MIN_CONTINUOUS حداقل پیوسته مستند از اولین مشاهده، CONFLICT_MIN تعارض منابع با حداقل، UNKNOWN. تاریخ ثبت گزارش یا اولین مشاهده شروع تصدی نیست؛ تاریخ آخرین عضویت (TERM یا LAST) برای شروع به کار نرفته است. تبدیل جلالی به میلادی با الگوریتم مستقل و اعتبارسنجی چرخه کبیسه. روز به سال با تقسیم بر 365.25.</t>
  </si>
  <si>
    <t>نوع ردیف</t>
  </si>
  <si>
    <t>هش هویت</t>
  </si>
  <si>
    <t>مبنای هویت</t>
  </si>
  <si>
    <t>کلاس</t>
  </si>
  <si>
    <t>شروع (جلالی)</t>
  </si>
  <si>
    <t>شروع (میلادی)</t>
  </si>
  <si>
    <t>کران پایین جلالی</t>
  </si>
  <si>
    <t>کران پایین میلادی</t>
  </si>
  <si>
    <t>کران بالا یا لنگر جلالی</t>
  </si>
  <si>
    <t>کران بالا یا لنگر میلادی</t>
  </si>
  <si>
    <t>as-of جلالی</t>
  </si>
  <si>
    <t>as-of میلادی</t>
  </si>
  <si>
    <t>روز حداقل</t>
  </si>
  <si>
    <t>روز حداکثر</t>
  </si>
  <si>
    <t>سال حداقل</t>
  </si>
  <si>
    <t>مربع سال حداقل</t>
  </si>
  <si>
    <t>نوع تاریخ</t>
  </si>
  <si>
    <t>مبنا</t>
  </si>
  <si>
    <t>نوع تاریخ گزارش</t>
  </si>
  <si>
    <t>رویداد Type19</t>
  </si>
  <si>
    <t>تصدی سطح شخص حقوقی (کلاس|شروع)</t>
  </si>
  <si>
    <t>T001</t>
  </si>
  <si>
    <t>7284E8C3</t>
  </si>
  <si>
    <t>NATIONAL_ID</t>
  </si>
  <si>
    <t>رئیس هیئت مدیره غیر موظف</t>
  </si>
  <si>
    <t>EXACT</t>
  </si>
  <si>
    <t>1404/02/02</t>
  </si>
  <si>
    <t>BOARD_MEETING_DATE_IN_NOTICE</t>
  </si>
  <si>
    <t>TYPE19+REPORT_CORROBORATED</t>
  </si>
  <si>
    <t>1404/02/01</t>
  </si>
  <si>
    <t>START</t>
  </si>
  <si>
    <t>MIN_CONTINUOUS|1401/09/14</t>
  </si>
  <si>
    <t>report date 1404/02/01 (diff 1d)</t>
  </si>
  <si>
    <t>T002</t>
  </si>
  <si>
    <t>CHAIR</t>
  </si>
  <si>
    <t>TYPE19_ONLY|PERSON_ROLE_CHAIN</t>
  </si>
  <si>
    <t>T003</t>
  </si>
  <si>
    <t>A51EE224</t>
  </si>
  <si>
    <t>نایب رئیس هیئت مدیره موظف</t>
  </si>
  <si>
    <t>1404/01/24</t>
  </si>
  <si>
    <t>1404/01/23</t>
  </si>
  <si>
    <t>report date 1404/01/23 (diff 1d)</t>
  </si>
  <si>
    <t>T004</t>
  </si>
  <si>
    <t>158397B0</t>
  </si>
  <si>
    <t>عضو هیئت مدیره غیر موظف</t>
  </si>
  <si>
    <t>INTERVAL</t>
  </si>
  <si>
    <t>1403/11/07</t>
  </si>
  <si>
    <t>1404/03/04</t>
  </si>
  <si>
    <t>SOURCE_CONFLICT:type19=1404/03/04;report=1403/11/07</t>
  </si>
  <si>
    <t>TYPE19_VS_REPORT_CONFLICT</t>
  </si>
  <si>
    <t>EXACT|1402/05/07</t>
  </si>
  <si>
    <t>sources disagree by 119d</t>
  </si>
  <si>
    <t>T005</t>
  </si>
  <si>
    <t>1ADC4414</t>
  </si>
  <si>
    <t>عضو هیئت مدیره موظف</t>
  </si>
  <si>
    <t>1402/04/15</t>
  </si>
  <si>
    <t>1402/05/07</t>
  </si>
  <si>
    <t>SOURCE_CONFLICT:type19=1402/05/07;report=1402/04/15</t>
  </si>
  <si>
    <t>EXACT|1404/05/12</t>
  </si>
  <si>
    <t>sources disagree by 23d</t>
  </si>
  <si>
    <t>T006</t>
  </si>
  <si>
    <t>26014708</t>
  </si>
  <si>
    <t>1404/05/12</t>
  </si>
  <si>
    <t>report date 1404/05/12 (diff 0d)</t>
  </si>
  <si>
    <t>T007</t>
  </si>
  <si>
    <t>CEO</t>
  </si>
  <si>
    <t>1403/12/14</t>
  </si>
  <si>
    <t>report date 1403/12/14 (diff 0d)</t>
  </si>
  <si>
    <t>T008</t>
  </si>
  <si>
    <t>NAME_ONLY</t>
  </si>
  <si>
    <t>NO_REPRESENTATIVE_NAMED_IN_NOTICE</t>
  </si>
  <si>
    <t>MIN_CONTINUOUS|1401/01/14</t>
  </si>
  <si>
    <t>legal-entity seat without named representative</t>
  </si>
  <si>
    <t>T009</t>
  </si>
  <si>
    <t>7F8B4062</t>
  </si>
  <si>
    <t>1403/06/25</t>
  </si>
  <si>
    <t>TYPE19_ONLY</t>
  </si>
  <si>
    <t>T010</t>
  </si>
  <si>
    <t>21627DBC</t>
  </si>
  <si>
    <t>report date 1403/12/04 (diff 0d)</t>
  </si>
  <si>
    <t>T011</t>
  </si>
  <si>
    <t>B94868AA</t>
  </si>
  <si>
    <t>1403/10/23</t>
  </si>
  <si>
    <t>report date 1403/10/23 (diff 0d)</t>
  </si>
  <si>
    <t>T012</t>
  </si>
  <si>
    <t>45BCEF76</t>
  </si>
  <si>
    <t>T013</t>
  </si>
  <si>
    <t>T014</t>
  </si>
  <si>
    <t>رضا توکلی بنیزی</t>
  </si>
  <si>
    <t>E03219AD</t>
  </si>
  <si>
    <t>مدیرعامل (سرپرست)</t>
  </si>
  <si>
    <t>خارج از هیئت مدیره</t>
  </si>
  <si>
    <t>T015</t>
  </si>
  <si>
    <t>44E7311E</t>
  </si>
  <si>
    <t>REPORT_DECLARED_DATE_WITHIN_TYPE19_INTERVAL</t>
  </si>
  <si>
    <t>REPORT+TYPE19_INTERVAL</t>
  </si>
  <si>
    <t>MIN_CONTINUOUS|1402/01/29</t>
  </si>
  <si>
    <t>type19 interval 1403/11/15..1403/12/13</t>
  </si>
  <si>
    <t>T016</t>
  </si>
  <si>
    <t>F8F27A4A</t>
  </si>
  <si>
    <t>1402/11/17</t>
  </si>
  <si>
    <t>1403/04/11</t>
  </si>
  <si>
    <t>SOURCE_CONFLICT:type19=1403/04/11;report=1402/11/17</t>
  </si>
  <si>
    <t>sources disagree by 146d</t>
  </si>
  <si>
    <t>T017</t>
  </si>
  <si>
    <t>A648DB5F</t>
  </si>
  <si>
    <t>CONFLICT_MIN</t>
  </si>
  <si>
    <t>1402/07/12</t>
  </si>
  <si>
    <t>REPORT_DATE_AFTER_TYPE19_FIRST_OBSERVATION</t>
  </si>
  <si>
    <t>CONFLICT</t>
  </si>
  <si>
    <t>EXACT|1402/11/08</t>
  </si>
  <si>
    <t>type19 shows person from 1402/01/29 but report states 1402/07/12</t>
  </si>
  <si>
    <t>T018</t>
  </si>
  <si>
    <t>FA7DB57B</t>
  </si>
  <si>
    <t>report date 1404/02/29 (diff 0d)</t>
  </si>
  <si>
    <t>T019</t>
  </si>
  <si>
    <t>T020</t>
  </si>
  <si>
    <t>5FD07E30</t>
  </si>
  <si>
    <t>1403/09/12</t>
  </si>
  <si>
    <t>1403/09/11</t>
  </si>
  <si>
    <t>report date 1403/09/11 (diff 1d)</t>
  </si>
  <si>
    <t>T021</t>
  </si>
  <si>
    <t>T022</t>
  </si>
  <si>
    <t>5464BBAE</t>
  </si>
  <si>
    <t>1403/11/18</t>
  </si>
  <si>
    <t>EXACT|1403/11/21</t>
  </si>
  <si>
    <t>report date 1403/11/18 (diff 3d)</t>
  </si>
  <si>
    <t>T023</t>
  </si>
  <si>
    <t>92A42EE0</t>
  </si>
  <si>
    <t>T024</t>
  </si>
  <si>
    <t>ECA12DCF</t>
  </si>
  <si>
    <t>report date 1404/07/19 (diff 0d)</t>
  </si>
  <si>
    <t>T025</t>
  </si>
  <si>
    <t>55CA4AEF</t>
  </si>
  <si>
    <t>T026</t>
  </si>
  <si>
    <t>T027</t>
  </si>
  <si>
    <t>8C0B431F</t>
  </si>
  <si>
    <t>1401/12/09</t>
  </si>
  <si>
    <t>T028</t>
  </si>
  <si>
    <t>T029</t>
  </si>
  <si>
    <t>A3E3C90E</t>
  </si>
  <si>
    <t>MIN_CONTINUOUS</t>
  </si>
  <si>
    <t>1401/01/29</t>
  </si>
  <si>
    <t>FIRST_OBSERVATION_NOTICE_PUBLICATION</t>
  </si>
  <si>
    <t>1404/05/25</t>
  </si>
  <si>
    <t>LAST</t>
  </si>
  <si>
    <t>MIN_CONTINUOUS|1401/01/29</t>
  </si>
  <si>
    <t>T030</t>
  </si>
  <si>
    <t>476288B6</t>
  </si>
  <si>
    <t>T031</t>
  </si>
  <si>
    <t>EB6DCDEC</t>
  </si>
  <si>
    <t>T032</t>
  </si>
  <si>
    <t>867163F0</t>
  </si>
  <si>
    <t>1404/08/28</t>
  </si>
  <si>
    <t>T033</t>
  </si>
  <si>
    <t>3ADD7E77</t>
  </si>
  <si>
    <t>1404/07/30</t>
  </si>
  <si>
    <t>T034</t>
  </si>
  <si>
    <t>T035</t>
  </si>
  <si>
    <t>1402/05/08</t>
  </si>
  <si>
    <t>T036</t>
  </si>
  <si>
    <t>40E53F85</t>
  </si>
  <si>
    <t>1401/11/25</t>
  </si>
  <si>
    <t>MIN_CONTINUOUS|1401/11/25</t>
  </si>
  <si>
    <t>T037</t>
  </si>
  <si>
    <t>FE6B3B42</t>
  </si>
  <si>
    <t>1402/11/02</t>
  </si>
  <si>
    <t>T038</t>
  </si>
  <si>
    <t>A7A65E9A</t>
  </si>
  <si>
    <t>EXACT|1402/11/02</t>
  </si>
  <si>
    <t>T039</t>
  </si>
  <si>
    <t>E2F24564</t>
  </si>
  <si>
    <t>EXACT|1404/10/07</t>
  </si>
  <si>
    <t>T040</t>
  </si>
  <si>
    <t>T041</t>
  </si>
  <si>
    <t>BB37AB81</t>
  </si>
  <si>
    <t>1404/10/18</t>
  </si>
  <si>
    <t>T042</t>
  </si>
  <si>
    <t>1402/11/07</t>
  </si>
  <si>
    <t>T043</t>
  </si>
  <si>
    <t>7384019B</t>
  </si>
  <si>
    <t>1404/01/30</t>
  </si>
  <si>
    <t>MIN_CONTINUOUS|1401/05/01</t>
  </si>
  <si>
    <t>T044</t>
  </si>
  <si>
    <t>3D577CA8</t>
  </si>
  <si>
    <t>1403/05/24</t>
  </si>
  <si>
    <t>T045</t>
  </si>
  <si>
    <t>03F889F8</t>
  </si>
  <si>
    <t>1404/07/26</t>
  </si>
  <si>
    <t>T046</t>
  </si>
  <si>
    <t>T047</t>
  </si>
  <si>
    <t>1D31CEC5</t>
  </si>
  <si>
    <t>1403/10/18</t>
  </si>
  <si>
    <t>T048</t>
  </si>
  <si>
    <t>BD978E75</t>
  </si>
  <si>
    <t>T049</t>
  </si>
  <si>
    <t>1404/06/11</t>
  </si>
  <si>
    <t>NOTICE_PUBLICATION_ONLY</t>
  </si>
  <si>
    <t>T050</t>
  </si>
  <si>
    <t>6DA91A51</t>
  </si>
  <si>
    <t>1403/08/16</t>
  </si>
  <si>
    <t>MIN_CONTINUOUS|1401/07/18</t>
  </si>
  <si>
    <t>T051</t>
  </si>
  <si>
    <t>T052</t>
  </si>
  <si>
    <t>21DDB30C</t>
  </si>
  <si>
    <t>T053</t>
  </si>
  <si>
    <t>1542E50B</t>
  </si>
  <si>
    <t>1404/05/13</t>
  </si>
  <si>
    <t>T054</t>
  </si>
  <si>
    <t>02A080A9</t>
  </si>
  <si>
    <t>1401/11/10</t>
  </si>
  <si>
    <t>T055</t>
  </si>
  <si>
    <t>E272F100</t>
  </si>
  <si>
    <t>نایب رئیس هیئت مدیره غیر موظف</t>
  </si>
  <si>
    <t>1403/12/11</t>
  </si>
  <si>
    <t>T056</t>
  </si>
  <si>
    <t>T057</t>
  </si>
  <si>
    <t>F996A209</t>
  </si>
  <si>
    <t>1400/11/09</t>
  </si>
  <si>
    <t>REPORT_DECLARED_START_CONSISTENT_WITH_TYPE19_CONTINUITY</t>
  </si>
  <si>
    <t>REPORT+TYPE19_CONTINUITY</t>
  </si>
  <si>
    <t>type19 shows same person from 1401/09/14</t>
  </si>
  <si>
    <t>T058</t>
  </si>
  <si>
    <t>539470E9</t>
  </si>
  <si>
    <t>رئیس هیئت مدیره موظف</t>
  </si>
  <si>
    <t>1401/12/25</t>
  </si>
  <si>
    <t>type19 shows person from 1401/09/14 but report states 1401/12/25</t>
  </si>
  <si>
    <t>T059</t>
  </si>
  <si>
    <t>1401/12/27</t>
  </si>
  <si>
    <t>T060</t>
  </si>
  <si>
    <t>C9DCA5E1</t>
  </si>
  <si>
    <t>T061</t>
  </si>
  <si>
    <t>DBF35289</t>
  </si>
  <si>
    <t>1402/11/30</t>
  </si>
  <si>
    <t>EXACT|1402/11/30</t>
  </si>
  <si>
    <t>report date 1402/11/30 (diff 0d)</t>
  </si>
  <si>
    <t>T062</t>
  </si>
  <si>
    <t>T063</t>
  </si>
  <si>
    <t>1DFFC148</t>
  </si>
  <si>
    <t>1404/02/21</t>
  </si>
  <si>
    <t>EXACT|1404/02/21</t>
  </si>
  <si>
    <t>T064</t>
  </si>
  <si>
    <t>T065</t>
  </si>
  <si>
    <t>0454A2D9</t>
  </si>
  <si>
    <t>1404/10/28</t>
  </si>
  <si>
    <t>MIN_CONTINUOUS|1401/05/24</t>
  </si>
  <si>
    <t>T066</t>
  </si>
  <si>
    <t>DE7AB626</t>
  </si>
  <si>
    <t>1402/04/06</t>
  </si>
  <si>
    <t>BM_DATE_CONFLICT_BETWEEN_NOTICE_VERSIONS:1402/04/06|1402/04/18</t>
  </si>
  <si>
    <t>EXACT|1404/04/31</t>
  </si>
  <si>
    <t>BM versions conflict</t>
  </si>
  <si>
    <t>T067</t>
  </si>
  <si>
    <t>3CD7A568</t>
  </si>
  <si>
    <t>T068</t>
  </si>
  <si>
    <t>FA6CDA1A</t>
  </si>
  <si>
    <t>T069</t>
  </si>
  <si>
    <t>1402/04/10</t>
  </si>
  <si>
    <t>T070</t>
  </si>
  <si>
    <t>FA92E7E5</t>
  </si>
  <si>
    <t>1402/05/10</t>
  </si>
  <si>
    <t>MIN_CONTINUOUS|1402/05/11</t>
  </si>
  <si>
    <t>type19 shows same person from 1402/05/11</t>
  </si>
  <si>
    <t>T071</t>
  </si>
  <si>
    <t>88EB8328</t>
  </si>
  <si>
    <t>1404/05/22</t>
  </si>
  <si>
    <t>SOURCE_CONFLICT:type19=1404/05/27;report=1404/05/22</t>
  </si>
  <si>
    <t>sources disagree by 5d</t>
  </si>
  <si>
    <t>T072</t>
  </si>
  <si>
    <t>7F7D3147</t>
  </si>
  <si>
    <t>T073</t>
  </si>
  <si>
    <t>T074</t>
  </si>
  <si>
    <t>A09599FA</t>
  </si>
  <si>
    <t>T075</t>
  </si>
  <si>
    <t>D648694A</t>
  </si>
  <si>
    <t>EXACT|1404/05/15</t>
  </si>
  <si>
    <t>T076</t>
  </si>
  <si>
    <t>1402/05/11</t>
  </si>
  <si>
    <t>T077</t>
  </si>
  <si>
    <t>499D35A7</t>
  </si>
  <si>
    <t>1403/09/25</t>
  </si>
  <si>
    <t>MIN_CONTINUOUS|1401/01/31</t>
  </si>
  <si>
    <t>report date 1403/09/25 (diff 0d)</t>
  </si>
  <si>
    <t>T078</t>
  </si>
  <si>
    <t>7BDFC40F</t>
  </si>
  <si>
    <t>1403/12/20</t>
  </si>
  <si>
    <t>T079</t>
  </si>
  <si>
    <t>97A71464</t>
  </si>
  <si>
    <t>1402/05/17</t>
  </si>
  <si>
    <t>BM_DATE_CONFLICT_BETWEEN_NOTICE_VERSIONS:1402/05/17|1402/08/17</t>
  </si>
  <si>
    <t>T080</t>
  </si>
  <si>
    <t>T081</t>
  </si>
  <si>
    <t>DFCC1D75</t>
  </si>
  <si>
    <t>T082</t>
  </si>
  <si>
    <t>A44A49BE</t>
  </si>
  <si>
    <t>1402/05/16</t>
  </si>
  <si>
    <t>report date 1402/05/16 (diff 1d)</t>
  </si>
  <si>
    <t>T083</t>
  </si>
  <si>
    <t>1403/08/20</t>
  </si>
  <si>
    <t>T084</t>
  </si>
  <si>
    <t>FF64ED9C</t>
  </si>
  <si>
    <t>1404/02/03</t>
  </si>
  <si>
    <t>MIN_CONTINUOUS|1401/03/31</t>
  </si>
  <si>
    <t>T085</t>
  </si>
  <si>
    <t>2BB29257</t>
  </si>
  <si>
    <t>1401/03/31</t>
  </si>
  <si>
    <t>T086</t>
  </si>
  <si>
    <t>C5F48904</t>
  </si>
  <si>
    <t>T087</t>
  </si>
  <si>
    <t>9F4E340F</t>
  </si>
  <si>
    <t>EXACT|1403/06/08</t>
  </si>
  <si>
    <t>T088</t>
  </si>
  <si>
    <t>6FDA273B</t>
  </si>
  <si>
    <t>T089</t>
  </si>
  <si>
    <t>T090</t>
  </si>
  <si>
    <t>1403/09/19</t>
  </si>
  <si>
    <t>T091</t>
  </si>
  <si>
    <t>1404/06/23</t>
  </si>
  <si>
    <t>report date 1404/06/23 (diff 0d)</t>
  </si>
  <si>
    <t>T092</t>
  </si>
  <si>
    <t>24C536D8</t>
  </si>
  <si>
    <t>1403/07/23</t>
  </si>
  <si>
    <t>report date 1403/07/23 (diff 0d)</t>
  </si>
  <si>
    <t>T093</t>
  </si>
  <si>
    <t>62C3D2FF</t>
  </si>
  <si>
    <t>report date 1404/01/25 (diff 0d)</t>
  </si>
  <si>
    <t>T094</t>
  </si>
  <si>
    <t>5D310C9E</t>
  </si>
  <si>
    <t>1403/07/04</t>
  </si>
  <si>
    <t>report date 1403/07/04 (diff 0d)</t>
  </si>
  <si>
    <t>T095</t>
  </si>
  <si>
    <t>E0BD85B9</t>
  </si>
  <si>
    <t>EXACT|1402/03/22</t>
  </si>
  <si>
    <t>T096</t>
  </si>
  <si>
    <t>T097</t>
  </si>
  <si>
    <t>T098</t>
  </si>
  <si>
    <t>9069E6BF</t>
  </si>
  <si>
    <t>1404/11/18</t>
  </si>
  <si>
    <t>1404/12/03</t>
  </si>
  <si>
    <t>BM_DATE_CONFLICT_BETWEEN_NOTICE_VERSIONS:1404/11/18|1404/12/03</t>
  </si>
  <si>
    <t>MIN_CONTINUOUS|1401/03/11</t>
  </si>
  <si>
    <t>T099</t>
  </si>
  <si>
    <t>9C4FF8BF</t>
  </si>
  <si>
    <t>INTERVAL|1404/12/03</t>
  </si>
  <si>
    <t>T100</t>
  </si>
  <si>
    <t>476E45A4</t>
  </si>
  <si>
    <t>1404/04/03</t>
  </si>
  <si>
    <t>T101</t>
  </si>
  <si>
    <t>1404/06/30</t>
  </si>
  <si>
    <t>T102</t>
  </si>
  <si>
    <t>069121A2</t>
  </si>
  <si>
    <t>T103</t>
  </si>
  <si>
    <t>2BBA85DE</t>
  </si>
  <si>
    <t>1403/08/27</t>
  </si>
  <si>
    <t>T104</t>
  </si>
  <si>
    <t>T105</t>
  </si>
  <si>
    <t>0D415D50</t>
  </si>
  <si>
    <t>MIN_CONTINUOUS|1401/03/29</t>
  </si>
  <si>
    <t>type19 shows person from 1401/03/29 but report states 1402/07/23</t>
  </si>
  <si>
    <t>T106</t>
  </si>
  <si>
    <t>2B9665C3</t>
  </si>
  <si>
    <t>1404/10/03</t>
  </si>
  <si>
    <t>1404/10/08</t>
  </si>
  <si>
    <t>SOURCE_CONFLICT:type19=1404/10/03;report=1404/10/08</t>
  </si>
  <si>
    <t>EXACT|1404/08/07</t>
  </si>
  <si>
    <t>T107</t>
  </si>
  <si>
    <t>T108</t>
  </si>
  <si>
    <t>C30BBE71</t>
  </si>
  <si>
    <t>report date 1402/07/23 (diff 0d)</t>
  </si>
  <si>
    <t>T109</t>
  </si>
  <si>
    <t>300BBFDB</t>
  </si>
  <si>
    <t>1403/11/30</t>
  </si>
  <si>
    <t>1404/01/28</t>
  </si>
  <si>
    <t>SOURCE_CONFLICT</t>
  </si>
  <si>
    <t>report 1403/11/30 outside type19 interval 1403/12/16..1404/01/28</t>
  </si>
  <si>
    <t>T110</t>
  </si>
  <si>
    <t>6342FBA8</t>
  </si>
  <si>
    <t>1404/06/29</t>
  </si>
  <si>
    <t>1404/08/07</t>
  </si>
  <si>
    <t>SOURCE_CONFLICT:type19=1404/08/07;report=1404/06/29</t>
  </si>
  <si>
    <t>sources disagree by 39d</t>
  </si>
  <si>
    <t>T111</t>
  </si>
  <si>
    <t>T112</t>
  </si>
  <si>
    <t>BF9304E7</t>
  </si>
  <si>
    <t>TERM</t>
  </si>
  <si>
    <t>MIN_CONTINUOUS|1401/02/10</t>
  </si>
  <si>
    <t>T113</t>
  </si>
  <si>
    <t>T114</t>
  </si>
  <si>
    <t>FFE4C633</t>
  </si>
  <si>
    <t>1403/09/04</t>
  </si>
  <si>
    <t>T115</t>
  </si>
  <si>
    <t>A2FCB00B</t>
  </si>
  <si>
    <t>T116</t>
  </si>
  <si>
    <t>542478A0</t>
  </si>
  <si>
    <t>1403/09/26</t>
  </si>
  <si>
    <t>T117</t>
  </si>
  <si>
    <t>9561AED1</t>
  </si>
  <si>
    <t>EXACT|1402/04/31</t>
  </si>
  <si>
    <t>T118</t>
  </si>
  <si>
    <t>T119</t>
  </si>
  <si>
    <t>A95ECB5A</t>
  </si>
  <si>
    <t>1404/04/23</t>
  </si>
  <si>
    <t>MIN_CONTINUOUS|1401/01/28</t>
  </si>
  <si>
    <t>T120</t>
  </si>
  <si>
    <t>82742591</t>
  </si>
  <si>
    <t>T121</t>
  </si>
  <si>
    <t>T122</t>
  </si>
  <si>
    <t>903A1198</t>
  </si>
  <si>
    <t>1401/01/28</t>
  </si>
  <si>
    <t>T123</t>
  </si>
  <si>
    <t>B0EEF607</t>
  </si>
  <si>
    <t>T124</t>
  </si>
  <si>
    <t>E1712878</t>
  </si>
  <si>
    <t>T125</t>
  </si>
  <si>
    <t>1402/05/15</t>
  </si>
  <si>
    <t>T126</t>
  </si>
  <si>
    <t>1402/02/14</t>
  </si>
  <si>
    <t>1403/02/24</t>
  </si>
  <si>
    <t>SOURCE_CONFLICT:type19=1403/02/24;report=1402/02/14</t>
  </si>
  <si>
    <t>MIN_CONTINUOUS|1402/07/24</t>
  </si>
  <si>
    <t>sources disagree by 375d</t>
  </si>
  <si>
    <t>T127</t>
  </si>
  <si>
    <t>8EC31DA4</t>
  </si>
  <si>
    <t>1390/07/12</t>
  </si>
  <si>
    <t>type19 shows same person from 1402/07/24</t>
  </si>
  <si>
    <t>T128</t>
  </si>
  <si>
    <t>C7BCA96A</t>
  </si>
  <si>
    <t>T129</t>
  </si>
  <si>
    <t>ED56C3D7</t>
  </si>
  <si>
    <t>T130</t>
  </si>
  <si>
    <t>1402/07/22</t>
  </si>
  <si>
    <t>T131</t>
  </si>
  <si>
    <t>1402/07/24</t>
  </si>
  <si>
    <t>T132</t>
  </si>
  <si>
    <t>1403/02/25</t>
  </si>
  <si>
    <t>T133</t>
  </si>
  <si>
    <t>B9E2F869</t>
  </si>
  <si>
    <t>1403/06/21</t>
  </si>
  <si>
    <t>MIN_CONTINUOUS|1401/01/17</t>
  </si>
  <si>
    <t>T134</t>
  </si>
  <si>
    <t>F6F44DDD</t>
  </si>
  <si>
    <t>1401/01/17</t>
  </si>
  <si>
    <t>T135</t>
  </si>
  <si>
    <t>712ABA73</t>
  </si>
  <si>
    <t>1404/08/13</t>
  </si>
  <si>
    <t>EXACT|1401/12/22</t>
  </si>
  <si>
    <t>T136</t>
  </si>
  <si>
    <t>20328EF4</t>
  </si>
  <si>
    <t>EXACT|1404/06/23</t>
  </si>
  <si>
    <t>T137</t>
  </si>
  <si>
    <t>T138</t>
  </si>
  <si>
    <t>94DACF51</t>
  </si>
  <si>
    <t>T139</t>
  </si>
  <si>
    <t>1403/08/13</t>
  </si>
  <si>
    <t>T140</t>
  </si>
  <si>
    <t>E277B1F4</t>
  </si>
  <si>
    <t>MIN_CONTINUOUS|1401/01/10</t>
  </si>
  <si>
    <t>T141</t>
  </si>
  <si>
    <t>83478ACD</t>
  </si>
  <si>
    <t>1401/01/10</t>
  </si>
  <si>
    <t>T142</t>
  </si>
  <si>
    <t>T143</t>
  </si>
  <si>
    <t>690BB416</t>
  </si>
  <si>
    <t>1402/08/07</t>
  </si>
  <si>
    <t>EXACT|1402/08/07</t>
  </si>
  <si>
    <t>T144</t>
  </si>
  <si>
    <t>475F67F4</t>
  </si>
  <si>
    <t>T145</t>
  </si>
  <si>
    <t>1402/11/14</t>
  </si>
  <si>
    <t>EXACT|1404/06/04</t>
  </si>
  <si>
    <t>T146</t>
  </si>
  <si>
    <t>T147</t>
  </si>
  <si>
    <t>0FCA7012</t>
  </si>
  <si>
    <t>MIN_CONTINUOUS|1401/07/27</t>
  </si>
  <si>
    <t>report date 1404/07/30 (diff 0d)</t>
  </si>
  <si>
    <t>T148</t>
  </si>
  <si>
    <t>T149</t>
  </si>
  <si>
    <t>73667103</t>
  </si>
  <si>
    <t>1404/05/08</t>
  </si>
  <si>
    <t>report date 1404/05/08 (diff 0d)</t>
  </si>
  <si>
    <t>T150</t>
  </si>
  <si>
    <t>37FEC0F7</t>
  </si>
  <si>
    <t>1400/12/25</t>
  </si>
  <si>
    <t>EXACT|1402/11/01</t>
  </si>
  <si>
    <t>type19 shows same person from 1401/07/27</t>
  </si>
  <si>
    <t>T151</t>
  </si>
  <si>
    <t>9C826E7B</t>
  </si>
  <si>
    <t>1402/11/01</t>
  </si>
  <si>
    <t>report date 1402/11/01 (diff 0d)</t>
  </si>
  <si>
    <t>T152</t>
  </si>
  <si>
    <t>45F05B28</t>
  </si>
  <si>
    <t>1403/11/28</t>
  </si>
  <si>
    <t>EXACT|1404/05/08</t>
  </si>
  <si>
    <t>report date 1403/11/28 (diff 0d)</t>
  </si>
  <si>
    <t>T153</t>
  </si>
  <si>
    <t>1401/07/27</t>
  </si>
  <si>
    <t>T154</t>
  </si>
  <si>
    <t>47E211F7</t>
  </si>
  <si>
    <t>1403/09/06</t>
  </si>
  <si>
    <t>MIN_CONTINUOUS|1401/04/04</t>
  </si>
  <si>
    <t>T155</t>
  </si>
  <si>
    <t>C50A0B2D</t>
  </si>
  <si>
    <t>1401/04/04</t>
  </si>
  <si>
    <t>EXACT|1403/02/05</t>
  </si>
  <si>
    <t>T156</t>
  </si>
  <si>
    <t>1401/11/18</t>
  </si>
  <si>
    <t>T157</t>
  </si>
  <si>
    <t>4A21F36C</t>
  </si>
  <si>
    <t>1402/09/15</t>
  </si>
  <si>
    <t>EXACT|1404/05/22</t>
  </si>
  <si>
    <t>T158</t>
  </si>
  <si>
    <t>T159</t>
  </si>
  <si>
    <t>92127CB4</t>
  </si>
  <si>
    <t>T160</t>
  </si>
  <si>
    <t>T161</t>
  </si>
  <si>
    <t>94200F78</t>
  </si>
  <si>
    <t>MIN_CONTINUOUS|1401/12/15</t>
  </si>
  <si>
    <t>T162</t>
  </si>
  <si>
    <t>D34AB942</t>
  </si>
  <si>
    <t>1403/09/14</t>
  </si>
  <si>
    <t>1403/09/21</t>
  </si>
  <si>
    <t>BM_DATE_CONFLICT_BETWEEN_NOTICE_VERSIONS:1403/09/14|1403/09/21</t>
  </si>
  <si>
    <t>T163</t>
  </si>
  <si>
    <t>30470B5F</t>
  </si>
  <si>
    <t>T164</t>
  </si>
  <si>
    <t>C5A10052</t>
  </si>
  <si>
    <t>T165</t>
  </si>
  <si>
    <t>94F11CA2</t>
  </si>
  <si>
    <t>EXACT|1402/05/17</t>
  </si>
  <si>
    <t>T166</t>
  </si>
  <si>
    <t>T167</t>
  </si>
  <si>
    <t>T168</t>
  </si>
  <si>
    <t>7F7B4C89</t>
  </si>
  <si>
    <t>1400/08/09</t>
  </si>
  <si>
    <t>MIN_CONTINUOUS|1401/01/09</t>
  </si>
  <si>
    <t>type19 shows same person from 1401/01/09</t>
  </si>
  <si>
    <t>T169</t>
  </si>
  <si>
    <t>08FE9E94</t>
  </si>
  <si>
    <t>T170</t>
  </si>
  <si>
    <t>CB2524F6</t>
  </si>
  <si>
    <t>1395/02/13</t>
  </si>
  <si>
    <t>T171</t>
  </si>
  <si>
    <t>1401/01/09</t>
  </si>
  <si>
    <t>T172</t>
  </si>
  <si>
    <t>8156C121</t>
  </si>
  <si>
    <t>1401/09/13</t>
  </si>
  <si>
    <t>report date 1401/09/13 (diff 0d)</t>
  </si>
  <si>
    <t>T173</t>
  </si>
  <si>
    <t>68AE5E04</t>
  </si>
  <si>
    <t>1403/04/19</t>
  </si>
  <si>
    <t>report date 1403/04/19 (diff 0d)</t>
  </si>
  <si>
    <t>T174</t>
  </si>
  <si>
    <t>1402/03/10</t>
  </si>
  <si>
    <t>T175</t>
  </si>
  <si>
    <t>EBBC2CBB</t>
  </si>
  <si>
    <t>1401/03/01</t>
  </si>
  <si>
    <t>MIN_CONTINUOUS|1401/03/01</t>
  </si>
  <si>
    <t>T176</t>
  </si>
  <si>
    <t>166F33E2</t>
  </si>
  <si>
    <t>T177</t>
  </si>
  <si>
    <t>T178</t>
  </si>
  <si>
    <t>EF3454D7</t>
  </si>
  <si>
    <t>T179</t>
  </si>
  <si>
    <t>615EE44A</t>
  </si>
  <si>
    <t>1402/12/24</t>
  </si>
  <si>
    <t>EXACT|1402/12/24</t>
  </si>
  <si>
    <t>T180</t>
  </si>
  <si>
    <t>8626F0E0</t>
  </si>
  <si>
    <t>T181</t>
  </si>
  <si>
    <t>T182</t>
  </si>
  <si>
    <t>52CC7BE3</t>
  </si>
  <si>
    <t>1401/03/12</t>
  </si>
  <si>
    <t>MIN_CONTINUOUS|1401/03/12</t>
  </si>
  <si>
    <t>T183</t>
  </si>
  <si>
    <t>9A80F57A</t>
  </si>
  <si>
    <t>1401/05/03</t>
  </si>
  <si>
    <t>1402/08/22</t>
  </si>
  <si>
    <t>SOURCE_CONFLICT:type19=1401/05/03;report=1402/08/22</t>
  </si>
  <si>
    <t>EXACT|1401/05/03</t>
  </si>
  <si>
    <t>sources disagree by 476d</t>
  </si>
  <si>
    <t>T184</t>
  </si>
  <si>
    <t>5620FCC2</t>
  </si>
  <si>
    <t>1402/08/02</t>
  </si>
  <si>
    <t>1402/08/01</t>
  </si>
  <si>
    <t>EXACT|1402/08/02</t>
  </si>
  <si>
    <t>report date 1402/08/01 (diff 1d)</t>
  </si>
  <si>
    <t>T185</t>
  </si>
  <si>
    <t>T186</t>
  </si>
  <si>
    <t>FC9AA5AF</t>
  </si>
  <si>
    <t>1403/10/22</t>
  </si>
  <si>
    <t>EXACT|1403/10/22</t>
  </si>
  <si>
    <t>report date 1403/10/22 (diff 0d)</t>
  </si>
  <si>
    <t>T187</t>
  </si>
  <si>
    <t>7C0AE239</t>
  </si>
  <si>
    <t>EXACT|1402/08/22</t>
  </si>
  <si>
    <t>report date 1402/08/22 (diff 0d)</t>
  </si>
  <si>
    <t>T188</t>
  </si>
  <si>
    <t>1402/06/12</t>
  </si>
  <si>
    <t>T189</t>
  </si>
  <si>
    <t>NO_ROSTER_AT_ASOF</t>
  </si>
  <si>
    <t>STALE_ROSTER_ONLY_1402/04/05</t>
  </si>
  <si>
    <t>T190</t>
  </si>
  <si>
    <t>MIN_CONTINUOUS|1401/07/06</t>
  </si>
  <si>
    <t>T191</t>
  </si>
  <si>
    <t>T192</t>
  </si>
  <si>
    <t>ENTITY_ONLY</t>
  </si>
  <si>
    <t>1401/07/06</t>
  </si>
  <si>
    <t>ENTITY_ROLE_CHAIN_NO_REPRESENTATIVE</t>
  </si>
  <si>
    <t>T193</t>
  </si>
  <si>
    <t>T194</t>
  </si>
  <si>
    <t>T195</t>
  </si>
  <si>
    <t>EXACT|1402/07/12</t>
  </si>
  <si>
    <t>T196</t>
  </si>
  <si>
    <t>NO_CEO_BLOCK_IN_NOTICES</t>
  </si>
  <si>
    <t>T197</t>
  </si>
  <si>
    <t>F1D05F7B</t>
  </si>
  <si>
    <t>MIN_CONTINUOUS|1401/05/10</t>
  </si>
  <si>
    <t>report date 1403/11/28 (diff 1d)</t>
  </si>
  <si>
    <t>T198</t>
  </si>
  <si>
    <t>3FB05217</t>
  </si>
  <si>
    <t>1404/03/11</t>
  </si>
  <si>
    <t>T199</t>
  </si>
  <si>
    <t>A6C774F7</t>
  </si>
  <si>
    <t>report date 1403/11/29 (diff 0d)</t>
  </si>
  <si>
    <t>T200</t>
  </si>
  <si>
    <t>T201</t>
  </si>
  <si>
    <t>EXACT|1402/11/16</t>
  </si>
  <si>
    <t>T202</t>
  </si>
  <si>
    <t>3F4899FA</t>
  </si>
  <si>
    <t>T203</t>
  </si>
  <si>
    <t>خلاصه شرکت</t>
  </si>
  <si>
    <t>تفکیک مستقل تایید شده، غیرمستقل تایید شده، نامشخص و متعارض. نسبت دقیق فقط با مخرج معتبر و همه اعضای معلوم؛ در غیر این صورت نسبت در میان قابل ارزیابی و کران‌ها جدا آمده است. صفر در ستون مستقل مستند به معنای نبود برچسب صریح است و نه اثبات وابستگی همه اعضا. میانگین و SD تصدی فقط روی اعضای EXACT؛ ستون حد پایین یکنواخت جدا و مخلوط نشده است.</t>
  </si>
  <si>
    <t>تعداد اعضا (N)</t>
  </si>
  <si>
    <t>مدیرعامل عضو هیئت مدیره</t>
  </si>
  <si>
    <t>مستقل مستند تایید شده</t>
  </si>
  <si>
    <t>غیرمستقل مستند (موظف/مدیرعامل)</t>
  </si>
  <si>
    <t>نسبت دقیق (فقط اگر همه اعضا معلوم)</t>
  </si>
  <si>
    <t>نسبت در میان قابل ارزیابی</t>
  </si>
  <si>
    <t>کران پایین سهم مستقل</t>
  </si>
  <si>
    <t>کران بالا سهم مستقل</t>
  </si>
  <si>
    <t>استقلال رئیس</t>
  </si>
  <si>
    <t>همزمانی: اعضای با اعلام یا صفر</t>
  </si>
  <si>
    <t>همزمانی: فقط حد پایین</t>
  </si>
  <si>
    <t>همزمانی: نامشخص</t>
  </si>
  <si>
    <t>همزمانی: تعارض</t>
  </si>
  <si>
    <t>تعداد شناسایی‌شده کل (حد پایین)</t>
  </si>
  <si>
    <t>میانگین در میان اعضای با اعلام کامل</t>
  </si>
  <si>
    <t>تصدی EXACT</t>
  </si>
  <si>
    <t>تصدی INTERVAL</t>
  </si>
  <si>
    <t>تصدی MIN</t>
  </si>
  <si>
    <t>تصدی CONFLICT_MIN</t>
  </si>
  <si>
    <t>تصدی UNKNOWN</t>
  </si>
  <si>
    <t>میانگین سال (فقط EXACT)</t>
  </si>
  <si>
    <t>SD سال (فقط EXACT)</t>
  </si>
  <si>
    <t>کلاس تصدی رئیس</t>
  </si>
  <si>
    <t>تصدی رئیس سال حداقل</t>
  </si>
  <si>
    <t>کلاس تصدی مدیرعامل</t>
  </si>
  <si>
    <t>تصدی مدیرعامل سال حداقل</t>
  </si>
  <si>
    <t>وضعیت پوشش تصدی اعضا</t>
  </si>
  <si>
    <t>میانگین حداقل سال (حد پایین یکنواخت)</t>
  </si>
  <si>
    <t>تعداد دارای شاهد حداقل</t>
  </si>
  <si>
    <t>رضا توکلی بنیزی (سرپرست)</t>
  </si>
  <si>
    <t>NOT_INDEPENDENT_DOCUMENTED</t>
  </si>
  <si>
    <t>مستند نشد</t>
  </si>
  <si>
    <t>منابع v41</t>
  </si>
  <si>
    <t>اطلاعیه‌های ن۴۵ با شماره ردیابی، تاریخ انتشار، آدرس و هش فایل ذخیره‌شده؛ گزارش‌های فعالیت FY1404 با Source_ID آرشیو. خطای دسترسی به معنی منتشر نشدن نیست.</t>
  </si>
  <si>
    <t>Source_ID آرشیو</t>
  </si>
  <si>
    <t>شماره ردیابی</t>
  </si>
  <si>
    <t>URL</t>
  </si>
  <si>
    <t>sha256</t>
  </si>
  <si>
    <t>فایل محلی</t>
  </si>
  <si>
    <t>SRC_F01_FY1404</t>
  </si>
  <si>
    <t>گزارش فعالیت هیئت مدیره FY1404</t>
  </si>
  <si>
    <t>گزارش فعالیت هیئت مدیره دوره ۱۲ ماهه منتهی به  ۱۴۰۴/۱۲/۲۹</t>
  </si>
  <si>
    <t>استفاده برای ستون تاریخ عضویت و عضویت همزمان</t>
  </si>
  <si>
    <t>SRC_F02_FY1404</t>
  </si>
  <si>
    <t>گزارش فعالیت هیئت مدیره دوره ۱۲ ماهه منتهی به  ۱۴۰۴/۰۲/۳۱</t>
  </si>
  <si>
    <t>SRC_F03_FY1404</t>
  </si>
  <si>
    <t>گزارش فعالیت هیئت مدیره دوره ۱۲ ماهه منتهی به  ۱۴۰۴/۰۳/۳۱</t>
  </si>
  <si>
    <t>۱۴۰۴/۰۷/۲۳ ۱۹:۴۵:۴۴</t>
  </si>
  <si>
    <t>SRC_F04_FY1404</t>
  </si>
  <si>
    <t>1573022</t>
  </si>
  <si>
    <t>1405/04/31 05:59</t>
  </si>
  <si>
    <t>https://www.codal.ir/Reports/Attachment.aspx?LetterSerial=HuJldWYU6bC4YAxgWhJwLA%3d%3d</t>
  </si>
  <si>
    <t>SRC_F05_FY1404</t>
  </si>
  <si>
    <t>SRC_F06_FY1404</t>
  </si>
  <si>
    <t>جدول هیئت مدیره یافت نشد یا قدیمی/فاقد فیلد؛ فقط یادداشت</t>
  </si>
  <si>
    <t>SRC_F07_FY1404</t>
  </si>
  <si>
    <t>SRC_F08_FY1404</t>
  </si>
  <si>
    <t>۱۴۰۵/۰۵/۰۳ ۱۷:۴۹:۰۵</t>
  </si>
  <si>
    <t>SRC_F09_FY1404</t>
  </si>
  <si>
    <t>SRC_F10_FY1404</t>
  </si>
  <si>
    <t>1563170</t>
  </si>
  <si>
    <t>1405/04/21 12:33</t>
  </si>
  <si>
    <t>https://www.codal.ir/Reports/Attachment.aspx?LetterSerial=8qAfr9YYyvle7McPhxI7uw%3d%3d</t>
  </si>
  <si>
    <t>SRC_F11_FY1404</t>
  </si>
  <si>
    <t>SRC_F12_FY1404</t>
  </si>
  <si>
    <t>۱۴۰۴/۰۷/۲۰ ۱۹:۵۵:۲۵</t>
  </si>
  <si>
    <t>SRC_F13_FY1404</t>
  </si>
  <si>
    <t>۱۴۰۵/۰۴/۲۱ ۰۹:۱۵:۲۰</t>
  </si>
  <si>
    <t>SRC_F14_FY1404</t>
  </si>
  <si>
    <t>گزارش فعالیت هیئت مدیره دوره ۱۲ ماهه منتهی به  ۱۴۰۴/۰۹/۳۰</t>
  </si>
  <si>
    <t>۱۴۰۴/۱۱/۲۷ ۱۸:۵۶:۲۷</t>
  </si>
  <si>
    <t>SRC_F15_FY1404</t>
  </si>
  <si>
    <t>۱۴۰۵/۰۴/۲۰ ۱۱:۲۰:۰۱</t>
  </si>
  <si>
    <t>SRC_F16_FY1404</t>
  </si>
  <si>
    <t>۱۴۰۵/۰۵/۰۹ ۰۹:۴۶:۰۶</t>
  </si>
  <si>
    <t>SRC_F17_FY1404</t>
  </si>
  <si>
    <t>گزارش فعالیت هیئت مدیره دوره ۹ ماهه منتهی به  ۱۴۰۴/۰۹/۳۰</t>
  </si>
  <si>
    <t>۱۴۰۵/۰۲/۲۶ ۱۵:۳۶:۴۹</t>
  </si>
  <si>
    <t>SRC_F18_FY1404</t>
  </si>
  <si>
    <t>۱۴۰۵/۰۲/۲۸ ۱۷:۲۶:۵۰</t>
  </si>
  <si>
    <t>SRC_F19_FY1404</t>
  </si>
  <si>
    <t>گزارش فعالیت هیئت مدیره دوره ۱۲ ماهه منتهی به  ۱۴۰۴/۰۶/۳۱</t>
  </si>
  <si>
    <t>۱۴۰۴/۱۰/۱۱ ۱۶:۲۸:۰۵</t>
  </si>
  <si>
    <t>SRC_F20_FY1404</t>
  </si>
  <si>
    <t>SRC_F21_FY1404</t>
  </si>
  <si>
    <t>SRC_F22_FY1404</t>
  </si>
  <si>
    <t>SRC_F23_FY1404</t>
  </si>
  <si>
    <t>گزارش فعالیت هیئت مدیره دوره ۱۲ ماهه منتهی به  ۱۴۰۴/۱۰/۳۰</t>
  </si>
  <si>
    <t>SRC_F24_FY1404</t>
  </si>
  <si>
    <t>۱۴۰۵/۰۴/۳۱ ۰۶:۱۸:۳۴</t>
  </si>
  <si>
    <t>SRC_F25_FY1404</t>
  </si>
  <si>
    <t>SRC_F26_FY1404</t>
  </si>
  <si>
    <t>SRC_F27_FY1404</t>
  </si>
  <si>
    <t>SRC_F28_FY1404</t>
  </si>
  <si>
    <t>SRC_F29_FY1404</t>
  </si>
  <si>
    <t>SRC_F30_FY1404</t>
  </si>
  <si>
    <t>T19_967358</t>
  </si>
  <si>
    <t>اطلاعیه ن۴۵ (Type19)</t>
  </si>
  <si>
    <t>1401/09/14 14:48</t>
  </si>
  <si>
    <t>https://www.codal.ir/Reports/Decision.aspx?LetterSerial=%2bs9TQpAfxjEQ9CdrPc%2bBPw%3d%3d&amp;rt=0&amp;let=19&amp;ct=0&amp;ft=-1</t>
  </si>
  <si>
    <t>زنجیره زمانی</t>
  </si>
  <si>
    <t>11bc96ad4acd68ae90ce26b66f2ea02be01390265d1e790a62ad588abbca817f</t>
  </si>
  <si>
    <t>sources/codal/فملی/v38_type19/T967358.html</t>
  </si>
  <si>
    <t>T19_971762</t>
  </si>
  <si>
    <t>1401/09/26 11:23</t>
  </si>
  <si>
    <t>https://www.codal.ir/Reports/Decision.aspx?LetterSerial=0qhejM74jo1TLtqNX4rp1Q%3d%3d&amp;rt=0&amp;let=19&amp;ct=0&amp;ft=-1</t>
  </si>
  <si>
    <t>8a3ba9604378b82f37314cacce4d9a0dc3bc9057f89472a5eb7746da71322f45</t>
  </si>
  <si>
    <t>sources/codal/فملی/v38_type19/T971762.html</t>
  </si>
  <si>
    <t>T19_991640</t>
  </si>
  <si>
    <t>1401/11/18 10:19</t>
  </si>
  <si>
    <t>https://www.codal.ir/Reports/Decision.aspx?LetterSerial=%2bIasXAfhrw5fd08jRr5O3A%3d%3d&amp;rt=0&amp;let=19&amp;ct=0&amp;ft=-1</t>
  </si>
  <si>
    <t>4fcc99e8755d0eda686cfb80433b900b29342b2ebe1d91f0b18e8080037413e9</t>
  </si>
  <si>
    <t>sources/codal/فملی/v38_type19/T991640.html</t>
  </si>
  <si>
    <t>T19_1065401</t>
  </si>
  <si>
    <t>1402/05/08 08:11</t>
  </si>
  <si>
    <t>https://www.codal.ir/Reports/Decision.aspx?LetterSerial=zCQeEG4p2toK3eZnC8hvaw%3d%3d&amp;rt=0&amp;let=19&amp;ct=0&amp;ft=-1</t>
  </si>
  <si>
    <t>143b0c1c573bcfe9ea1e5c18e166995d9da9c14ff5fd86fe7e1ff9fb515d6f3b</t>
  </si>
  <si>
    <t>sources/codal/فملی/v38_type19/T1065401.html</t>
  </si>
  <si>
    <t>T19_1108993</t>
  </si>
  <si>
    <t>1402/09/15 16:15</t>
  </si>
  <si>
    <t>https://www.codal.ir/Reports/Decision.aspx?LetterSerial=R67NVtBTQQQaQQQz1W3uiH6kYk%2bA%3d%3d&amp;rt=0&amp;let=19&amp;ct=0&amp;ft=-1</t>
  </si>
  <si>
    <t>ac6186545946f08113565937bc6c9c92c2a40101d0bc7cc26e5c9a4269e49fee</t>
  </si>
  <si>
    <t>sources/codal/فملی/v38_type19/T1108993.html</t>
  </si>
  <si>
    <t>T19_1156403</t>
  </si>
  <si>
    <t>1402/12/01 09:01</t>
  </si>
  <si>
    <t>https://www.codal.ir/Reports/Decision.aspx?LetterSerial=3YjGqUhAcI6CWmguqPmprA%3d%3d&amp;rt=0&amp;let=19&amp;ct=0&amp;ft=-1</t>
  </si>
  <si>
    <t>fcc28eed72e3bd1a77f5254ca0f0a9dce49419292eb6404b30f5872a0c13b5aa</t>
  </si>
  <si>
    <t>sources/codal/فملی/v38_type19/T1156403.html</t>
  </si>
  <si>
    <t>T19_1156455</t>
  </si>
  <si>
    <t>1402/12/01 09:47</t>
  </si>
  <si>
    <t>https://www.codal.ir/Reports/Decision.aspx?LetterSerial=LIMAab3CQo3GqZAWQVXffQ%3d%3d&amp;rt=0&amp;let=19&amp;ct=0&amp;ft=-1</t>
  </si>
  <si>
    <t>05b80cf6359b8746d0e4dd2276681dd613e55e1f4ecb59fb3d76cb553c6251af</t>
  </si>
  <si>
    <t>sources/codal/فملی/v38_type19/T1156455.html</t>
  </si>
  <si>
    <t>T19_1175556</t>
  </si>
  <si>
    <t>1403/01/20 20:34</t>
  </si>
  <si>
    <t>https://www.codal.ir/Reports/Decision.aspx?LetterSerial=YTIPQQQaQQQZyZ4LLI7wMOErKkyQ%3d%3d&amp;rt=0&amp;let=19&amp;ct=0&amp;ft=-1</t>
  </si>
  <si>
    <t>99f44806ac2bfdeafc0e4921dfb861e92b903dc763f7c01d4580b29a291a9612</t>
  </si>
  <si>
    <t>sources/codal/فملی/v38_type19/T1175556.html</t>
  </si>
  <si>
    <t>T19_1175638</t>
  </si>
  <si>
    <t>1403/01/20 20:54</t>
  </si>
  <si>
    <t>https://www.codal.ir/Reports/Decision.aspx?LetterSerial=QjPZcvrOinY97mMOvnDLWg%3d%3d&amp;rt=0&amp;let=19&amp;ct=0&amp;ft=-1</t>
  </si>
  <si>
    <t>2313cf74d0b0fbb67667dfb79b9c02cf1bbe58cbe6b2ae90a9bb8b93e4459d9b</t>
  </si>
  <si>
    <t>sources/codal/فملی/v38_type19/T1175638.html</t>
  </si>
  <si>
    <t>T19_1304676</t>
  </si>
  <si>
    <t>1403/11/15 11:19</t>
  </si>
  <si>
    <t>https://www.codal.ir/Reports/Decision.aspx?LetterSerial=vkJN7hxopquVfLQkwyo3mQ%3d%3d&amp;rt=0&amp;let=19&amp;ct=0&amp;ft=-1</t>
  </si>
  <si>
    <t>ddcc927b212f6cd64f6f24eeaae39150ee47e37971d510457fe74b900c3e5073</t>
  </si>
  <si>
    <t>sources/codal/فملی/v38_type19/T1304676.html</t>
  </si>
  <si>
    <t>T19_1317727</t>
  </si>
  <si>
    <t>1403/12/15 17:09</t>
  </si>
  <si>
    <t>https://www.codal.ir/Reports/Decision.aspx?LetterSerial=MZUkxnTJsVvNBw4OeaM59A%3d%3d&amp;rt=0&amp;let=19&amp;ct=0&amp;ft=-1</t>
  </si>
  <si>
    <t>cca8129102d845bcf7e1a2f0ad979c0f671c5d0ccd6287c530721aee06b97872</t>
  </si>
  <si>
    <t>sources/codal/فملی/v38_type19/T1317727.html</t>
  </si>
  <si>
    <t>T19_1317785</t>
  </si>
  <si>
    <t>1403/12/15 17:41</t>
  </si>
  <si>
    <t>https://www.codal.ir/Reports/Decision.aspx?LetterSerial=tYzRinmNGuATH232iBPlZw%3d%3d&amp;rt=0&amp;let=19&amp;ct=0&amp;ft=-1</t>
  </si>
  <si>
    <t>3fd407fecebbcce8dd04f3bdaadd7dfb9075c504832523b0272b4f5046f191c0</t>
  </si>
  <si>
    <t>sources/codal/فملی/v38_type19/T1317785.html</t>
  </si>
  <si>
    <t>T19_1330149</t>
  </si>
  <si>
    <t>1404/01/25 09:42</t>
  </si>
  <si>
    <t>https://www.codal.ir/Reports/Decision.aspx?LetterSerial=QQQaQQQ0Sc2kq4f7YODHfSo4QNQQQaQQQg%3d%3d&amp;rt=0&amp;let=19&amp;ct=0&amp;ft=-1</t>
  </si>
  <si>
    <t>5af1a7147bd76de2b1455a7ea36b070deb6c2bb058f423c53c5e8d47f570337e</t>
  </si>
  <si>
    <t>sources/codal/فملی/v38_type19/T1330149.html</t>
  </si>
  <si>
    <t>T19_1338264</t>
  </si>
  <si>
    <t>1404/02/09 18:58</t>
  </si>
  <si>
    <t>https://www.codal.ir/Reports/Decision.aspx?LetterSerial=CRSRFSlzcCHMWgFAj5pIoQ%3d%3d&amp;rt=0&amp;let=19&amp;ct=0&amp;ft=-1</t>
  </si>
  <si>
    <t>2a853e58051bdd88e75acd233595340f1421d7916000b15f6e00f9a579c172be</t>
  </si>
  <si>
    <t>sources/codal/فملی/v38_type19/T1338264.html</t>
  </si>
  <si>
    <t>T19_1362953</t>
  </si>
  <si>
    <t>1404/04/08 16:38</t>
  </si>
  <si>
    <t>https://www.codal.ir/Reports/Decision.aspx?LetterSerial=ySOOObOOOue24oBMfgNyj17Y9OMw%3d%3d&amp;rt=0&amp;let=19&amp;ct=0&amp;ft=-1</t>
  </si>
  <si>
    <t>05944a46a30e96f6658f96bd3438caa9b6192ec27d30e7b27b92c562f179539c</t>
  </si>
  <si>
    <t>sources/codal/فملی/v38_type19/T1362953.html</t>
  </si>
  <si>
    <t>T19_1388917</t>
  </si>
  <si>
    <t>1404/05/13 07:48</t>
  </si>
  <si>
    <t>https://www.codal.ir/Reports/Decision.aspx?LetterSerial=zQPOyBBSh0kG79x7OiIQQQaQQQeA%3d%3d&amp;rt=0&amp;let=19&amp;ct=0&amp;ft=-1</t>
  </si>
  <si>
    <t>مبنای فهرست اعضا در as-of</t>
  </si>
  <si>
    <t>11a3834b74235a8fa07869b2e0eb41485dd0aba704efb197ecce877606f62d11</t>
  </si>
  <si>
    <t>sources/codal/فملی/v38_type19/T1388917.html</t>
  </si>
  <si>
    <t>T19_1570953</t>
  </si>
  <si>
    <t>1405/04/28 17:58</t>
  </si>
  <si>
    <t>https://www.codal.ir/Reports/Decision.aspx?LetterSerial=9VimVIfhgOOObOOOeFClmAbfH7YQ%3d%3d&amp;rt=0&amp;let=19&amp;ct=0&amp;ft=-1</t>
  </si>
  <si>
    <t>e53608c1a84d2e083488f9d2a339140be0b3dd16434b9788791fe2b523708f2a</t>
  </si>
  <si>
    <t>sources/codal/فملی/v38_type19/T1570953.html</t>
  </si>
  <si>
    <t>T19_866173</t>
  </si>
  <si>
    <t>معرفی یا تغییر در ترکیب اعضای هیئت مدیره</t>
  </si>
  <si>
    <t>1401/01/14 15:29</t>
  </si>
  <si>
    <t>https://www.codal.ir/Reports/Decision.aspx?LetterSerial=AXxhoQQQaQQQdglU%2Bmr8fUqjAgcg%3D%3D&amp;rt=2&amp;let=19&amp;ct=0&amp;ft=-1</t>
  </si>
  <si>
    <t>18e6f07002be897051c5e70c5c30cb88468e1de6774c84ec266d4f4ea251da61</t>
  </si>
  <si>
    <t>sources/codal/تاپیکو/v38_type19/T866173.html</t>
  </si>
  <si>
    <t>T19_1018740</t>
  </si>
  <si>
    <t>1402/02/09 19:04</t>
  </si>
  <si>
    <t>https://www.codal.ir/Reports/Decision.aspx?LetterSerial=Z3vRQQQaQQQ9xiktXV3QV46rAEZw%3d%3d&amp;rt=2&amp;let=19&amp;ct=0&amp;ft=-1</t>
  </si>
  <si>
    <t>60e9aa7ad9b2481e0bf4f63257298568d4395f26e86c4fb2b2b90302829173d7</t>
  </si>
  <si>
    <t>sources/codal/تاپیکو/v38_type19/T1018740.html</t>
  </si>
  <si>
    <t>T19_1086976</t>
  </si>
  <si>
    <t>1402/07/08 12:37</t>
  </si>
  <si>
    <t>https://www.codal.ir/Reports/Decision.aspx?LetterSerial=p5spnJOh2adudYZLYroenQ%3d%3d&amp;rt=2&amp;let=19&amp;ct=0&amp;ft=-1</t>
  </si>
  <si>
    <t>e73289811fd98577d4b9dc97a80045444de734cfdb426bfbb4c6871db81af961</t>
  </si>
  <si>
    <t>sources/codal/تاپیکو/v38_type19/T1086976.html</t>
  </si>
  <si>
    <t>T19_1104229</t>
  </si>
  <si>
    <t>1402/08/20 16:43</t>
  </si>
  <si>
    <t>https://www.codal.ir/Reports/Decision.aspx?LetterSerial=GIBj2gxZJC2Ssb3l1a5gtg%3d%3d&amp;rt=2&amp;let=19&amp;ct=0&amp;ft=-1</t>
  </si>
  <si>
    <t>3e2def141800ed557c28e5b643c708669afdb365eea42aaef9376a45a478b6a7</t>
  </si>
  <si>
    <t>sources/codal/تاپیکو/v38_type19/T1104229.html</t>
  </si>
  <si>
    <t>T19_1116708</t>
  </si>
  <si>
    <t>1402/09/12 20:18</t>
  </si>
  <si>
    <t>https://www.codal.ir/Reports/Decision.aspx?LetterSerial=PNq63e6G0bNtggKNtEY6eQ%3d%3d&amp;rt=2&amp;let=19&amp;ct=0&amp;ft=-1</t>
  </si>
  <si>
    <t>78c0c462717dadc4a5a95efe2204dd835b58018b4f3a89336210b0ae3157c1ea</t>
  </si>
  <si>
    <t>sources/codal/تاپیکو/v38_type19/T1116708.html</t>
  </si>
  <si>
    <t>T19_1137441</t>
  </si>
  <si>
    <t>1402/10/16 16:58</t>
  </si>
  <si>
    <t>https://www.codal.ir/Reports/Decision.aspx?LetterSerial=oVQ8Y%2bDeKUhPli3o9mcOCA%3d%3d&amp;rt=2&amp;let=19&amp;ct=0&amp;ft=-1</t>
  </si>
  <si>
    <t>60a50d19ef990d081ff4453cb7619fd6f9148497ceeeec34da304991526a3cc5</t>
  </si>
  <si>
    <t>sources/codal/تاپیکو/v38_type19/T1137441.html</t>
  </si>
  <si>
    <t>T19_1138904</t>
  </si>
  <si>
    <t>1402/10/19 19:05</t>
  </si>
  <si>
    <t>https://www.codal.ir/Reports/Decision.aspx?LetterSerial=LERRBmF6I1zeWRuFOojBKw%3d%3d&amp;rt=2&amp;let=19&amp;ct=0&amp;ft=-1</t>
  </si>
  <si>
    <t>sources/codal/تاپیکو/v38_type19/T1138904.html</t>
  </si>
  <si>
    <t>T19_1146572</t>
  </si>
  <si>
    <t>1402/11/04 14:28</t>
  </si>
  <si>
    <t>https://www.codal.ir/Reports/Decision.aspx?LetterSerial=aaFM52bcXpF8VR%2b8lSa5yg%3d%3d&amp;rt=2&amp;let=19&amp;ct=0&amp;ft=-1</t>
  </si>
  <si>
    <t>1572d6cc672c9d61b0b62304b7c0fa8354e5a1a604dc834f5a725d61a14fe9c2</t>
  </si>
  <si>
    <t>sources/codal/تاپیکو/v38_type19/T1146572.html</t>
  </si>
  <si>
    <t>T19_1147323</t>
  </si>
  <si>
    <t>1402/11/07 12:40</t>
  </si>
  <si>
    <t>https://www.codal.ir/Reports/Decision.aspx?LetterSerial=QXmA1ynHiclcbM1c2GB1SA%3d%3d&amp;rt=2&amp;let=19&amp;ct=0&amp;ft=-1</t>
  </si>
  <si>
    <t>aab0ca66e849a626a3a044262c592634721193109e360fe489db04b637503733</t>
  </si>
  <si>
    <t>sources/codal/تاپیکو/v38_type19/T1147323.html</t>
  </si>
  <si>
    <t>T19_1176404</t>
  </si>
  <si>
    <t>1403/01/26 08:52</t>
  </si>
  <si>
    <t>https://www.codal.ir/Reports/Decision.aspx?LetterSerial=jn2DC1LfT3SjQE6M3537mA%3d%3d&amp;rt=2&amp;let=19&amp;ct=0&amp;ft=-1</t>
  </si>
  <si>
    <t>a126a16fd9a85e18f288e314c0b99f862bef2dd327b8ddbd22104f6c3a00d447</t>
  </si>
  <si>
    <t>sources/codal/تاپیکو/v38_type19/T1176404.html</t>
  </si>
  <si>
    <t>T19_1177949</t>
  </si>
  <si>
    <t>1403/01/28 17:27</t>
  </si>
  <si>
    <t>https://www.codal.ir/Reports/Decision.aspx?LetterSerial=FCpWErfpQcOqfibBIQZnxg%3d%3d&amp;rt=2&amp;let=19&amp;ct=0&amp;ft=-1</t>
  </si>
  <si>
    <t>e5745a82814f0a83df101b24f3da887f12594b8b3e8fe9a6bbdf9fafb6ed135c</t>
  </si>
  <si>
    <t>sources/codal/تاپیکو/v38_type19/T1177949.html</t>
  </si>
  <si>
    <t>T19_1199615</t>
  </si>
  <si>
    <t>1403/03/13 16:29</t>
  </si>
  <si>
    <t>https://www.codal.ir/Reports/Decision.aspx?LetterSerial=ARrqhDLbAAjGRJtlkZiClQ%3d%3d&amp;rt=2&amp;let=19&amp;ct=0&amp;ft=-1</t>
  </si>
  <si>
    <t>db6d1c304de7e5628d389ba2a84be074e4e5be95a28f8449924490fafbf28b0b</t>
  </si>
  <si>
    <t>sources/codal/تاپیکو/v38_type19/T1199615.html</t>
  </si>
  <si>
    <t>T19_1204917</t>
  </si>
  <si>
    <t>1403/03/29 15:13</t>
  </si>
  <si>
    <t>https://www.codal.ir/Reports/Decision.aspx?LetterSerial=yyCeRiNU4aGvNQkSCjeRtg%3d%3d&amp;rt=2&amp;let=19&amp;ct=0&amp;ft=-1</t>
  </si>
  <si>
    <t>0b717c6aea4c4ff32ed72e9736da75fe993800a7688a9b7aaab9f1ebda28cf89</t>
  </si>
  <si>
    <t>sources/codal/تاپیکو/v38_type19/T1204917.html</t>
  </si>
  <si>
    <t>T19_1204956</t>
  </si>
  <si>
    <t>1403/03/29 15:36</t>
  </si>
  <si>
    <t>https://www.codal.ir/Reports/Decision.aspx?LetterSerial=UfAPNZ9YbrG24OM6UxyYOA%3d%3d&amp;rt=2&amp;let=19&amp;ct=0&amp;ft=-1</t>
  </si>
  <si>
    <t>6a01bec4537622190d93b84211be8e24138fe0007f5957f6507ac915fe99384f</t>
  </si>
  <si>
    <t>sources/codal/تاپیکو/v38_type19/T1204956.html</t>
  </si>
  <si>
    <t>T19_1205084</t>
  </si>
  <si>
    <t>1403/03/29 18:49</t>
  </si>
  <si>
    <t>https://www.codal.ir/Reports/Decision.aspx?LetterSerial=h6s68IQQQaQQQN%2b8I67FUpEGGEAg%3d%3d&amp;rt=2&amp;let=19&amp;ct=0&amp;ft=-1</t>
  </si>
  <si>
    <t>bb838b1e054495576f088b72ef3c2c97ae1396f1d46b4fa5416ec82184750172</t>
  </si>
  <si>
    <t>sources/codal/تاپیکو/v38_type19/T1205084.html</t>
  </si>
  <si>
    <t>T19_1229287</t>
  </si>
  <si>
    <t>1403/05/13 16:45</t>
  </si>
  <si>
    <t>https://www.codal.ir/Reports/Decision.aspx?LetterSerial=bbEnGEUDqwBMFu5IzsgChw%3d%3d&amp;rt=2&amp;let=19&amp;ct=0&amp;ft=-1</t>
  </si>
  <si>
    <t>619cfed0d14a93b1ce92212d82fb553a4d85ad82f584567e11d3fe064a70da59</t>
  </si>
  <si>
    <t>sources/codal/تاپیکو/v38_type19/T1229287.html</t>
  </si>
  <si>
    <t>T19_1246565</t>
  </si>
  <si>
    <t>1403/06/26 12:36</t>
  </si>
  <si>
    <t>https://www.codal.ir/Reports/Decision.aspx?LetterSerial=GA6L9Td7j0zZOOObOOOYmTX1qEVw%3d%3d&amp;rt=2&amp;let=19&amp;ct=0&amp;ft=-1</t>
  </si>
  <si>
    <t>f4b414ef4e30031c210a2278397921062565084ec24c502473d6e229f5571da3</t>
  </si>
  <si>
    <t>sources/codal/تاپیکو/v38_type19/T1246565.html</t>
  </si>
  <si>
    <t>T19_1248678</t>
  </si>
  <si>
    <t>1403/07/01 15:00</t>
  </si>
  <si>
    <t>https://www.codal.ir/Reports/Decision.aspx?LetterSerial=yH6N4O0ja8wIvAf9cCGwYw%3d%3d&amp;rt=2&amp;let=19&amp;ct=0&amp;ft=-1</t>
  </si>
  <si>
    <t>29593c0295bcb8c0d7e1b4e7da798e3d2cbaeec3cd4da6252fb8533d390cdec7</t>
  </si>
  <si>
    <t>sources/codal/تاپیکو/v38_type19/T1248678.html</t>
  </si>
  <si>
    <t>T19_1294995</t>
  </si>
  <si>
    <t>1403/10/23 15:21</t>
  </si>
  <si>
    <t>https://www.codal.ir/Reports/Decision.aspx?LetterSerial=J1Vj4RRyGxkiYzrgxBXCDQ%3d%3d&amp;rt=2&amp;let=19&amp;ct=0&amp;ft=-1</t>
  </si>
  <si>
    <t>b195be38d92ce589a79b67af8d523398dc4b99cd48523e7cb638a62d7d823013</t>
  </si>
  <si>
    <t>sources/codal/تاپیکو/v38_type19/T1294995.html</t>
  </si>
  <si>
    <t>T19_1295971</t>
  </si>
  <si>
    <t>1403/10/24 18:44</t>
  </si>
  <si>
    <t>https://www.codal.ir/Reports/Decision.aspx?LetterSerial=GbIBUuPOOObOOOMsrkOOObOOOyL3L8uBXg%3d%3d&amp;rt=2&amp;let=19&amp;ct=0&amp;ft=-1</t>
  </si>
  <si>
    <t>26ab6f39825cf26704b2518fd51c33d3d7e9bd18ba068db01876187452d3ffa4</t>
  </si>
  <si>
    <t>sources/codal/تاپیکو/v38_type19/T1295971.html</t>
  </si>
  <si>
    <t>T19_1311653</t>
  </si>
  <si>
    <t>1403/12/04 19:26</t>
  </si>
  <si>
    <t>69d23a766f83d35419942a90e7125f10fe773cf2e7d0aa31762ca95f5300c6c9</t>
  </si>
  <si>
    <t>sources/codal/تاپیکو/v38_type19/T1311653.html</t>
  </si>
  <si>
    <t>T19_1333972</t>
  </si>
  <si>
    <t>1404/02/02 13:49</t>
  </si>
  <si>
    <t>https://www.codal.ir/Reports/Decision.aspx?LetterSerial=14wq1hhv9CaZOHj4KQQQaQQQWEXQ%3d%3d&amp;rt=2&amp;let=19&amp;ct=0&amp;ft=-1</t>
  </si>
  <si>
    <t>e403335e17c71d3d055d071d860ff5b74e404ed63b17228b2423979d2a4e25f8</t>
  </si>
  <si>
    <t>sources/codal/تاپیکو/v38_type19/T1333972.html</t>
  </si>
  <si>
    <t>T19_1371339</t>
  </si>
  <si>
    <t>1404/04/22 20:06</t>
  </si>
  <si>
    <t>https://www.codal.ir/Reports/Decision.aspx?LetterSerial=n9uFeY0qtS0NRN2UGGj73w%3d%3d&amp;rt=2&amp;let=19&amp;ct=0&amp;ft=-1</t>
  </si>
  <si>
    <t>9d50171424f8684a027b68eaf5da2f5b385d6ced00644bfea0b295b39f5599b8</t>
  </si>
  <si>
    <t>sources/codal/تاپیکو/v38_type19/T1371339.html</t>
  </si>
  <si>
    <t>T19_1379918</t>
  </si>
  <si>
    <t>1404/05/04 14:25</t>
  </si>
  <si>
    <t>52c8742dcf6e230dfb5cea56550e79f0dd032088a26d4ac06952aa317c155bfd</t>
  </si>
  <si>
    <t>sources/codal/تاپیکو/v38_type19/T1379918.html</t>
  </si>
  <si>
    <t>T19_1380291</t>
  </si>
  <si>
    <t>1404/05/04 16:28</t>
  </si>
  <si>
    <t>https://www.codal.ir/Reports/Decision.aspx?LetterSerial=EJQQQQaQQQTzMgTaGFN3F6PrLHIA%3d%3d&amp;rt=2&amp;let=19&amp;ct=0&amp;ft=-1</t>
  </si>
  <si>
    <t>0878e109a03d078fad7a35f97e135bf958af7f5e6c3af4d7d33fbdc90250e9c0</t>
  </si>
  <si>
    <t>sources/codal/تاپیکو/v38_type19/T1380291.html</t>
  </si>
  <si>
    <t>T19_1408462</t>
  </si>
  <si>
    <t>1404/07/01 08:19</t>
  </si>
  <si>
    <t>b55bda57c7fa2ee1ddfce15fa06997ec5ed0e3d592535c568f6a7a25f33fa011</t>
  </si>
  <si>
    <t>sources/codal/تاپیکو/v38_type19/T1408462.html</t>
  </si>
  <si>
    <t>T19_1454336</t>
  </si>
  <si>
    <t>1404/09/19 10:59</t>
  </si>
  <si>
    <t>https://www.codal.ir/Reports/Decision.aspx?LetterSerial=Nd4QQQaQQQxOOObOOOuPghOB5vJxbzV5Zw%3d%3d&amp;rt=2&amp;let=19&amp;ct=0&amp;ft=-1</t>
  </si>
  <si>
    <t>ce9bee4d44ddaba336aa92e6dda2f4da9a301abb2034a2d2b3f9a18fcdc713c0</t>
  </si>
  <si>
    <t>sources/codal/تاپیکو/v38_type19/T1454336.html</t>
  </si>
  <si>
    <t>T19_1477918</t>
  </si>
  <si>
    <t>1404/11/06 15:34</t>
  </si>
  <si>
    <t>297a7ad471dbbcb9e69041dc334f93ceb7389c2f4706fda47e7f4b76483aba9c</t>
  </si>
  <si>
    <t>sources/codal/تاپیکو/v38_type19/T1477918.html</t>
  </si>
  <si>
    <t>T19_1482329</t>
  </si>
  <si>
    <t>1405/03/04 08:55</t>
  </si>
  <si>
    <t>https://www.codal.ir/Reports/Decision.aspx?LetterSerial=XCP7T4qS3UfQQQaQQQIwMpr44bvg%3d%3d&amp;rt=2&amp;let=19&amp;ct=0&amp;ft=-1</t>
  </si>
  <si>
    <t>a2fd59829d21ebed4cd4ff2d9d0a16625a3521f5a79ff5e554443afaeb90fbb4</t>
  </si>
  <si>
    <t>sources/codal/تاپیکو/v38_type19/T1482329.html</t>
  </si>
  <si>
    <t>T19_1576448</t>
  </si>
  <si>
    <t>1405/05/04 19:24</t>
  </si>
  <si>
    <t>https://www.codal.ir/Reports/Decision.aspx?LetterSerial=Ndm1vBJEUfgR4wddq6eHAA%3d%3d&amp;rt=2&amp;let=19&amp;ct=0&amp;ft=-1</t>
  </si>
  <si>
    <t>d235f787567e667259bfaaa68d2ae78d6bcd3f7c7e4c13c24eaae5905b669fbf</t>
  </si>
  <si>
    <t>sources/codal/تاپیکو/v38_type19/T1576448.html</t>
  </si>
  <si>
    <t>T19_1601953</t>
  </si>
  <si>
    <t>1405/06/30 18:20</t>
  </si>
  <si>
    <t>https://www.codal.ir/Reports/Decision.aspx?LetterSerial=PyesQNouLA7J41rFImVH8A%3d%3d&amp;rt=2&amp;let=19&amp;ct=0&amp;ft=-1</t>
  </si>
  <si>
    <t>8c46f7d5112820a34d484d6fc703b4f5a3cb9a642c0f5747421b379decf52929</t>
  </si>
  <si>
    <t>sources/codal/تاپیکو/v38_type19/T1601953.html</t>
  </si>
  <si>
    <t>T19_1002535</t>
  </si>
  <si>
    <t>1401/12/21 10:37</t>
  </si>
  <si>
    <t>https://www.codal.ir/Reports/Decision.aspx?LetterSerial=9rGWpiR5eZvgfXbe8wb8zQ%3d%3d&amp;rt=2&amp;let=19&amp;ct=0&amp;ft=-1</t>
  </si>
  <si>
    <t>b6f25725c2447fcce75f51945b76db1c3e9bc1cd07e31d89fe36c365a4162efe</t>
  </si>
  <si>
    <t>sources/codal/فارس/v38_type19/T1002535.html</t>
  </si>
  <si>
    <t>T19_1014477</t>
  </si>
  <si>
    <t>1402/01/29 12:49</t>
  </si>
  <si>
    <t>https://www.codal.ir/Reports/Decision.aspx?LetterSerial=WIjqw1ZwkJGzHzW8nKdaYA%3d%3d&amp;rt=2&amp;let=19&amp;ct=0&amp;ft=-1</t>
  </si>
  <si>
    <t>461aae0fe8959c317c65abee0a00d36933c4875d7fb8232a921ed36302f545ca</t>
  </si>
  <si>
    <t>sources/codal/فارس/v38_type19/T1014477.html</t>
  </si>
  <si>
    <t>T19_1018807</t>
  </si>
  <si>
    <t>1402/02/09 16:21</t>
  </si>
  <si>
    <t>https://www.codal.ir/Reports/Decision.aspx?LetterSerial=vFlIwod1Goo%2b2QQQaQQQ8B7Gq4tw%3d%3d&amp;rt=2&amp;let=19&amp;ct=0&amp;ft=-1</t>
  </si>
  <si>
    <t>d512d0bba2cabded1fc83acda1aa18f3b07fe983e5158eb42cedc17679308055</t>
  </si>
  <si>
    <t>sources/codal/فارس/v38_type19/T1018807.html</t>
  </si>
  <si>
    <t>T19_1148753</t>
  </si>
  <si>
    <t>1402/11/09 15:39</t>
  </si>
  <si>
    <t>https://www.codal.ir/Reports/Decision.aspx?LetterSerial=8xrLKNgLazctSqI4kOE8QQQaQQQQ%3d%3d&amp;rt=2&amp;let=19&amp;ct=0&amp;ft=-1</t>
  </si>
  <si>
    <t>922ec90a34f6df5c95ed8bd32abc25f91a9fcbca3e5dacd8fed555a677ff5a0a</t>
  </si>
  <si>
    <t>sources/codal/فارس/v38_type19/T1148753.html</t>
  </si>
  <si>
    <t>T19_1148926</t>
  </si>
  <si>
    <t>1402/11/09 17:46</t>
  </si>
  <si>
    <t>https://www.codal.ir/Reports/Decision.aspx?LetterSerial=BKm8tcZiw4SLJpEQQQaQQQMfKzxA%3d%3d&amp;rt=2&amp;let=19&amp;ct=0&amp;ft=-1</t>
  </si>
  <si>
    <t>d5da06b5dbc4aa302ffabe1c8f4831c58e220f7fdc3fcae839accb8430f02820</t>
  </si>
  <si>
    <t>sources/codal/فارس/v38_type19/T1148926.html</t>
  </si>
  <si>
    <t>T19_1254335</t>
  </si>
  <si>
    <t>1403/07/16 16:59</t>
  </si>
  <si>
    <t>https://www.codal.ir/Reports/Decision.aspx?LetterSerial=lpbWKzvrGxmpjSnyRyDTNA%3d%3d&amp;rt=2&amp;let=19&amp;ct=0&amp;ft=-1</t>
  </si>
  <si>
    <t>ee7e86c24e4379d06cfcc1c13aafa4fa4ae7a0a41f43b52e0d87b012c13c7349</t>
  </si>
  <si>
    <t>sources/codal/فارس/v38_type19/T1254335.html</t>
  </si>
  <si>
    <t>T19_1279471</t>
  </si>
  <si>
    <t>1403/09/13 13:42</t>
  </si>
  <si>
    <t>https://www.codal.ir/Reports/Decision.aspx?LetterSerial=rL4w42QQQaQQQlWyQEdCbCJwDt3A%3d%3d&amp;rt=2&amp;let=19&amp;ct=0&amp;ft=-1</t>
  </si>
  <si>
    <t>206e534c72ef1ae7067b9c54bd0bc49973c810476f0abb14dbbf36b9367cbba5</t>
  </si>
  <si>
    <t>sources/codal/فارس/v38_type19/T1279471.html</t>
  </si>
  <si>
    <t>T19_1335429</t>
  </si>
  <si>
    <t>1404/02/07 20:34</t>
  </si>
  <si>
    <t>https://www.codal.ir/Reports/Decision.aspx?LetterSerial=OX6MEs96T1dHFdv2q8yohw%3d%3d&amp;rt=2&amp;let=19&amp;ct=0&amp;ft=-1</t>
  </si>
  <si>
    <t>2155b680a37dd1d8f3c267cb0a74147eb54ddbe50a66cca179738d5889cebab6</t>
  </si>
  <si>
    <t>sources/codal/فارس/v38_type19/T1335429.html</t>
  </si>
  <si>
    <t>T19_1337293</t>
  </si>
  <si>
    <t>1404/02/10 08:52</t>
  </si>
  <si>
    <t>https://www.codal.ir/Reports/Decision.aspx?LetterSerial=YZQQQaQQQzLMVAXLSuVmws8kjppw%3d%3d&amp;rt=2&amp;let=19&amp;ct=0&amp;ft=-1</t>
  </si>
  <si>
    <t>0c896ef45bf8b397ed4da011a17451d88aa9558380b438d73313c209f372576f</t>
  </si>
  <si>
    <t>sources/codal/فارس/v38_type19/T1337293.html</t>
  </si>
  <si>
    <t>T19_1338492</t>
  </si>
  <si>
    <t>1404/02/10 11:39</t>
  </si>
  <si>
    <t>https://www.codal.ir/Reports/Decision.aspx?LetterSerial=5xMDyFG542CQQQaQQQMS2FiXV8LA%3d%3d&amp;rt=2&amp;let=19&amp;ct=0&amp;ft=-1</t>
  </si>
  <si>
    <t>bd6584aee03ad000859e42927c0eb90d7d7427c5a4cb9d3af66223868dc08845</t>
  </si>
  <si>
    <t>sources/codal/فارس/v38_type19/T1338492.html</t>
  </si>
  <si>
    <t>T19_1344079</t>
  </si>
  <si>
    <t>1404/02/24 14:32</t>
  </si>
  <si>
    <t>https://www.codal.ir/Reports/Decision.aspx?LetterSerial=9VQQQaQQQARnfyXfcA62HQQQaQQQ1rGHHg%3d%3d&amp;rt=2&amp;let=19&amp;ct=0&amp;ft=-1</t>
  </si>
  <si>
    <t>3e962306c889ec86516c72db29a16cc17eb7ba471b2f3648e6cd48b408fa5b01</t>
  </si>
  <si>
    <t>sources/codal/فارس/v38_type19/T1344079.html</t>
  </si>
  <si>
    <t>T19_1346558</t>
  </si>
  <si>
    <t>1404/02/29 18:37</t>
  </si>
  <si>
    <t>https://www.codal.ir/Reports/Decision.aspx?LetterSerial=wNzhJrghrOOObOOOIykucXgQQQaQQQFXOw%3d%3d&amp;rt=2&amp;let=19&amp;ct=0&amp;ft=-1</t>
  </si>
  <si>
    <t>49d011d1a59efc7cdbd6063f7ff93614a969e548b762af685c42de68c141fd15</t>
  </si>
  <si>
    <t>sources/codal/فارس/v38_type19/T1346558.html</t>
  </si>
  <si>
    <t>T19_1417899</t>
  </si>
  <si>
    <t>1404/07/21 16:53</t>
  </si>
  <si>
    <t>https://www.codal.ir/Reports/Decision.aspx?LetterSerial=NtqAfxNalwYqxHntQQQaQQQxvYiw%3d%3d&amp;rt=2&amp;let=19&amp;ct=0&amp;ft=-1</t>
  </si>
  <si>
    <t>58675db7e32347f95825ffb9971afae030cdde3798d22f3af5cb8fafe3c68455</t>
  </si>
  <si>
    <t>sources/codal/فارس/v38_type19/T1417899.html</t>
  </si>
  <si>
    <t>T19_912195</t>
  </si>
  <si>
    <t>1401/04/22 16:03</t>
  </si>
  <si>
    <t>https://www.codal.ir/Reports/Decision.aspx?LetterSerial=9dE42BCFk9HkcZaLqq%2bBPA%3d%3d&amp;rt=0&amp;let=19&amp;ct=0&amp;ft=-1</t>
  </si>
  <si>
    <t>604030c6153d62cf7a6e311da322c36bc52330830e6b0a876cbab31e644b7bcc</t>
  </si>
  <si>
    <t>sources/codal/خودرو/v38_type19/T912195.html</t>
  </si>
  <si>
    <t>T19_998215</t>
  </si>
  <si>
    <t>1401/12/22 19:27</t>
  </si>
  <si>
    <t>https://www.codal.ir/Reports/Decision.aspx?LetterSerial=cejVKGM5Lt%2b7EHSQN%2bdAoA%3d%3d&amp;rt=0&amp;let=19&amp;ct=0&amp;ft=-1</t>
  </si>
  <si>
    <t>aab50123ed7e486f68fdf458233f0ac7fc349c101e374ddb7becc77015f4bcfa</t>
  </si>
  <si>
    <t>sources/codal/خودرو/v38_type19/T998215.html</t>
  </si>
  <si>
    <t>T19_1079450</t>
  </si>
  <si>
    <t>1402/06/12 13:53</t>
  </si>
  <si>
    <t>https://www.codal.ir/Reports/Decision.aspx?LetterSerial=h7QQQaQQQhQKCa4mgQQQaQQQoUyPSKSisw%3d%3d&amp;rt=0&amp;let=19&amp;ct=0&amp;ft=-1</t>
  </si>
  <si>
    <t>38184575703415bde1b6f13d4c6d11c1d2d44e63fb4a3daf598db8c43f5620ff</t>
  </si>
  <si>
    <t>sources/codal/خودرو/v38_type19/T1079450.html</t>
  </si>
  <si>
    <t>T19_1285658</t>
  </si>
  <si>
    <t>1403/10/01 11:39</t>
  </si>
  <si>
    <t>https://www.codal.ir/Reports/Decision.aspx?LetterSerial=5QQQaQQQOOObOOObKOOObOOOCSMrU7tnkpyVYFUg%3d%3d&amp;rt=0&amp;let=19&amp;ct=0&amp;ft=-1</t>
  </si>
  <si>
    <t>d6ccd95f4a9831f4010c957e6b384491d3e9fcd6f82248ca925d64b0cf9ab2d7</t>
  </si>
  <si>
    <t>sources/codal/خودرو/v38_type19/T1285658.html</t>
  </si>
  <si>
    <t>T19_1306740</t>
  </si>
  <si>
    <t>1403/11/21 15:39</t>
  </si>
  <si>
    <t>03aad8458feec324cccf700bc2f12c27cc2ca58406378eb69f96110724a629d8</t>
  </si>
  <si>
    <t>sources/codal/خودرو/v38_type19/T1306740.html</t>
  </si>
  <si>
    <t>T19_1308744</t>
  </si>
  <si>
    <t>1403/11/28 12:29</t>
  </si>
  <si>
    <t>https://www.codal.ir/Reports/Decision.aspx?LetterSerial=Py7g1I1hRZbWQQQaQQQmaHVR3hqA%3d%3d&amp;rt=0&amp;let=19&amp;ct=0&amp;ft=-1</t>
  </si>
  <si>
    <t>cc5b59053166aa67f1da1a455a0934a92d1010b39b87d4af7eb60ef34f6b08ac</t>
  </si>
  <si>
    <t>sources/codal/خودرو/v38_type19/T1308744.html</t>
  </si>
  <si>
    <t>T19_1417850</t>
  </si>
  <si>
    <t>1404/07/21 14:18</t>
  </si>
  <si>
    <t>e8d2bbaae15cc76c9de36511c33c3271d1c3f78eead6f6da513241560b659ec2</t>
  </si>
  <si>
    <t>sources/codal/خودرو/v38_type19/T1417850.html</t>
  </si>
  <si>
    <t>T19_1433580</t>
  </si>
  <si>
    <t>1404/08/17 17:57</t>
  </si>
  <si>
    <t>https://www.codal.ir/Reports/Decision.aspx?LetterSerial=jiwn56qgl7koiguHISy5jw%3d%3d&amp;rt=0&amp;let=19&amp;ct=0&amp;ft=-1</t>
  </si>
  <si>
    <t>4c22ecbb98d29e67747fe4ebe8b715fedf3469c9a12bf3dccbf2cedad73f1e5a</t>
  </si>
  <si>
    <t>sources/codal/خودرو/v38_type19/T1433580.html</t>
  </si>
  <si>
    <t>T19_1511411</t>
  </si>
  <si>
    <t>1405/02/02 08:35</t>
  </si>
  <si>
    <t>https://www.codal.ir/Reports/Decision.aspx?LetterSerial=K23o6U1FPtmCLNckv7KJyA%3d%3d&amp;rt=0&amp;let=19&amp;ct=0&amp;ft=-1</t>
  </si>
  <si>
    <t>6e2eafc3a77d49c616f4da13b323f9b26f649cb4edcc9995f729badcc9db5e78</t>
  </si>
  <si>
    <t>sources/codal/خودرو/v38_type19/T1511411.html</t>
  </si>
  <si>
    <t>T19_1547965</t>
  </si>
  <si>
    <t>1405/03/19 18:25</t>
  </si>
  <si>
    <t>https://www.codal.ir/Reports/Decision.aspx?LetterSerial=wfegi0mBtThVEXpcZqCodQ%3d%3d&amp;rt=0&amp;let=19&amp;ct=0&amp;ft=-1</t>
  </si>
  <si>
    <t>f2a7b30da8d9c1397f20dc5ac1c5539a7926bb45084c6890e2caa4fe5d07cbd6</t>
  </si>
  <si>
    <t>sources/codal/خودرو/v38_type19/T1547965.html</t>
  </si>
  <si>
    <t>T19_1589109</t>
  </si>
  <si>
    <t>1405/06/02 10:11</t>
  </si>
  <si>
    <t>https://www.codal.ir/Reports/Decision.aspx?LetterSerial=6LaOOObOOOdHUAud9IQQQaQQQV30HPrcbA%3d%3d&amp;rt=0&amp;let=19&amp;ct=0&amp;ft=-1</t>
  </si>
  <si>
    <t>246ab974c4eff0a6d7bcb2aeba0890acdd2e6ddbefff27532dc73efddc7b7bac</t>
  </si>
  <si>
    <t>sources/codal/خودرو/v38_type19/T1589109.html</t>
  </si>
  <si>
    <t>T19_871052</t>
  </si>
  <si>
    <t>1401/01/29 13:19</t>
  </si>
  <si>
    <t>https://www.codal.ir/Reports/Decision.aspx?LetterSerial=%2BOiLR8vv1Opgb4diA13sZA%3D%3D&amp;rt=0&amp;let=19&amp;ct=0&amp;ft=-1</t>
  </si>
  <si>
    <t>8742907ce9fe6f8c879cfa57e55adff90971e07fb5a7bca3cf5a6c9d7b922d77</t>
  </si>
  <si>
    <t>sources/codal/زاگرس/v38_type19/T871052.html</t>
  </si>
  <si>
    <t>T19_920353</t>
  </si>
  <si>
    <t>1401/05/09 09:50</t>
  </si>
  <si>
    <t>https://www.codal.ir/Reports/Decision.aspx?LetterSerial=P%2bQQQaQQQ8SNMcbG9C1DASAYb4ww%3d%3d&amp;rt=0&amp;let=19&amp;ct=0&amp;ft=-1</t>
  </si>
  <si>
    <t>a739b2afea2e5b44ce61ca0c9bd81b766708f597ebb725a2ee77077e4d2d0567</t>
  </si>
  <si>
    <t>sources/codal/زاگرس/v38_type19/T920353.html</t>
  </si>
  <si>
    <t>T19_1064112</t>
  </si>
  <si>
    <t>1402/05/08 18:38</t>
  </si>
  <si>
    <t>https://www.codal.ir/Reports/Decision.aspx?LetterSerial=UkbhWVSZ%2bJOsILopBZeTFg%3d%3d&amp;rt=0&amp;let=19&amp;ct=0&amp;ft=-1</t>
  </si>
  <si>
    <t>491f7877f679a005b5f8e47739e1f0b50f9bd51e08cfa236ff0b8a6bd90ad94c</t>
  </si>
  <si>
    <t>sources/codal/زاگرس/v38_type19/T1064112.html</t>
  </si>
  <si>
    <t>T19_1393291</t>
  </si>
  <si>
    <t>1404/05/26 09:54</t>
  </si>
  <si>
    <t>https://www.codal.ir/Reports/Decision.aspx?LetterSerial=QxD96QQQaQQQ4UOBYBkOOObOOOOOObOOOT3uAvMw%3d%3d&amp;rt=0&amp;let=19&amp;ct=0&amp;ft=-1</t>
  </si>
  <si>
    <t>8ec830623be5b492368fdf0295c43365c15c3ee9366db0fccdb6e10aa65e578b</t>
  </si>
  <si>
    <t>sources/codal/زاگرس/v38_type19/T1393291.html</t>
  </si>
  <si>
    <t>T19_1440464</t>
  </si>
  <si>
    <t>1404/09/01 11:48</t>
  </si>
  <si>
    <t>https://www.codal.ir/Reports/Decision.aspx?LetterSerial=1TT7DtW9BpOOObOOOt26B65KVmRg%3d%3d&amp;rt=0&amp;let=19&amp;ct=0&amp;ft=-1</t>
  </si>
  <si>
    <t>bfc4ad373019f87947d7eab85d53c689d2f8acdff2a43150a767c6b0bd3a030f</t>
  </si>
  <si>
    <t>sources/codal/زاگرس/v38_type19/T1440464.html</t>
  </si>
  <si>
    <t>T19_1441375</t>
  </si>
  <si>
    <t>1404/09/01 12:08</t>
  </si>
  <si>
    <t>https://www.codal.ir/Reports/Decision.aspx?LetterSerial=aCQQQaQQQvq6LciiiNJXJP6ESNBg%3d%3d&amp;rt=0&amp;let=19&amp;ct=0&amp;ft=-1</t>
  </si>
  <si>
    <t>7d30b74bbdca829cf766035f61525197b47d5c81cb0517d812de78f73a472ffe</t>
  </si>
  <si>
    <t>sources/codal/زاگرس/v38_type19/T1441375.html</t>
  </si>
  <si>
    <t>T19_1461380</t>
  </si>
  <si>
    <t>1404/10/01 12:36</t>
  </si>
  <si>
    <t>https://www.codal.ir/Reports/Decision.aspx?LetterSerial=7CVruTTMToHatBtNMvp0Ng%3d%3d&amp;rt=0&amp;let=19&amp;ct=0&amp;ft=-1</t>
  </si>
  <si>
    <t>7d53036fb44d6d9e5272df3f72a81225f063295d6f31744dbb9955d63b3b372d</t>
  </si>
  <si>
    <t>sources/codal/زاگرس/v38_type19/T1461380.html</t>
  </si>
  <si>
    <t>T19_1520943</t>
  </si>
  <si>
    <t>1405/02/19 15:11</t>
  </si>
  <si>
    <t>https://www.codal.ir/Reports/Decision.aspx?LetterSerial=Ahpit7ggmqnfv2XtkYyhDQ%3d%3d&amp;rt=0&amp;let=19&amp;ct=0&amp;ft=-1</t>
  </si>
  <si>
    <t>133e6bdcd7f2b89a723c6bc89c47674b4d3bf4f8b6ad25c5eefb88de56a37e15</t>
  </si>
  <si>
    <t>sources/codal/زاگرس/v38_type19/T1520943.html</t>
  </si>
  <si>
    <t>T19_993127</t>
  </si>
  <si>
    <t>1401/11/25 12:19</t>
  </si>
  <si>
    <t>https://www.codal.ir/Reports/Decision.aspx?LetterSerial=BQQQaQQQWK8QQQaQQQ284od3fiisuZQOvg%3d%3d&amp;rt=0&amp;let=19&amp;ct=0&amp;ft=-1</t>
  </si>
  <si>
    <t>f8a6a1b82ce5e6c269c8cf333338751b74926a3c7268fdab758826fae04052e3</t>
  </si>
  <si>
    <t>sources/codal/شبندر/v38_type19/T993127.html</t>
  </si>
  <si>
    <t>T19_1058293</t>
  </si>
  <si>
    <t>1402/04/27 09:15</t>
  </si>
  <si>
    <t>https://www.codal.ir/Reports/Decision.aspx?LetterSerial=XCyK70F28Yem1g0pngJzFg%3d%3d&amp;rt=0&amp;let=19&amp;ct=0&amp;ft=-1</t>
  </si>
  <si>
    <t>eeae6a5507bfe8e0161c7d6d0757b55080fefcc1bf9a773ea2471f8337a44c8a</t>
  </si>
  <si>
    <t>sources/codal/شبندر/v38_type19/T1058293.html</t>
  </si>
  <si>
    <t>T19_1147526</t>
  </si>
  <si>
    <t>1402/11/07 16:03</t>
  </si>
  <si>
    <t>https://www.codal.ir/Reports/Decision.aspx?LetterSerial=xv0Of7DtxPpQQQaQQQiIuQQQaQQQToUG3Q%3d%3d&amp;rt=0&amp;let=19&amp;ct=0&amp;ft=-1</t>
  </si>
  <si>
    <t>c4a336a3f724950379b1d6179e7fdce6e860c7ecd79d62cc42698703027ccc03</t>
  </si>
  <si>
    <t>sources/codal/شبندر/v38_type19/T1147526.html</t>
  </si>
  <si>
    <t>T19_1169450</t>
  </si>
  <si>
    <t>1402/12/26 15:49</t>
  </si>
  <si>
    <t>https://www.codal.ir/Reports/Decision.aspx?LetterSerial=gUm823bzL4b3YluaC4WTFg%3d%3d&amp;rt=0&amp;let=19&amp;ct=0&amp;ft=-1</t>
  </si>
  <si>
    <t>70e8cdca1773e5483cb4ceed0035caa007f5ec5d68d701ffcb33a986f2f4bfba</t>
  </si>
  <si>
    <t>sources/codal/شبندر/v38_type19/T1169450.html</t>
  </si>
  <si>
    <t>T19_1170350</t>
  </si>
  <si>
    <t>1402/12/27 12:29</t>
  </si>
  <si>
    <t>https://www.codal.ir/Reports/Decision.aspx?LetterSerial=xguuqf6nBsxVEpLf7erIjg%3d%3d&amp;rt=0&amp;let=19&amp;ct=0&amp;ft=-1</t>
  </si>
  <si>
    <t>cbef4b031e3f042dd9a6feeda899492b48f34d3ceda04f21520a740c4fb41602</t>
  </si>
  <si>
    <t>sources/codal/شبندر/v38_type19/T1170350.html</t>
  </si>
  <si>
    <t>T19_1177443</t>
  </si>
  <si>
    <t>1403/01/27 16:28</t>
  </si>
  <si>
    <t>https://www.codal.ir/Reports/Decision.aspx?LetterSerial=hCUtu4C3hEjY6cBZWQQQaQQQeeUg%3d%3d&amp;rt=0&amp;let=19&amp;ct=0&amp;ft=-1</t>
  </si>
  <si>
    <t>a66abb9a584c5860332330d151cbc1be6874299a1d3bc7b2fb7b1a0c7c2522ab</t>
  </si>
  <si>
    <t>sources/codal/شبندر/v38_type19/T1177443.html</t>
  </si>
  <si>
    <t>T19_1323928</t>
  </si>
  <si>
    <t>1404/01/16 08:50</t>
  </si>
  <si>
    <t>https://www.codal.ir/Reports/Decision.aspx?LetterSerial=LJ3g45UvZljFytTKhsnf7g%3d%3d&amp;rt=0&amp;let=19&amp;ct=0&amp;ft=-1</t>
  </si>
  <si>
    <t>2025aa29cec8de8e61d86ce3b8a2e16a97b50971ed33408cfd87acdd7dea3634</t>
  </si>
  <si>
    <t>sources/codal/شبندر/v38_type19/T1323928.html</t>
  </si>
  <si>
    <t>T19_1327416</t>
  </si>
  <si>
    <t>1404/01/17 09:30</t>
  </si>
  <si>
    <t>a8280c6e48ecf08dbff10cf8b82cdf6c15ef725d72703460ee6ff6c1de47f6fc</t>
  </si>
  <si>
    <t>sources/codal/شبندر/v38_type19/T1327416.html</t>
  </si>
  <si>
    <t>T19_1393995</t>
  </si>
  <si>
    <t>1404/05/27 15:49</t>
  </si>
  <si>
    <t>https://www.codal.ir/Reports/Decision.aspx?LetterSerial=cTash2BNdGtuS3XWXLH3bw%3d%3d&amp;rt=0&amp;let=19&amp;ct=0&amp;ft=-1</t>
  </si>
  <si>
    <t>3d0b3b6afdf871b152c18d3d20b6330fe77559bbfbd7f763d4436d75723fb76f</t>
  </si>
  <si>
    <t>sources/codal/شبندر/v38_type19/T1393995.html</t>
  </si>
  <si>
    <t>T19_1411918</t>
  </si>
  <si>
    <t>1404/07/07 18:16</t>
  </si>
  <si>
    <t>https://www.codal.ir/Reports/Decision.aspx?LetterSerial=jpZVgdOOObOOOfOJi5MXRYfJoEfg%3d%3d&amp;rt=0&amp;let=19&amp;ct=0&amp;ft=-1</t>
  </si>
  <si>
    <t>9015f65b4d8bc0e01f3af434b834747508750c5bad05a8fe0f2f1d0a354b63b7</t>
  </si>
  <si>
    <t>sources/codal/شبندر/v38_type19/T1411918.html</t>
  </si>
  <si>
    <t>T19_1465718</t>
  </si>
  <si>
    <t>1404/10/07 15:08</t>
  </si>
  <si>
    <t>https://www.codal.ir/Reports/Decision.aspx?LetterSerial=y9Zt605P1bXJwBDkq7nQQQaQQQJQ%3d%3d&amp;rt=0&amp;let=19&amp;ct=0&amp;ft=-1</t>
  </si>
  <si>
    <t>8a453a20872344bceb23abd0218b015e9b1a5c142a6018ee03a332e6a3aa5f86</t>
  </si>
  <si>
    <t>sources/codal/شبندر/v38_type19/T1465718.html</t>
  </si>
  <si>
    <t>T19_1472522</t>
  </si>
  <si>
    <t>1404/10/24 11:34</t>
  </si>
  <si>
    <t>883e1dfe2459560d101bc5a6452ed44552a4e05a641eaba1393204f8c9687370</t>
  </si>
  <si>
    <t>sources/codal/شبندر/v38_type19/T1472522.html</t>
  </si>
  <si>
    <t>T19_916928</t>
  </si>
  <si>
    <t>1401/05/01 15:44</t>
  </si>
  <si>
    <t>https://www.codal.ir/Reports/Decision.aspx?LetterSerial=DPcb8zhDuGg9YTay8OHuIg%3d%3d&amp;rt=0&amp;let=19&amp;ct=0&amp;ft=-1</t>
  </si>
  <si>
    <t>70e2eaa512eac83149bbfa4988246cb359c35bdd3d2ef96e0f8d6d8579abf9ad</t>
  </si>
  <si>
    <t>sources/codal/پارس/v38_type19/T916928.html</t>
  </si>
  <si>
    <t>T19_927464</t>
  </si>
  <si>
    <t>1401/05/31 21:20</t>
  </si>
  <si>
    <t>https://www.codal.ir/Reports/Decision.aspx?LetterSerial=Cq8eAhgLoQQQaQQQWdUMcQQQaQQQ24RLOw%3d%3d&amp;rt=0&amp;let=19&amp;ct=0&amp;ft=-1</t>
  </si>
  <si>
    <t>cedd5093fffa1ed58345b8abfb157752b6199525ad2033160744b7c6db456b84</t>
  </si>
  <si>
    <t>sources/codal/پارس/v38_type19/T927464.html</t>
  </si>
  <si>
    <t>T19_932969</t>
  </si>
  <si>
    <t>1401/06/09 15:29</t>
  </si>
  <si>
    <t>https://www.codal.ir/Reports/Decision.aspx?LetterSerial=1%2bxzP2HmMZeL3cfv3os97Q%3d%3d&amp;rt=0&amp;let=19&amp;ct=0&amp;ft=-1</t>
  </si>
  <si>
    <t>27c0d890489c87bbf1d664b3ef19703679f15816f3159ceaa3d3685309fe082e</t>
  </si>
  <si>
    <t>sources/codal/پارس/v38_type19/T932969.html</t>
  </si>
  <si>
    <t>T19_1114891</t>
  </si>
  <si>
    <t>1402/09/08 18:38</t>
  </si>
  <si>
    <t>https://www.codal.ir/Reports/Decision.aspx?LetterSerial=zGOjc8zOne8wgKAW8%2bPDwA%3d%3d&amp;rt=0&amp;let=19&amp;ct=0&amp;ft=-1</t>
  </si>
  <si>
    <t>4808750388550f18fc3325d1d45905cfe4838202d0268ce4db9bc5ea8d037021</t>
  </si>
  <si>
    <t>sources/codal/پارس/v38_type19/T1114891.html</t>
  </si>
  <si>
    <t>T19_1168124</t>
  </si>
  <si>
    <t>1402/12/28 09:40</t>
  </si>
  <si>
    <t>https://www.codal.ir/Reports/Decision.aspx?LetterSerial=OUkQEou830pQQQaQQQ64RStd7d6g%3d%3d&amp;rt=0&amp;let=19&amp;ct=0&amp;ft=-1</t>
  </si>
  <si>
    <t>8323036b25a3f651a124e92f0222643a858e85664391768811c4dcb3d05f0293</t>
  </si>
  <si>
    <t>sources/codal/پارس/v38_type19/T1168124.html</t>
  </si>
  <si>
    <t>T19_1173735</t>
  </si>
  <si>
    <t>1403/01/14 11:49</t>
  </si>
  <si>
    <t>https://www.codal.ir/Reports/Decision.aspx?LetterSerial=g0w7qu5N9iqklLkjIh%2biyg%3d%3d&amp;rt=0&amp;let=19&amp;ct=0&amp;ft=-1</t>
  </si>
  <si>
    <t>d17e14879046d0be0b624972c4f7265ed672359e8153b352314593f6662d4950</t>
  </si>
  <si>
    <t>sources/codal/پارس/v38_type19/T1173735.html</t>
  </si>
  <si>
    <t>T19_1232772</t>
  </si>
  <si>
    <t>1403/05/22 15:44</t>
  </si>
  <si>
    <t>https://www.codal.ir/Reports/Decision.aspx?LetterSerial=5EU0XER4ORa2W24pC9PUOA%3d%3d&amp;rt=0&amp;let=19&amp;ct=0&amp;ft=-1</t>
  </si>
  <si>
    <t>ed094b4ab9adffd15458eb671b4fc043c08b4d7d221d2f7fdaf009f068834f2c</t>
  </si>
  <si>
    <t>sources/codal/پارس/v38_type19/T1232772.html</t>
  </si>
  <si>
    <t>T19_1256903</t>
  </si>
  <si>
    <t>1403/07/24 15:47</t>
  </si>
  <si>
    <t>https://www.codal.ir/Reports/Decision.aspx?LetterSerial=nbjrXxlMb7VBHtpmbMp28w%3d%3d&amp;rt=0&amp;let=19&amp;ct=0&amp;ft=-1</t>
  </si>
  <si>
    <t>9d103ac4fd199a9d997293c1e0330ee7f79416575c3ec2945a95f3ed027e3373</t>
  </si>
  <si>
    <t>sources/codal/پارس/v38_type19/T1256903.html</t>
  </si>
  <si>
    <t>T19_1258780</t>
  </si>
  <si>
    <t>1403/07/29 13:02</t>
  </si>
  <si>
    <t>https://www.codal.ir/Reports/Decision.aspx?LetterSerial=yWFzeLVOOObOOOIYbLkQQQaQQQMkW0plUA%3d%3d&amp;rt=0&amp;let=19&amp;ct=0&amp;ft=-1</t>
  </si>
  <si>
    <t>5b6b9106e28559bb56adef5aa172fc447b1c8c2e122686e6a94d33559e23401a</t>
  </si>
  <si>
    <t>sources/codal/پارس/v38_type19/T1258780.html</t>
  </si>
  <si>
    <t>T19_1312374</t>
  </si>
  <si>
    <t>1403/12/11 13:07</t>
  </si>
  <si>
    <t>https://www.codal.ir/Reports/Decision.aspx?LetterSerial=vw2QQQaQQQOOObOOOd7eRPotVOOObOOOJWDHqvAw%3d%3d&amp;rt=0&amp;let=19&amp;ct=0&amp;ft=-1</t>
  </si>
  <si>
    <t>ef4868c4afc00dd0bd20fef418cdb5e1b7d9f509bf3ae30e3ffdb866e6ddbdd5</t>
  </si>
  <si>
    <t>sources/codal/پارس/v38_type19/T1312374.html</t>
  </si>
  <si>
    <t>T19_1334124</t>
  </si>
  <si>
    <t>1404/02/02 15:40</t>
  </si>
  <si>
    <t>693e4b427acf9537b4812bd283bcbd1c427100f552c647eb4141120aa64e4ae2</t>
  </si>
  <si>
    <t>sources/codal/پارس/v38_type19/T1334124.html</t>
  </si>
  <si>
    <t>T19_1400738</t>
  </si>
  <si>
    <t>1404/06/11 15:58</t>
  </si>
  <si>
    <t>https://www.codal.ir/Reports/Decision.aspx?LetterSerial=bPOsQQQaQQQ6xoep58y3RaXE0cag%3d%3d&amp;rt=0&amp;let=19&amp;ct=0&amp;ft=-1</t>
  </si>
  <si>
    <t>50025ad8574be0e457ca82dc563e7c4aee3aeac5f52eef963d9e85f12edc0029</t>
  </si>
  <si>
    <t>sources/codal/پارس/v38_type19/T1400738.html</t>
  </si>
  <si>
    <t>T19_1411740</t>
  </si>
  <si>
    <t>1404/07/08 12:04</t>
  </si>
  <si>
    <t>https://www.codal.ir/Reports/Decision.aspx?LetterSerial=zvyU71nhSRw5hoITkmhHTA%3d%3d&amp;rt=0&amp;let=19&amp;ct=0&amp;ft=-1</t>
  </si>
  <si>
    <t>4787666d2e4b19452efee58572555ae1f966599c286fd8bfbeeffa6a62141a4d</t>
  </si>
  <si>
    <t>sources/codal/پارس/v38_type19/T1411740.html</t>
  </si>
  <si>
    <t>T19_1423115</t>
  </si>
  <si>
    <t>1404/07/29 11:13</t>
  </si>
  <si>
    <t>9bba8ab88e599033df3845871b86d1d2365da81b6936ae035316c533147ea275</t>
  </si>
  <si>
    <t>sources/codal/پارس/v38_type19/T1423115.html</t>
  </si>
  <si>
    <t>T19_1482700</t>
  </si>
  <si>
    <t>1405/02/02 15:08</t>
  </si>
  <si>
    <t>https://www.codal.ir/Reports/Decision.aspx?LetterSerial=5ccPSY4hC0ii0SceUso79Q%3d%3d&amp;rt=0&amp;let=19&amp;ct=0&amp;ft=-1</t>
  </si>
  <si>
    <t>708820813682c8d88138dce70d8dbe78fe4ecb32ecfc2e45adc222c607fbd794</t>
  </si>
  <si>
    <t>sources/codal/پارس/v38_type19/T1482700.html</t>
  </si>
  <si>
    <t>T19_944826</t>
  </si>
  <si>
    <t>1401/07/18 12:24</t>
  </si>
  <si>
    <t>https://www.codal.ir/Reports/Decision.aspx?LetterSerial=40ItHx883oyMOU9XVZW6BQ%3d%3d&amp;rt=0&amp;let=19&amp;ct=0&amp;ft=-1</t>
  </si>
  <si>
    <t>c529117725c7ffd72965af71fca221b8c6b1b123d3bab924ef611406720dcab1</t>
  </si>
  <si>
    <t>sources/codal/شتران/v38_type19/T944826.html</t>
  </si>
  <si>
    <t>T19_964186</t>
  </si>
  <si>
    <t>1401/09/07 14:06</t>
  </si>
  <si>
    <t>https://www.codal.ir/Reports/Decision.aspx?LetterSerial=am3GE0L5gXXB4Kem4b444w%3d%3d&amp;rt=0&amp;let=19&amp;ct=0&amp;ft=-1</t>
  </si>
  <si>
    <t>70de772e1aeaafd19e9e87578312515e582c16ec28077563e714678f8e12921c</t>
  </si>
  <si>
    <t>sources/codal/شتران/v38_type19/T964186.html</t>
  </si>
  <si>
    <t>T19_965643</t>
  </si>
  <si>
    <t>1401/09/09 09:41</t>
  </si>
  <si>
    <t>https://www.codal.ir/Reports/Decision.aspx?LetterSerial=8Jslpd8EzacdY0lILys9iw%3d%3d&amp;rt=0&amp;let=19&amp;ct=0&amp;ft=-1</t>
  </si>
  <si>
    <t>6dec2ff49491ab481dbc182af57f1bd75869cc145a6473111f945003185e98be</t>
  </si>
  <si>
    <t>sources/codal/شتران/v38_type19/T965643.html</t>
  </si>
  <si>
    <t>T19_989571</t>
  </si>
  <si>
    <t>1401/11/10 15:51</t>
  </si>
  <si>
    <t>https://www.codal.ir/Reports/Decision.aspx?LetterSerial=SB8nt0Y2X8Z18PkvNbLLjA%3d%3d&amp;rt=0&amp;let=19&amp;ct=0&amp;ft=-1</t>
  </si>
  <si>
    <t>eb3598260fea9dc3d304cdae885d2fe8b2f76f799815b337526298993f426d93</t>
  </si>
  <si>
    <t>sources/codal/شتران/v38_type19/T989571.html</t>
  </si>
  <si>
    <t>T19_1076413</t>
  </si>
  <si>
    <t>1402/07/05 12:49</t>
  </si>
  <si>
    <t>https://www.codal.ir/Reports/Decision.aspx?LetterSerial=wOsfmyfpORMKR7iVXcRwGA%3d%3d&amp;rt=0&amp;let=19&amp;ct=0&amp;ft=-1</t>
  </si>
  <si>
    <t>de062b98627c002105a1066e30ead9bbc3a0c1685d6f46b975edf21d0b8ef4dc</t>
  </si>
  <si>
    <t>sources/codal/شتران/v38_type19/T1076413.html</t>
  </si>
  <si>
    <t>T19_1093177</t>
  </si>
  <si>
    <t>1402/08/02 09:01</t>
  </si>
  <si>
    <t>https://www.codal.ir/Reports/Decision.aspx?LetterSerial=%2bsCIzbQUSybiwad5hKIneg%3d%3d&amp;rt=0&amp;let=19&amp;ct=0&amp;ft=-1</t>
  </si>
  <si>
    <t>79ed10a89b15cbd0a3935c0c9293627aba7ec728bea3ba987276ef4e2a4d0bff</t>
  </si>
  <si>
    <t>sources/codal/شتران/v38_type19/T1093177.html</t>
  </si>
  <si>
    <t>T19_1174210</t>
  </si>
  <si>
    <t>1403/01/15 15:29</t>
  </si>
  <si>
    <t>https://www.codal.ir/Reports/Decision.aspx?LetterSerial=uE5teeX9Uh6fx6ZVXdrxgw%3d%3d&amp;rt=0&amp;let=19&amp;ct=0&amp;ft=-1</t>
  </si>
  <si>
    <t>d1189fa8744c75f032c470924a59242b9df342cf34718df0eb543775ef66e34e</t>
  </si>
  <si>
    <t>sources/codal/شتران/v38_type19/T1174210.html</t>
  </si>
  <si>
    <t>T19_1182238</t>
  </si>
  <si>
    <t>1403/02/05 11:58</t>
  </si>
  <si>
    <t>https://www.codal.ir/Reports/Decision.aspx?LetterSerial=VdljbyE8wSTIFKjGdpn6sA%3d%3d&amp;rt=0&amp;let=19&amp;ct=0&amp;ft=-1</t>
  </si>
  <si>
    <t>0607e30b9e59ae9c9ea2bd9e89073b7f3e0ba53636f977214353786caa53a398</t>
  </si>
  <si>
    <t>sources/codal/شتران/v38_type19/T1182238.html</t>
  </si>
  <si>
    <t>T19_1182357</t>
  </si>
  <si>
    <t>1403/02/05 12:09</t>
  </si>
  <si>
    <t>https://www.codal.ir/Reports/Decision.aspx?LetterSerial=i%2bfRI0WNsgXi7x5heB98Ng%3d%3d&amp;rt=0&amp;let=19&amp;ct=0&amp;ft=-1</t>
  </si>
  <si>
    <t>a9b77ec45d8ea83b937db79b0708350c1bf023c9f88a196a2477db0dc8f13f0c</t>
  </si>
  <si>
    <t>sources/codal/شتران/v38_type19/T1182357.html</t>
  </si>
  <si>
    <t>T19_1266793</t>
  </si>
  <si>
    <t>1403/08/16 14:47</t>
  </si>
  <si>
    <t>https://www.codal.ir/Reports/Decision.aspx?LetterSerial=1QZQQQaQQQTl3J5mASvYNPnzWOOObOOOyw%3d%3d&amp;rt=0&amp;let=19&amp;ct=0&amp;ft=-1</t>
  </si>
  <si>
    <t>7490b0517fa78ec6175be7b67fecc446634ec31a624f9b794cd8aca2bd6ec950</t>
  </si>
  <si>
    <t>sources/codal/شتران/v38_type19/T1266793.html</t>
  </si>
  <si>
    <t>T19_1279421</t>
  </si>
  <si>
    <t>1403/09/13 15:51</t>
  </si>
  <si>
    <t>https://www.codal.ir/Reports/Decision.aspx?LetterSerial=lT7D4szFkbh6tpxxrcsv9w%3d%3d&amp;rt=0&amp;let=19&amp;ct=0&amp;ft=-1</t>
  </si>
  <si>
    <t>1820e661a4ab6c351abcc336b6690a271c93cd879532c4b18bd419d56487decb</t>
  </si>
  <si>
    <t>sources/codal/شتران/v38_type19/T1279421.html</t>
  </si>
  <si>
    <t>T19_1297220</t>
  </si>
  <si>
    <t>1403/10/29 15:32</t>
  </si>
  <si>
    <t>https://www.codal.ir/Reports/Decision.aspx?LetterSerial=DS73TzUY71Qm0V81oHX6cQ%3d%3d&amp;rt=0&amp;let=19&amp;ct=0&amp;ft=-1</t>
  </si>
  <si>
    <t>510cf648cba6d5113e2ba4e1b52adbe3a139c80c20e4eff561ede7d41885f794</t>
  </si>
  <si>
    <t>sources/codal/شتران/v38_type19/T1297220.html</t>
  </si>
  <si>
    <t>T19_1315123</t>
  </si>
  <si>
    <t>1403/12/11 14:01</t>
  </si>
  <si>
    <t>https://www.codal.ir/Reports/Decision.aspx?LetterSerial=jC7jGrNav7huwEmBxRimPA%3d%3d&amp;rt=0&amp;let=19&amp;ct=0&amp;ft=-1</t>
  </si>
  <si>
    <t>4f98b50f4cf319f4254ab62f07bf88b751c4dfebfe386f657606ef5513d263bd</t>
  </si>
  <si>
    <t>sources/codal/شتران/v38_type19/T1315123.html</t>
  </si>
  <si>
    <t>T19_1389158</t>
  </si>
  <si>
    <t>1404/05/13 13:20</t>
  </si>
  <si>
    <t>https://www.codal.ir/Reports/Decision.aspx?LetterSerial=hqwCTQ8YBB95e6p3fQQQaQQQ9Qeg%3d%3d&amp;rt=0&amp;let=19&amp;ct=0&amp;ft=-1</t>
  </si>
  <si>
    <t>619fdcf95cd4ca2821ea501a140f898c706742606bd2970c12f3e5bfaf2f85fd</t>
  </si>
  <si>
    <t>sources/codal/شتران/v38_type19/T1389158.html</t>
  </si>
  <si>
    <t>T19_1389607</t>
  </si>
  <si>
    <t>1404/05/14 10:47</t>
  </si>
  <si>
    <t>https://www.codal.ir/Reports/Decision.aspx?LetterSerial=95jBT1EMbIEUrTtNCucBtw%3d%3d&amp;rt=0&amp;let=19&amp;ct=0&amp;ft=-1</t>
  </si>
  <si>
    <t>75ade8dc82e5ba17c4e4967d26140f6fd04ec71448896e4f6998abef377bc96d</t>
  </si>
  <si>
    <t>sources/codal/شتران/v38_type19/T1389607.html</t>
  </si>
  <si>
    <t>T19_967447</t>
  </si>
  <si>
    <t>1401/09/14 19:15</t>
  </si>
  <si>
    <t>https://www.codal.ir/Reports/Decision.aspx?LetterSerial=1NlfFthCJ0vjQQQaQQQ%2btA6jLoTA%3d%3d&amp;rt=3&amp;let=19&amp;ct=0&amp;ft=-1</t>
  </si>
  <si>
    <t>af60c5ca82560652a338cf466de13e2293a877f1e7164be1e0eb00ba7ff5b384</t>
  </si>
  <si>
    <t>sources/codal/وتجارت/v38_type19/T967447.html</t>
  </si>
  <si>
    <t>T19_977045</t>
  </si>
  <si>
    <t>1401/10/18 10:10</t>
  </si>
  <si>
    <t>https://www.codal.ir/Reports/Decision.aspx?LetterSerial=4QXgqT9tKr2TRWygOI0wGQ%3d%3d&amp;rt=3&amp;let=19&amp;ct=0&amp;ft=-1</t>
  </si>
  <si>
    <t>64554e90f01817c10e0b1ccaf8de047dc5a25e22d11d374882df811eb26c24ea</t>
  </si>
  <si>
    <t>sources/codal/وتجارت/v38_type19/T977045.html</t>
  </si>
  <si>
    <t>T19_1007228</t>
  </si>
  <si>
    <t>1402/01/14 16:42</t>
  </si>
  <si>
    <t>https://www.codal.ir/Reports/Decision.aspx?LetterSerial=MP4ADx5tYpVWWJp0dEW7Rw%3d%3d&amp;rt=3&amp;let=19&amp;ct=0&amp;ft=-1</t>
  </si>
  <si>
    <t>6d46f4a79124287b04f67975064890c637bf0244c996618395bc6b747ca42093</t>
  </si>
  <si>
    <t>sources/codal/وتجارت/v38_type19/T1007228.html</t>
  </si>
  <si>
    <t>T19_1116308</t>
  </si>
  <si>
    <t>1402/09/18 12:10</t>
  </si>
  <si>
    <t>https://www.codal.ir/Reports/Decision.aspx?LetterSerial=jtWqUD12H827vQQQaQQQ9JLJXMpw%3d%3d&amp;rt=3&amp;let=19&amp;ct=0&amp;ft=-1</t>
  </si>
  <si>
    <t>566b639a5104c108b26b94eced320383eb4e04d405ce35cfd5e3b4c9d5800ccc</t>
  </si>
  <si>
    <t>sources/codal/وتجارت/v38_type19/T1116308.html</t>
  </si>
  <si>
    <t>T19_1159936</t>
  </si>
  <si>
    <t>1402/12/08 17:02</t>
  </si>
  <si>
    <t>fcbe30ecc4fe1e4d92fba6b0a7fa8e6066a2f15ad957b1e08b8672263ec2ae83</t>
  </si>
  <si>
    <t>sources/codal/وتجارت/v38_type19/T1159936.html</t>
  </si>
  <si>
    <t>T19_1443078</t>
  </si>
  <si>
    <t>1404/09/04 17:32</t>
  </si>
  <si>
    <t>https://www.codal.ir/Reports/Decision.aspx?LetterSerial=s68uu8w1pIytJrgW6WphNA%3d%3d&amp;rt=3&amp;let=19&amp;ct=0&amp;ft=-1</t>
  </si>
  <si>
    <t>6e80b256efe2fc025312b3e56b300d5a538a1661efe8ccb17a9d0085784dfc35</t>
  </si>
  <si>
    <t>sources/codal/وتجارت/v38_type19/T1443078.html</t>
  </si>
  <si>
    <t>T19_1444154</t>
  </si>
  <si>
    <t>1404/09/15 16:55</t>
  </si>
  <si>
    <t>f5ccc1d41f6592f7355b6e9feb12addb9b3c838cecc248ced54fd0c4d2cf7848</t>
  </si>
  <si>
    <t>sources/codal/وتجارت/v38_type19/T1444154.html</t>
  </si>
  <si>
    <t>T19_914148</t>
  </si>
  <si>
    <t>1401/05/24 10:12</t>
  </si>
  <si>
    <t>https://www.codal.ir/Reports/Decision.aspx?LetterSerial=TpJtwc%2b3re70G93oEb5zxw%3d%3d&amp;rt=5&amp;let=19&amp;ct=0&amp;ft=-1</t>
  </si>
  <si>
    <t>d695ffb92d9f20a191416278e952f23a8eb9575d7a690d1788c828daaedf752c</t>
  </si>
  <si>
    <t>sources/codal/رمپنا/v38_type19/T914148.html</t>
  </si>
  <si>
    <t>T19_924696</t>
  </si>
  <si>
    <t>معرفی یا تغییر در ترکیب اعضای هیئت مدیره(اصلاحیه)</t>
  </si>
  <si>
    <t>1401/05/24 11:12</t>
  </si>
  <si>
    <t>https://www.codal.ir/Reports/Decision.aspx?LetterSerial=X5D1ZYmEqUpFXodPMOcUvA%3d%3d&amp;rt=5&amp;let=19&amp;ct=0&amp;ft=-1</t>
  </si>
  <si>
    <t>2a4c631a6482d821dca6e0422d6cb8d7b66d8a87857542a5ea573b68a8520ef8</t>
  </si>
  <si>
    <t>sources/codal/رمپنا/v38_type19/T924696.html</t>
  </si>
  <si>
    <t>T19_1047157</t>
  </si>
  <si>
    <t>1402/04/10 17:33</t>
  </si>
  <si>
    <t>https://www.codal.ir/Reports/Decision.aspx?LetterSerial=zoViwH6TsAHB63Q2bx3RGA%3d%3d&amp;rt=5&amp;let=19&amp;ct=0&amp;ft=-1</t>
  </si>
  <si>
    <t>397ccd146b75aa0115c7b0f7bfadeafbe52f228d5dcd1f630f440f417dfc9c4c</t>
  </si>
  <si>
    <t>sources/codal/رمپنا/v38_type19/T1047157.html</t>
  </si>
  <si>
    <t>T19_1049062</t>
  </si>
  <si>
    <t>1402/04/10 18:25</t>
  </si>
  <si>
    <t>https://www.codal.ir/Reports/Decision.aspx?LetterSerial=Sux9hEDQaBjsY8PQ79371Q%3d%3d&amp;rt=5&amp;let=19&amp;ct=0&amp;ft=-1</t>
  </si>
  <si>
    <t>36b4cd5dd51fea2946e379c36a7eaedc43aec26ac8a88b4d6d6f9803704d08ef</t>
  </si>
  <si>
    <t>sources/codal/رمپنا/v38_type19/T1049062.html</t>
  </si>
  <si>
    <t>T19_1053521</t>
  </si>
  <si>
    <t>1402/04/19 14:35</t>
  </si>
  <si>
    <t>https://www.codal.ir/Reports/Decision.aspx?LetterSerial=WptRiNPSZv90%2bjLV1B3y%2bQ%3d%3d&amp;rt=5&amp;let=19&amp;ct=0&amp;ft=-1</t>
  </si>
  <si>
    <t>da1dedf7e1cc18debb2c4f70ca9944db684d5a0f4e723cd309ccddaeba89d6f4</t>
  </si>
  <si>
    <t>sources/codal/رمپنا/v38_type19/T1053521.html</t>
  </si>
  <si>
    <t>T19_1115958</t>
  </si>
  <si>
    <t>1402/09/11 13:49</t>
  </si>
  <si>
    <t>https://www.codal.ir/Reports/Decision.aspx?LetterSerial=WnJnCUE90uBIEkLRG89S%2bw%3d%3d&amp;rt=5&amp;let=19&amp;ct=0&amp;ft=-1</t>
  </si>
  <si>
    <t>75c2371a4b3840c3e65b8bd2092b22999bbfd0fc0a98e4a5a5486edb61b1f05c</t>
  </si>
  <si>
    <t>sources/codal/رمپنا/v38_type19/T1115958.html</t>
  </si>
  <si>
    <t>T19_1136577</t>
  </si>
  <si>
    <t>1402/10/13 12:58</t>
  </si>
  <si>
    <t>https://www.codal.ir/Reports/Decision.aspx?LetterSerial=zUnjDFnUo2ylotadvkGMJQ%3d%3d&amp;rt=5&amp;let=19&amp;ct=0&amp;ft=-1</t>
  </si>
  <si>
    <t>56986c232a0ed96a1c2ace2a5cc84fda1c7ea897ffd576868310d6f1a114c965</t>
  </si>
  <si>
    <t>sources/codal/رمپنا/v38_type19/T1136577.html</t>
  </si>
  <si>
    <t>T19_1203308</t>
  </si>
  <si>
    <t>1403/03/26 09:51</t>
  </si>
  <si>
    <t>https://www.codal.ir/Reports/Decision.aspx?LetterSerial=X0dV8ek43tXQYjTGrc7DYw%3d%3d&amp;rt=5&amp;let=19&amp;ct=0&amp;ft=-1</t>
  </si>
  <si>
    <t>a3df2d752a5c60340367930cdfe9f9a593871f4ef388f7e0a99c31d9e3c9107e</t>
  </si>
  <si>
    <t>sources/codal/رمپنا/v38_type19/T1203308.html</t>
  </si>
  <si>
    <t>T19_1343229</t>
  </si>
  <si>
    <t>1404/02/23 11:13</t>
  </si>
  <si>
    <t>https://www.codal.ir/Reports/Decision.aspx?LetterSerial=1RbelsHZHs8H6r0ujf8E7Q%3d%3d&amp;rt=5&amp;let=19&amp;ct=0&amp;ft=-1</t>
  </si>
  <si>
    <t>df63af0dce558de7a878206061a6984b448aabd939212f52a06c55e9699072e8</t>
  </si>
  <si>
    <t>sources/codal/رمپنا/v38_type19/T1343229.html</t>
  </si>
  <si>
    <t>T19_1352980</t>
  </si>
  <si>
    <t>1404/03/08 10:49</t>
  </si>
  <si>
    <t>56c6d370b5fb1ad41809720a130aaaaed0b1668c119d30e32b52d15bf1510b55</t>
  </si>
  <si>
    <t>sources/codal/رمپنا/v38_type19/T1352980.html</t>
  </si>
  <si>
    <t>T19_1362888</t>
  </si>
  <si>
    <t>1404/04/08 12:22</t>
  </si>
  <si>
    <t>https://www.codal.ir/Reports/Decision.aspx?LetterSerial=pYw8S6fEaaJbXZ6McQQQaQQQXohA%3d%3d&amp;rt=5&amp;let=19&amp;ct=0&amp;ft=-1</t>
  </si>
  <si>
    <t>72332f9d49d745698f32bf5c699a255a24e6819024ce0de4ed58080ad4c44244</t>
  </si>
  <si>
    <t>sources/codal/رمپنا/v38_type19/T1362888.html</t>
  </si>
  <si>
    <t>T19_1378204</t>
  </si>
  <si>
    <t>1404/04/31 17:12</t>
  </si>
  <si>
    <t>https://www.codal.ir/Reports/Decision.aspx?LetterSerial=Ry0OOObOOOOOObOOOFhudOOObOOOF3NI6qgyBV5A%3d%3d&amp;rt=5&amp;let=19&amp;ct=0&amp;ft=-1</t>
  </si>
  <si>
    <t>f2dcddc7fcbbe59d007671e6c4fef94b427d7962cf84e40dd0c403fa96543422</t>
  </si>
  <si>
    <t>sources/codal/رمپنا/v38_type19/T1378204.html</t>
  </si>
  <si>
    <t>T19_1482306</t>
  </si>
  <si>
    <t>1404/11/12 14:31</t>
  </si>
  <si>
    <t>1d907a8f54a4930736e237487120ff4316ce5ba2a91b00dc06501c312b0a5ea8</t>
  </si>
  <si>
    <t>sources/codal/رمپنا/v38_type19/T1482306.html</t>
  </si>
  <si>
    <t>T19_1523599</t>
  </si>
  <si>
    <t>1405/02/20 13:05</t>
  </si>
  <si>
    <t>https://www.codal.ir/Reports/Decision.aspx?LetterSerial=6HnsE5edJIF7UOOObOOOIcOAPpQA%3d%3d&amp;rt=5&amp;let=19&amp;ct=0&amp;ft=-1</t>
  </si>
  <si>
    <t>a2b9e6218a93141bbe5e9e8c903eaa527a28de4934fdf53236a707c8d570bf75</t>
  </si>
  <si>
    <t>sources/codal/رمپنا/v38_type19/T1523599.html</t>
  </si>
  <si>
    <t>T19_1581623</t>
  </si>
  <si>
    <t>1405/05/14 18:47</t>
  </si>
  <si>
    <t>https://www.codal.ir/Reports/Decision.aspx?LetterSerial=64GxK04zB3QQQaQQQ9UQ9949MAOOObOOOQ%3d%3d&amp;rt=5&amp;let=19&amp;ct=0&amp;ft=-1</t>
  </si>
  <si>
    <t>aef253e52fc582d5b09803dae2bc81193752b24629c9ff18d8b4d2ae5a78d967</t>
  </si>
  <si>
    <t>sources/codal/رمپنا/v38_type19/T1581623.html</t>
  </si>
  <si>
    <t>T19_1582056</t>
  </si>
  <si>
    <t>1405/05/26 15:09</t>
  </si>
  <si>
    <t>https://www.codal.ir/Reports/Decision.aspx?LetterSerial=IYwLTuhLcKN10ZPUwnld8g%3d%3d&amp;rt=5&amp;let=19&amp;ct=0&amp;ft=-1</t>
  </si>
  <si>
    <t>5bdebe5625e7fa6ea890411c65a501d4ea82cf9dd7615c789df9c885a0da8772</t>
  </si>
  <si>
    <t>sources/codal/رمپنا/v38_type19/T1582056.html</t>
  </si>
  <si>
    <t>T19_1065843</t>
  </si>
  <si>
    <t>1402/05/11 10:02</t>
  </si>
  <si>
    <t>https://www.codal.ir/Reports/Decision.aspx?LetterSerial=KbpEbfJg57JqDsuQQQaQQQS5O7TQ%3d%3d&amp;rt=0&amp;let=19&amp;ct=0&amp;ft=-1</t>
  </si>
  <si>
    <t>f634dee2d3fe8f88d6195806c353b300ad8c05b075ef2049d43c2ece16c88805</t>
  </si>
  <si>
    <t>sources/codal/فخوز/v38_type19/T1065843.html</t>
  </si>
  <si>
    <t>T19_1071071</t>
  </si>
  <si>
    <t>1402/05/25 11:27</t>
  </si>
  <si>
    <t>https://www.codal.ir/Reports/Decision.aspx?LetterSerial=igMo41rAkcuqhWA62nHygw%3d%3d&amp;rt=0&amp;let=19&amp;ct=0&amp;ft=-1</t>
  </si>
  <si>
    <t>a6bb123e4cca61c90f393546b2d4e54235a5e6c386e534ae1a006269eb965092</t>
  </si>
  <si>
    <t>sources/codal/فخوز/v38_type19/T1071071.html</t>
  </si>
  <si>
    <t>T19_1074438</t>
  </si>
  <si>
    <t>1402/06/04 12:28</t>
  </si>
  <si>
    <t>https://www.codal.ir/Reports/Decision.aspx?LetterSerial=g5pfKBv9oPgSx4DG6VVSLw%3d%3d&amp;rt=0&amp;let=19&amp;ct=0&amp;ft=-1</t>
  </si>
  <si>
    <t>876d8950b86f85ea01ed39e3462ba95beaefe24b3634939ca85b9e72f72aefde</t>
  </si>
  <si>
    <t>sources/codal/فخوز/v38_type19/T1074438.html</t>
  </si>
  <si>
    <t>T19_1296243</t>
  </si>
  <si>
    <t>1403/10/26 13:07</t>
  </si>
  <si>
    <t>https://www.codal.ir/Reports/Decision.aspx?LetterSerial=kA5r9cueARD3bemH5ciAgg%3d%3d&amp;rt=0&amp;let=19&amp;ct=0&amp;ft=-1</t>
  </si>
  <si>
    <t>598ef89f71926fe8f25ba24c8152b08b46daf96ba4c883034550ca1d3030b863</t>
  </si>
  <si>
    <t>sources/codal/فخوز/v38_type19/T1296243.html</t>
  </si>
  <si>
    <t>T19_1390696</t>
  </si>
  <si>
    <t>1404/05/18 16:15</t>
  </si>
  <si>
    <t>https://www.codal.ir/Reports/Decision.aspx?LetterSerial=oFsXuGyVxYcQS6hFuPP0WQ%3d%3d&amp;rt=0&amp;let=19&amp;ct=0&amp;ft=-1</t>
  </si>
  <si>
    <t>a15993e01f8668f1ca2cf6b54194a9ee07068dc2ce28a97f20aea524c6b4ff14</t>
  </si>
  <si>
    <t>sources/codal/فخوز/v38_type19/T1390696.html</t>
  </si>
  <si>
    <t>T19_1391437</t>
  </si>
  <si>
    <t>1404/05/20 09:14</t>
  </si>
  <si>
    <t>https://www.codal.ir/Reports/Decision.aspx?LetterSerial=BBO0LDG3msGEvsDsz654rg%3d%3d&amp;rt=0&amp;let=19&amp;ct=0&amp;ft=-1</t>
  </si>
  <si>
    <t>af6818f20d02189590af14b7332ed604af9fb98fcacc0eb93581dcfebcf960b3</t>
  </si>
  <si>
    <t>sources/codal/فخوز/v38_type19/T1391437.html</t>
  </si>
  <si>
    <t>T19_1393004</t>
  </si>
  <si>
    <t>1404/05/27 14:38</t>
  </si>
  <si>
    <t>https://www.codal.ir/Reports/Decision.aspx?LetterSerial=6zgqhifr57D5V2qAMfuvng%3d%3d&amp;rt=0&amp;let=19&amp;ct=0&amp;ft=-1</t>
  </si>
  <si>
    <t>9c9899918be4ebe37d2cb3a4f17531d374e925828c8e5b4c957e9cb73e92e88b</t>
  </si>
  <si>
    <t>sources/codal/فخوز/v38_type19/T1393004.html</t>
  </si>
  <si>
    <t>T19_1509579</t>
  </si>
  <si>
    <t>1405/01/31 11:05</t>
  </si>
  <si>
    <t>https://www.codal.ir/Reports/Decision.aspx?LetterSerial=9sqjqF47rZ8onw8KkhtYWw%3d%3d&amp;rt=0&amp;let=19&amp;ct=0&amp;ft=-1</t>
  </si>
  <si>
    <t>692cb5db3a063cf9a04584cea4b18ce9bc97aa9c2a00f776cf984ec232ec71fe</t>
  </si>
  <si>
    <t>sources/codal/فخوز/v38_type19/T1509579.html</t>
  </si>
  <si>
    <t>T19_864736</t>
  </si>
  <si>
    <t>1401/01/06 12:28</t>
  </si>
  <si>
    <t>https://www.codal.ir/Reports/Decision.aspx?LetterSerial=QQQaQQQRWkSm%2BlR8nnOou6dGZEcw%3D%3D&amp;rt=2&amp;let=19&amp;ct=0&amp;ft=-1</t>
  </si>
  <si>
    <t>fa78ccb0ff95c4af0ca424f7a8fdf9ccdd7dbf9376583992786b3335f4596775</t>
  </si>
  <si>
    <t>sources/codal/شستا/v38_type19/T864736.html</t>
  </si>
  <si>
    <t>T19_872897</t>
  </si>
  <si>
    <t>1401/01/31 12:58</t>
  </si>
  <si>
    <t>https://www.codal.ir/Reports/Decision.aspx?LetterSerial=d7EMFvzJCtltHfvseEwT5g%3D%3D&amp;rt=2&amp;let=19&amp;ct=0&amp;ft=-1</t>
  </si>
  <si>
    <t>44420c0a3583b2dd27fd8fdeae0717c7d8f67d04064b13546ecd5fe97ba1b424</t>
  </si>
  <si>
    <t>sources/codal/شستا/v38_type19/T872897.html</t>
  </si>
  <si>
    <t>T19_936330</t>
  </si>
  <si>
    <t>1401/06/16 11:31</t>
  </si>
  <si>
    <t>https://www.codal.ir/Reports/Decision.aspx?LetterSerial=iKjRzQQQaQQQCuKEIOWi0352p8mg%3d%3d&amp;rt=2&amp;let=19&amp;ct=0&amp;ft=-1</t>
  </si>
  <si>
    <t>81517a3bbdfc24f4572c7a6c53a0a57197a4aac7651bf2c0a21d4624c006d85c</t>
  </si>
  <si>
    <t>sources/codal/شستا/v38_type19/T936330.html</t>
  </si>
  <si>
    <t>T19_1004599</t>
  </si>
  <si>
    <t>1401/12/27 08:50</t>
  </si>
  <si>
    <t>https://www.codal.ir/Reports/Decision.aspx?LetterSerial=GRHOOZn0kkUGzyoAJhBz5A%3d%3d&amp;rt=2&amp;let=19&amp;ct=0&amp;ft=-1</t>
  </si>
  <si>
    <t>5772373f8b2164b109a587c67d9dfb806f855530b0320bafcd76bfd7ef6dbca0</t>
  </si>
  <si>
    <t>sources/codal/شستا/v38_type19/T1004599.html</t>
  </si>
  <si>
    <t>T19_1035576</t>
  </si>
  <si>
    <t>1402/03/13 21:56</t>
  </si>
  <si>
    <t>https://www.codal.ir/Reports/Decision.aspx?LetterSerial=OOYdTHb6MeJZpS%2bUxjRTPg%3d%3d&amp;rt=2&amp;let=19&amp;ct=0&amp;ft=-1</t>
  </si>
  <si>
    <t>e43f038e20ae80af78bdca86a05b3fde1c1b206f1b2f0ef9c7a1bf0146b4c9f7</t>
  </si>
  <si>
    <t>sources/codal/شستا/v38_type19/T1035576.html</t>
  </si>
  <si>
    <t>T19_1069049</t>
  </si>
  <si>
    <t>1402/05/21 14:45</t>
  </si>
  <si>
    <t>https://www.codal.ir/Reports/Decision.aspx?LetterSerial=e51HMww2joA6W%2bu%2bH6vzkg%3d%3d&amp;rt=2&amp;let=19&amp;ct=0&amp;ft=-1</t>
  </si>
  <si>
    <t>cf973d12e9dc7e5d6ce37341a37644454738bbb6335c4aa73c6726c5b8202ec5</t>
  </si>
  <si>
    <t>sources/codal/شستا/v38_type19/T1069049.html</t>
  </si>
  <si>
    <t>T19_1077102</t>
  </si>
  <si>
    <t>1402/06/07 18:56</t>
  </si>
  <si>
    <t>https://www.codal.ir/Reports/Decision.aspx?LetterSerial=PxsIXopmdUHkc2FnQr%2bJBA%3d%3d&amp;rt=2&amp;let=19&amp;ct=0&amp;ft=-1</t>
  </si>
  <si>
    <t>bb039c47653a53eb260c39a79e573b38bc8b15ab279064ad5037a05c4c5981e7</t>
  </si>
  <si>
    <t>sources/codal/شستا/v38_type19/T1077102.html</t>
  </si>
  <si>
    <t>T19_1085402</t>
  </si>
  <si>
    <t>1402/07/02 14:02</t>
  </si>
  <si>
    <t>https://www.codal.ir/Reports/Decision.aspx?LetterSerial=tevMWiXLRH7I9lD7GX57mg%3d%3d&amp;rt=2&amp;let=19&amp;ct=0&amp;ft=-1</t>
  </si>
  <si>
    <t>cf4e3dc1251a3d114d718fe666689bf64d0c29d3354d29275794621f9b0ad3b7</t>
  </si>
  <si>
    <t>sources/codal/شستا/v38_type19/T1085402.html</t>
  </si>
  <si>
    <t>T19_1086722</t>
  </si>
  <si>
    <t>1402/07/05 10:28</t>
  </si>
  <si>
    <t>https://www.codal.ir/Reports/Decision.aspx?LetterSerial=3AS1czE9bXk7QQQaQQQ0MdKe9FMw%3d%3d&amp;rt=2&amp;let=19&amp;ct=0&amp;ft=-1</t>
  </si>
  <si>
    <t>cc492e6c353fd1764721b22a5103c0146e460998fc61e907ec0ba88cf058e582</t>
  </si>
  <si>
    <t>sources/codal/شستا/v38_type19/T1086722.html</t>
  </si>
  <si>
    <t>T19_1103274</t>
  </si>
  <si>
    <t>1402/08/17 14:44</t>
  </si>
  <si>
    <t>https://www.codal.ir/Reports/Decision.aspx?LetterSerial=iLTOZvV15NpmNdlisdnaSQ%3d%3d&amp;rt=2&amp;let=19&amp;ct=0&amp;ft=-1</t>
  </si>
  <si>
    <t>9cdd37ee731f9cb89a413feb52e19711b9c262b9bd219e82f88ae28560521210</t>
  </si>
  <si>
    <t>sources/codal/شستا/v38_type19/T1103274.html</t>
  </si>
  <si>
    <t>T19_1103341</t>
  </si>
  <si>
    <t>1402/08/17 15:46</t>
  </si>
  <si>
    <t>2d55784752e902c9b29951073dd0fd5471c7affab39b8ac2a82d78bb1b09a21c</t>
  </si>
  <si>
    <t>sources/codal/شستا/v38_type19/T1103341.html</t>
  </si>
  <si>
    <t>T19_1113897</t>
  </si>
  <si>
    <t>1402/09/07 13:43</t>
  </si>
  <si>
    <t>https://www.codal.ir/Reports/Decision.aspx?LetterSerial=6RcsBZ8Xo1iBkPaqIScb6A%3d%3d&amp;rt=2&amp;let=19&amp;ct=0&amp;ft=-1</t>
  </si>
  <si>
    <t>ec8daedfc542e09b0034926d2c7d1679cdd7f3d645ae246576ec9bd2f5ec15b7</t>
  </si>
  <si>
    <t>sources/codal/شستا/v38_type19/T1113897.html</t>
  </si>
  <si>
    <t>T19_1145823</t>
  </si>
  <si>
    <t>1402/11/03 13:01</t>
  </si>
  <si>
    <t>https://www.codal.ir/Reports/Decision.aspx?LetterSerial=k9B9YYaqK2m2zcUR%2bkQQQaQQQoWA%3d%3d&amp;rt=2&amp;let=19&amp;ct=0&amp;ft=-1</t>
  </si>
  <si>
    <t>d1c9af5f0cd3a634cea4753df464d44a7b0fc289f82064f708c143718f6e3ae0</t>
  </si>
  <si>
    <t>sources/codal/شستا/v38_type19/T1145823.html</t>
  </si>
  <si>
    <t>T19_1268159</t>
  </si>
  <si>
    <t>1403/08/21 14:43</t>
  </si>
  <si>
    <t>https://www.codal.ir/Reports/Decision.aspx?LetterSerial=pdtOEOqEQWkgVVDxCaaubg%3d%3d&amp;rt=2&amp;let=19&amp;ct=0&amp;ft=-1</t>
  </si>
  <si>
    <t>200061661cd0dd6de3753ef077cecdbc5ef959da19a27a197137ba406d5e669f</t>
  </si>
  <si>
    <t>sources/codal/شستا/v38_type19/T1268159.html</t>
  </si>
  <si>
    <t>T19_1276377</t>
  </si>
  <si>
    <t>1403/09/07 16:58</t>
  </si>
  <si>
    <t>https://www.codal.ir/Reports/Decision.aspx?LetterSerial=njkZPADKKhrXt4Cjw82qDQ%3d%3d&amp;rt=2&amp;let=19&amp;ct=0&amp;ft=-1</t>
  </si>
  <si>
    <t>75e933b0f9c2929af5062591e6bbb536ffcfc13a26bcc87480c5808e40a9facb</t>
  </si>
  <si>
    <t>sources/codal/شستا/v38_type19/T1276377.html</t>
  </si>
  <si>
    <t>T19_1284069</t>
  </si>
  <si>
    <t>1403/09/25 19:38</t>
  </si>
  <si>
    <t>https://www.codal.ir/Reports/Decision.aspx?LetterSerial=YpUihd29tgLru9DmuQQQaQQQ8F8w%3d%3d&amp;rt=2&amp;let=19&amp;ct=0&amp;ft=-1</t>
  </si>
  <si>
    <t>808f3ba7f4a2cea7d58c85fc2391d57c35b0209c82a4a1368b6a0ea3508b3b8a</t>
  </si>
  <si>
    <t>sources/codal/شستا/v38_type19/T1284069.html</t>
  </si>
  <si>
    <t>T19_1309408</t>
  </si>
  <si>
    <t>1403/11/29 16:12</t>
  </si>
  <si>
    <t>https://www.codal.ir/Reports/Decision.aspx?LetterSerial=Ps39vPeSeN5C9vgbYrpvuQ%3d%3d&amp;rt=2&amp;let=19&amp;ct=0&amp;ft=-1</t>
  </si>
  <si>
    <t>f28c6de869c64f6fe55b832b62d97ef999609304c2fcda353874a6f9664aeac0</t>
  </si>
  <si>
    <t>sources/codal/شستا/v38_type19/T1309408.html</t>
  </si>
  <si>
    <t>T19_1320931</t>
  </si>
  <si>
    <t>1403/12/22 10:29</t>
  </si>
  <si>
    <t>21a51b103e46390fa15f0c27e1f9c0f95c5353338081ea5b04872a5f7ada0f6e</t>
  </si>
  <si>
    <t>sources/codal/شستا/v38_type19/T1320931.html</t>
  </si>
  <si>
    <t>T19_1387666</t>
  </si>
  <si>
    <t>1404/05/11 15:19</t>
  </si>
  <si>
    <t>https://www.codal.ir/Reports/Decision.aspx?LetterSerial=fFLCr8sNfgTBUbMn9Bs8Ow%3d%3d&amp;rt=2&amp;let=19&amp;ct=0&amp;ft=-1</t>
  </si>
  <si>
    <t>7d115d4c16c61fffaede7aea4bcbc623edde5709f92d23ce2a46b13ddc797467</t>
  </si>
  <si>
    <t>sources/codal/شستا/v38_type19/T1387666.html</t>
  </si>
  <si>
    <t>T19_1388381</t>
  </si>
  <si>
    <t>1404/05/12 08:52</t>
  </si>
  <si>
    <t>https://www.codal.ir/Reports/Decision.aspx?LetterSerial=8DTV91fGFoRYE7N4nAWY1Q%3d%3d&amp;rt=2&amp;let=19&amp;ct=0&amp;ft=-1</t>
  </si>
  <si>
    <t>669d70ef2f472577273cc80757b71776e21fdd25443c2c1cbae3960ebb00deda</t>
  </si>
  <si>
    <t>sources/codal/شستا/v38_type19/T1388381.html</t>
  </si>
  <si>
    <t>T19_1389745</t>
  </si>
  <si>
    <t>1404/05/14 14:36</t>
  </si>
  <si>
    <t>https://www.codal.ir/Reports/Decision.aspx?LetterSerial=8jEiPOBTMja0glOOObOOOYHIGAYg%3d%3d&amp;rt=2&amp;let=19&amp;ct=0&amp;ft=-1</t>
  </si>
  <si>
    <t>a0f30fd0ccec46fe9f749313c8b8bbe24649156623152a3cd4bfc201e7275fde</t>
  </si>
  <si>
    <t>sources/codal/شستا/v38_type19/T1389745.html</t>
  </si>
  <si>
    <t>T19_1403080</t>
  </si>
  <si>
    <t>1404/06/15 17:53</t>
  </si>
  <si>
    <t>https://www.codal.ir/Reports/Decision.aspx?LetterSerial=6flQzIPOOObOOOkacIHpgouNtsUg%3d%3d&amp;rt=2&amp;let=19&amp;ct=0&amp;ft=-1</t>
  </si>
  <si>
    <t>72c1a6e4ce992770e6e93860d48df275e07fe5ec3286fe5bacab1c9fbd831ea1</t>
  </si>
  <si>
    <t>sources/codal/شستا/v38_type19/T1403080.html</t>
  </si>
  <si>
    <t>T19_899109</t>
  </si>
  <si>
    <t>1401/03/31 14:23</t>
  </si>
  <si>
    <t>https://www.codal.ir/Reports/Decision.aspx?LetterSerial=u7W06D6hDFNDPtWBlUU4Cg%3d%3d&amp;rt=0&amp;let=19&amp;ct=0&amp;ft=-1</t>
  </si>
  <si>
    <t>a0886a707e67f08520a19db3e09c180978542d40c494abeb47afc32524e08e54</t>
  </si>
  <si>
    <t>sources/codal/شپنا/v38_type19/T899109.html</t>
  </si>
  <si>
    <t>T19_947535</t>
  </si>
  <si>
    <t>1401/08/16 09:23</t>
  </si>
  <si>
    <t>https://www.codal.ir/Reports/Decision.aspx?LetterSerial=npNVWKTGVqzqPQv2TJGURA%3d%3d&amp;rt=0&amp;let=19&amp;ct=0&amp;ft=-1</t>
  </si>
  <si>
    <t>f92969f3a551ff80e5f0df115183c808e484b49c5bbbff1d312f7566296aed2e</t>
  </si>
  <si>
    <t>sources/codal/شپنا/v38_type19/T947535.html</t>
  </si>
  <si>
    <t>T19_1088327</t>
  </si>
  <si>
    <t>1402/07/09 14:58</t>
  </si>
  <si>
    <t>https://www.codal.ir/Reports/Decision.aspx?LetterSerial=fAmpVcQ55s1mp59SYRPvQA%3d%3d&amp;rt=0&amp;let=19&amp;ct=0&amp;ft=-1</t>
  </si>
  <si>
    <t>1d8ae8ef85711a7738966588850defd92f4f759b64c29c0bfc6f3ac1184bc8cb</t>
  </si>
  <si>
    <t>sources/codal/شپنا/v38_type19/T1088327.html</t>
  </si>
  <si>
    <t>T19_1097523</t>
  </si>
  <si>
    <t>1402/08/03 16:01</t>
  </si>
  <si>
    <t>https://www.codal.ir/Reports/Decision.aspx?LetterSerial=TesRljndBGORCf13cLsgwA%3d%3d&amp;rt=0&amp;let=19&amp;ct=0&amp;ft=-1</t>
  </si>
  <si>
    <t>7872560b0767fefa663cfbdf90cb415785ef49eb0bdab5eebc4d61e8ffd8ce13</t>
  </si>
  <si>
    <t>sources/codal/شپنا/v38_type19/T1097523.html</t>
  </si>
  <si>
    <t>T19_1100681</t>
  </si>
  <si>
    <t>1402/08/10 18:08</t>
  </si>
  <si>
    <t>https://www.codal.ir/Reports/Decision.aspx?LetterSerial=OVk0hOz7kldyriPw1ptLhA%3d%3d&amp;rt=0&amp;let=19&amp;ct=0&amp;ft=-1</t>
  </si>
  <si>
    <t>4b26d5e44625a05c2dc1262fc2e4e1509d1a9d60c1ae4d04a7b806d2905d679c</t>
  </si>
  <si>
    <t>sources/codal/شپنا/v38_type19/T1100681.html</t>
  </si>
  <si>
    <t>T19_1100948</t>
  </si>
  <si>
    <t>1402/08/14 12:05</t>
  </si>
  <si>
    <t>https://www.codal.ir/Reports/Decision.aspx?LetterSerial=Dk4Kw%2bg4QUqGVWDH%2bQQQaQQQ2Uhg%3d%3d&amp;rt=0&amp;let=19&amp;ct=0&amp;ft=-1</t>
  </si>
  <si>
    <t>10feb7563d9bd92f120a7fdf8b67fa93454daa27bea3f8b7ec1496c00129401b</t>
  </si>
  <si>
    <t>sources/codal/شپنا/v38_type19/T1100948.html</t>
  </si>
  <si>
    <t>T19_1241448</t>
  </si>
  <si>
    <t>1403/06/08 12:46</t>
  </si>
  <si>
    <t>https://www.codal.ir/Reports/Decision.aspx?LetterSerial=03mBEX8oQQQaQQQinVfNs6j0IPpA%3d%3d&amp;rt=0&amp;let=19&amp;ct=0&amp;ft=-1</t>
  </si>
  <si>
    <t>ab52214da370c2e25f25659375ff1587bd4cf6857247dff39850a2c916fe81eb</t>
  </si>
  <si>
    <t>sources/codal/شپنا/v38_type19/T1241448.html</t>
  </si>
  <si>
    <t>T19_1247727</t>
  </si>
  <si>
    <t>1403/06/29 10:23</t>
  </si>
  <si>
    <t>https://www.codal.ir/Reports/Decision.aspx?LetterSerial=8EDuTbGOOObOOOpQcOtYJ9RbVk6A%3d%3d&amp;rt=0&amp;let=19&amp;ct=0&amp;ft=-1</t>
  </si>
  <si>
    <t>4fa7fe1a98bbe36fde24cf5aa2a5ec731f8d1a436fe72a03539c07d3c06fb112</t>
  </si>
  <si>
    <t>sources/codal/شپنا/v38_type19/T1247727.html</t>
  </si>
  <si>
    <t>T19_1282139</t>
  </si>
  <si>
    <t>1403/09/19 15:01</t>
  </si>
  <si>
    <t>https://www.codal.ir/Reports/Decision.aspx?LetterSerial=zVhXkNg42diXEOpO5MskSA%3d%3d&amp;rt=0&amp;let=19&amp;ct=0&amp;ft=-1</t>
  </si>
  <si>
    <t>41fa7c70ad7e3b5d5acf8fc7d4a505b4c580fb362750509babd060e7419070d0</t>
  </si>
  <si>
    <t>sources/codal/شپنا/v38_type19/T1282139.html</t>
  </si>
  <si>
    <t>T19_1294677</t>
  </si>
  <si>
    <t>1403/11/03 12:20</t>
  </si>
  <si>
    <t>83b695ff0d464fc76f191bce53c27d4fe0e1f15eb943cf676bc712aeb410776d</t>
  </si>
  <si>
    <t>sources/codal/شپنا/v38_type19/T1294677.html</t>
  </si>
  <si>
    <t>T19_1334378</t>
  </si>
  <si>
    <t>1404/02/03 11:59</t>
  </si>
  <si>
    <t>https://www.codal.ir/Reports/Decision.aspx?LetterSerial=SIOOObOOOYQaJ4h5Pgat3PWBKWgw%3d%3d&amp;rt=0&amp;let=19&amp;ct=0&amp;ft=-1</t>
  </si>
  <si>
    <t>838b1c6fe864c276799a0f173cc4886d43bc683b95bf200ec1da5263890e43e9</t>
  </si>
  <si>
    <t>sources/codal/شپنا/v38_type19/T1334378.html</t>
  </si>
  <si>
    <t>T19_1428503</t>
  </si>
  <si>
    <t>1404/08/07 14:24</t>
  </si>
  <si>
    <t>81e69d1736dd8bea829f4d067e28e3c2ce41dd298504057db73e456d94d8fda9</t>
  </si>
  <si>
    <t>sources/codal/شپنا/v38_type19/T1428503.html</t>
  </si>
  <si>
    <t>T19_1511575</t>
  </si>
  <si>
    <t>1405/02/02 09:47</t>
  </si>
  <si>
    <t>https://www.codal.ir/Reports/Decision.aspx?LetterSerial=1QQQaQQQgyuQQQQaQQQyM7dGQQQaQQQswkCUcpOOObOOOQ%3d%3d&amp;rt=0&amp;let=19&amp;ct=0&amp;ft=-1</t>
  </si>
  <si>
    <t>1e8dcc73bd0a13da4bec51cd169f91b90add9f2e905c923a8755f09217682cb5</t>
  </si>
  <si>
    <t>sources/codal/شپنا/v38_type19/T1511575.html</t>
  </si>
  <si>
    <t>T19_1511644</t>
  </si>
  <si>
    <t>1405/02/02 10:26</t>
  </si>
  <si>
    <t>https://www.codal.ir/Reports/Decision.aspx?LetterSerial=DsN8PiaOqqqkEQSscbxtVw%3d%3d&amp;rt=0&amp;let=19&amp;ct=0&amp;ft=-1</t>
  </si>
  <si>
    <t>cba03b6d7148ec68f2555bc3a7e2d09ad7676309cc697a29768a43dbf8db3a1b</t>
  </si>
  <si>
    <t>sources/codal/شپنا/v38_type19/T1511644.html</t>
  </si>
  <si>
    <t>T19_1512078</t>
  </si>
  <si>
    <t>1405/02/02 13:29</t>
  </si>
  <si>
    <t>https://www.codal.ir/Reports/Decision.aspx?LetterSerial=EAQQuAQQQQaQQQNVGEQJRXiF5Qhg%3d%3d&amp;rt=0&amp;let=19&amp;ct=0&amp;ft=-1</t>
  </si>
  <si>
    <t>aa983348189ed0c1598b03e51440887c1e85ecd3ea3789d49dd6ebd2d5a56813</t>
  </si>
  <si>
    <t>sources/codal/شپنا/v38_type19/T1512078.html</t>
  </si>
  <si>
    <t>T19_1525877</t>
  </si>
  <si>
    <t>1405/02/28 07:43</t>
  </si>
  <si>
    <t>https://www.codal.ir/Reports/Decision.aspx?LetterSerial=SKWQQQaQQQG0QsnPy6NsWMXYnW4Q%3d%3d&amp;rt=0&amp;let=19&amp;ct=0&amp;ft=-1</t>
  </si>
  <si>
    <t>20cdcfbac63b0233d9af00d912d4e133659383324e3e151f846f4df178e5f68e</t>
  </si>
  <si>
    <t>sources/codal/شپنا/v38_type19/T1525877.html</t>
  </si>
  <si>
    <t>T19_1581428</t>
  </si>
  <si>
    <t>1405/05/14 13:16</t>
  </si>
  <si>
    <t>https://www.codal.ir/Reports/Decision.aspx?LetterSerial=DevIqEOOObOOOgHF3OfyrpppNfnA%3d%3d&amp;rt=0&amp;let=19&amp;ct=0&amp;ft=-1</t>
  </si>
  <si>
    <t>009a9ea48461f296a49f2032207104f99d28e400f10ed0719e2aefd277f478f7</t>
  </si>
  <si>
    <t>sources/codal/شپنا/v38_type19/T1581428.html</t>
  </si>
  <si>
    <t>T19_916997</t>
  </si>
  <si>
    <t>1401/05/01 16:10</t>
  </si>
  <si>
    <t>https://www.codal.ir/Reports/Decision.aspx?LetterSerial=poHc6vXAsOBtYJ1pG5Y7BQ%3d%3d&amp;rt=2&amp;let=19&amp;ct=0&amp;ft=-1</t>
  </si>
  <si>
    <t>265e01974e1422947222f71bb2a2843a8c89cd0de33ef94348db2b82a7f4e8b0</t>
  </si>
  <si>
    <t>sources/codal/وغدیر/v38_type19/T916997.html</t>
  </si>
  <si>
    <t>T19_920860</t>
  </si>
  <si>
    <t>1401/05/09 18:39</t>
  </si>
  <si>
    <t>https://www.codal.ir/Reports/Decision.aspx?LetterSerial=SlgCiSKSnBxhZdpUlFQQQaQQQOeA%3d%3d&amp;rt=2&amp;let=19&amp;ct=0&amp;ft=-1</t>
  </si>
  <si>
    <t>e3fed579fef626de8f965f8cda6195b4c0bb006cc1ed45adb1c5224dcbe8db6e</t>
  </si>
  <si>
    <t>sources/codal/وغدیر/v38_type19/T920860.html</t>
  </si>
  <si>
    <t>T19_958704</t>
  </si>
  <si>
    <t>1401/08/25 14:15</t>
  </si>
  <si>
    <t>https://www.codal.ir/Reports/Decision.aspx?LetterSerial=3rGVQQQaQQQd2Y%2bZL2wj3MovBO9g%3d%3d&amp;rt=2&amp;let=19&amp;ct=0&amp;ft=-1</t>
  </si>
  <si>
    <t>52df7ba54cb2a8aaa3f80b192b89a835fc6f67de8c55f4a56a277c55ab934c05</t>
  </si>
  <si>
    <t>sources/codal/وغدیر/v38_type19/T958704.html</t>
  </si>
  <si>
    <t>T19_1012764</t>
  </si>
  <si>
    <t>1402/01/24 10:43</t>
  </si>
  <si>
    <t>https://www.codal.ir/Reports/Decision.aspx?LetterSerial=QAhjOPwKg4IXl9MdP5Ktdg%3d%3d&amp;rt=2&amp;let=19&amp;ct=0&amp;ft=-1</t>
  </si>
  <si>
    <t>9b907f8a04387b962de495d92deb6a890e1668f2c5eb61a6af4ece28c6262e5c</t>
  </si>
  <si>
    <t>sources/codal/وغدیر/v38_type19/T1012764.html</t>
  </si>
  <si>
    <t>T19_1040188</t>
  </si>
  <si>
    <t>1402/03/24 10:56</t>
  </si>
  <si>
    <t>https://www.codal.ir/Reports/Decision.aspx?LetterSerial=g4QvK6X8%2bIu2XsXtUetBGg%3d%3d&amp;rt=2&amp;let=19&amp;ct=0&amp;ft=-1</t>
  </si>
  <si>
    <t>3c36ccf59db30b1733422e07c0ba4a529f7e502f1d8de241459a9e12d057f19b</t>
  </si>
  <si>
    <t>sources/codal/وغدیر/v38_type19/T1040188.html</t>
  </si>
  <si>
    <t>T19_1082295</t>
  </si>
  <si>
    <t>1402/06/21 10:07</t>
  </si>
  <si>
    <t>https://www.codal.ir/Reports/Decision.aspx?LetterSerial=u6lMpedEZMyYEtFTXgmUTQ%3d%3d&amp;rt=2&amp;let=19&amp;ct=0&amp;ft=-1</t>
  </si>
  <si>
    <t>fa8685f34e8af832bd56134773a9364a1862d4e5f02cf68e0fdf03198bf30d05</t>
  </si>
  <si>
    <t>sources/codal/وغدیر/v38_type19/T1082295.html</t>
  </si>
  <si>
    <t>T19_1087868</t>
  </si>
  <si>
    <t>1402/07/08 14:49</t>
  </si>
  <si>
    <t>https://www.codal.ir/Reports/Decision.aspx?LetterSerial=m%2b2YVisod2W5uxZkw5VTnA%3d%3d&amp;rt=2&amp;let=19&amp;ct=0&amp;ft=-1</t>
  </si>
  <si>
    <t>26a5d46febea28725329dc5b894cd77de93cbc02730ca95bdae0e63507f6dcfa</t>
  </si>
  <si>
    <t>sources/codal/وغدیر/v38_type19/T1087868.html</t>
  </si>
  <si>
    <t>T19_1093115</t>
  </si>
  <si>
    <t>1402/07/24 17:55</t>
  </si>
  <si>
    <t>https://www.codal.ir/Reports/Decision.aspx?LetterSerial=x9vIovcdQQQaQQQWt4mWwGQQQaQQQGb%2bEw%3d%3d&amp;rt=2&amp;let=19&amp;ct=0&amp;ft=-1</t>
  </si>
  <si>
    <t>cce8bdbd263cc5fb8ff06a00594da6a841dbf5e8e7b95349cde9b07a8e245688</t>
  </si>
  <si>
    <t>sources/codal/وغدیر/v38_type19/T1093115.html</t>
  </si>
  <si>
    <t>T19_1135448</t>
  </si>
  <si>
    <t>1402/10/11 09:37</t>
  </si>
  <si>
    <t>https://www.codal.ir/Reports/Decision.aspx?LetterSerial=vQvFD33s4BfNEOxFYHBypA%3d%3d&amp;rt=2&amp;let=19&amp;ct=0&amp;ft=-1</t>
  </si>
  <si>
    <t>687f89662f7cfe15d2e446a60b4e454e6d095f9f06c9e0f0181c7e150c5460b3</t>
  </si>
  <si>
    <t>sources/codal/وغدیر/v38_type19/T1135448.html</t>
  </si>
  <si>
    <t>T19_1167863</t>
  </si>
  <si>
    <t>1402/12/22 10:41</t>
  </si>
  <si>
    <t>https://www.codal.ir/Reports/Decision.aspx?LetterSerial=y19RXp6zohQQQaQQQ0sOAyyn732Q%3d%3d&amp;rt=2&amp;let=19&amp;ct=0&amp;ft=-1</t>
  </si>
  <si>
    <t>a666441b28369c992af34ddc6c11a3f4854606d765ec1745595ca55d76c6d67d</t>
  </si>
  <si>
    <t>sources/codal/وغدیر/v38_type19/T1167863.html</t>
  </si>
  <si>
    <t>T19_1188660</t>
  </si>
  <si>
    <t>1403/02/22 16:44</t>
  </si>
  <si>
    <t>https://www.codal.ir/Reports/Decision.aspx?LetterSerial=HYvUpwlAVdDpo0FpT3gsMA%3d%3d&amp;rt=2&amp;let=19&amp;ct=0&amp;ft=-1</t>
  </si>
  <si>
    <t>710035c0f1000eb3d1a83dff3ccab6d3aaf5c376e6ecb7f969ae970a7d4ecc0f</t>
  </si>
  <si>
    <t>sources/codal/وغدیر/v38_type19/T1188660.html</t>
  </si>
  <si>
    <t>T19_1189918</t>
  </si>
  <si>
    <t>1403/02/25 11:21</t>
  </si>
  <si>
    <t>https://www.codal.ir/Reports/Decision.aspx?LetterSerial=bbjKIZaejQ2Lu8AcAcLOfQ%3d%3d&amp;rt=2&amp;let=19&amp;ct=0&amp;ft=-1</t>
  </si>
  <si>
    <t>04cb470f8d449746df87c79ba989be6a3552e9db053e4c2f39e98cbd6d82327e</t>
  </si>
  <si>
    <t>sources/codal/وغدیر/v38_type19/T1189918.html</t>
  </si>
  <si>
    <t>T19_1250216</t>
  </si>
  <si>
    <t>1403/07/04 12:26</t>
  </si>
  <si>
    <t>https://www.codal.ir/Reports/Decision.aspx?LetterSerial=w2OlaFpLHNzTgPDVYHou4g%3d%3d&amp;rt=2&amp;let=19&amp;ct=0&amp;ft=-1</t>
  </si>
  <si>
    <t>8f5d0a8ecd59a7a1712fb18c7d97cd45aeeb3f9c3e39cac797e6df16f0e15036</t>
  </si>
  <si>
    <t>sources/codal/وغدیر/v38_type19/T1250216.html</t>
  </si>
  <si>
    <t>T19_1250780</t>
  </si>
  <si>
    <t>1403/07/05 20:58</t>
  </si>
  <si>
    <t>https://www.codal.ir/Reports/Decision.aspx?LetterSerial=3XlH8UAwEXuvOOObOOOkilkqCpVg%3d%3d&amp;rt=2&amp;let=19&amp;ct=0&amp;ft=-1</t>
  </si>
  <si>
    <t>710bd26afb210f0cbc83c74334be723de98bd959fb76d71cdb14933e974b74b1</t>
  </si>
  <si>
    <t>sources/codal/وغدیر/v38_type19/T1250780.html</t>
  </si>
  <si>
    <t>T19_1259192</t>
  </si>
  <si>
    <t>1403/07/30 16:45</t>
  </si>
  <si>
    <t>https://www.codal.ir/Reports/Decision.aspx?LetterSerial=A60mnrvkJp2z9gaZFXaOOObOOOYQ%3d%3d&amp;rt=2&amp;let=19&amp;ct=0&amp;ft=-1</t>
  </si>
  <si>
    <t>b2fb550791dd7cba40789afccb7d2162f7ef394e43661fd3b9a2abbeea71c51d</t>
  </si>
  <si>
    <t>sources/codal/وغدیر/v38_type19/T1259192.html</t>
  </si>
  <si>
    <t>T19_1271772</t>
  </si>
  <si>
    <t>1403/08/29 09:10</t>
  </si>
  <si>
    <t>https://www.codal.ir/Reports/Decision.aspx?LetterSerial=WnTJ5KOOOObOOOQ47O0ZQXlXeOHA%3d%3d&amp;rt=2&amp;let=19&amp;ct=0&amp;ft=-1</t>
  </si>
  <si>
    <t>d4fdd79bb95ed60b8661cf6360c762faf6d954fc4b86326101c161850f0801bb</t>
  </si>
  <si>
    <t>sources/codal/وغدیر/v38_type19/T1271772.html</t>
  </si>
  <si>
    <t>T19_1283385</t>
  </si>
  <si>
    <t>1403/09/24 11:31</t>
  </si>
  <si>
    <t>493ad34acb647eded47112be4104614e4fa1e23e261bb016221161aad4da4cd2</t>
  </si>
  <si>
    <t>sources/codal/وغدیر/v38_type19/T1283385.html</t>
  </si>
  <si>
    <t>T19_1307841</t>
  </si>
  <si>
    <t>1403/11/27 09:13</t>
  </si>
  <si>
    <t>https://www.codal.ir/Reports/Decision.aspx?LetterSerial=veSUxcRwdC2UIMY6FgOOObOOOjZg%3d%3d&amp;rt=2&amp;let=19&amp;ct=0&amp;ft=-1</t>
  </si>
  <si>
    <t>14f9ccba6b62a14a31cc6519bcb46315629e02f9f3a24c64f1e32f63830e3671</t>
  </si>
  <si>
    <t>sources/codal/وغدیر/v38_type19/T1307841.html</t>
  </si>
  <si>
    <t>T19_1331046</t>
  </si>
  <si>
    <t>1404/01/26 18:02</t>
  </si>
  <si>
    <t>https://www.codal.ir/Reports/Decision.aspx?LetterSerial=c8iXjAINhGN7XGHc4XLFWg%3d%3d&amp;rt=2&amp;let=19&amp;ct=0&amp;ft=-1</t>
  </si>
  <si>
    <t>2269e0bd7764e604265be4a79825a272896e61044492bba1dec0f874cc3e2964</t>
  </si>
  <si>
    <t>sources/codal/وغدیر/v38_type19/T1331046.html</t>
  </si>
  <si>
    <t>T19_1368801</t>
  </si>
  <si>
    <t>1404/04/18 15:17</t>
  </si>
  <si>
    <t>https://www.codal.ir/Reports/Decision.aspx?LetterSerial=jFUwtXYMQQQaQQQciiIoBWMVanOQ%3d%3d&amp;rt=2&amp;let=19&amp;ct=0&amp;ft=-1</t>
  </si>
  <si>
    <t>da7d0d888d7914b5be5449f875f2fe2964cbcaf62aaee089e1ade19d591177db</t>
  </si>
  <si>
    <t>sources/codal/وغدیر/v38_type19/T1368801.html</t>
  </si>
  <si>
    <t>T19_1405584</t>
  </si>
  <si>
    <t>1404/06/24 11:36</t>
  </si>
  <si>
    <t>235ad1c0041304a09248fc7bf2412fa69fa99a839ae93005188bc0fc763ffc84</t>
  </si>
  <si>
    <t>sources/codal/وغدیر/v38_type19/T1405584.html</t>
  </si>
  <si>
    <t>T19_1602959</t>
  </si>
  <si>
    <t>1405/07/01 18:16</t>
  </si>
  <si>
    <t>https://www.codal.ir/Reports/Decision.aspx?LetterSerial=mvTpKr4heYMiVtjMqGcd4Q%3d%3d&amp;rt=2&amp;let=19&amp;ct=0&amp;ft=-1</t>
  </si>
  <si>
    <t>1b6a01de282c434b70e41e22e64d5e0e0e3beba305059c943fc2dd802358e1aa</t>
  </si>
  <si>
    <t>sources/codal/وغدیر/v38_type19/T1602959.html</t>
  </si>
  <si>
    <t>T19_892353</t>
  </si>
  <si>
    <t>1401/03/11 17:08</t>
  </si>
  <si>
    <t>https://www.codal.ir/Reports/Decision.aspx?LetterSerial=sGL4cgsrrCSlQQQaQQQIkV5lWa1Q%3d%3d&amp;rt=0&amp;let=19&amp;ct=0&amp;ft=-1</t>
  </si>
  <si>
    <t>d0b53c3cf37d3b52a42c16f8ad90cf69532ee310da7ff46b0f35d8d8840b434c</t>
  </si>
  <si>
    <t>sources/codal/نوری/v38_type19/T892353.html</t>
  </si>
  <si>
    <t>T19_898779</t>
  </si>
  <si>
    <t>1401/03/29 17:33</t>
  </si>
  <si>
    <t>https://www.codal.ir/Reports/Decision.aspx?LetterSerial=vsEopHI5B4vfHf2UEWQQQaQQQe5A%3d%3d&amp;rt=0&amp;let=19&amp;ct=0&amp;ft=-1</t>
  </si>
  <si>
    <t>3eaacc1c0915f7e46bdcd66c4d092b433713c5d94c0903e2bc6be59d1e14ecad</t>
  </si>
  <si>
    <t>sources/codal/نوری/v38_type19/T898779.html</t>
  </si>
  <si>
    <t>T19_1161814</t>
  </si>
  <si>
    <t>1402/12/19 15:03</t>
  </si>
  <si>
    <t>https://www.codal.ir/Reports/Decision.aspx?LetterSerial=Ls4QQQaQQQ4I56xCoKqr83VDEdvw%3d%3d&amp;rt=0&amp;let=19&amp;ct=0&amp;ft=-1</t>
  </si>
  <si>
    <t>26736ea49f1611f40f05c29b8210c1fb36abcec19c2fe03a182b6f5ae208b9e4</t>
  </si>
  <si>
    <t>sources/codal/نوری/v38_type19/T1161814.html</t>
  </si>
  <si>
    <t>T19_1184137</t>
  </si>
  <si>
    <t>1403/02/09 19:16</t>
  </si>
  <si>
    <t>https://www.codal.ir/Reports/Decision.aspx?LetterSerial=OpPuDvlUpotY%2bx1cjPxVyg%3d%3d&amp;rt=0&amp;let=19&amp;ct=0&amp;ft=-1</t>
  </si>
  <si>
    <t>4bb1e17c83dbb6cf500c037078c6e47932f79ae68c84dd423a9c8f14cf5a14e8</t>
  </si>
  <si>
    <t>sources/codal/نوری/v38_type19/T1184137.html</t>
  </si>
  <si>
    <t>T19_1270763</t>
  </si>
  <si>
    <t>1403/08/27 17:02</t>
  </si>
  <si>
    <t>https://www.codal.ir/Reports/Decision.aspx?LetterSerial=smhicjLn5jVmlYmSTSfSQQQaQQQQ%3d%3d&amp;rt=0&amp;let=19&amp;ct=0&amp;ft=-1</t>
  </si>
  <si>
    <t>ecdecc8c05d10e174afe56a3e5558b475c76f5e92f959218a6b0e32757fb4612</t>
  </si>
  <si>
    <t>sources/codal/نوری/v38_type19/T1270763.html</t>
  </si>
  <si>
    <t>T19_1289625</t>
  </si>
  <si>
    <t>1403/10/09 17:01</t>
  </si>
  <si>
    <t>https://www.codal.ir/Reports/Decision.aspx?LetterSerial=MfQQQaQQQDABne99nhfpFA0iJO3g%3d%3d&amp;rt=0&amp;let=19&amp;ct=0&amp;ft=-1</t>
  </si>
  <si>
    <t>def4c0572bb68651add369501f655dc0853492f382a4c3e00b275a4826b942b7</t>
  </si>
  <si>
    <t>sources/codal/نوری/v38_type19/T1289625.html</t>
  </si>
  <si>
    <t>T19_1289837</t>
  </si>
  <si>
    <t>1403/10/09 17:13</t>
  </si>
  <si>
    <t>https://www.codal.ir/Reports/Decision.aspx?LetterSerial=6qZQcEHQQQaQQQV0hQQQaQQQHyzjiFKFSQ%3d%3d&amp;rt=0&amp;let=19&amp;ct=0&amp;ft=-1</t>
  </si>
  <si>
    <t>94c22d3d1f870362e2fbd836f0f74f0bcd52c16a0ae18272920673769ac5d497</t>
  </si>
  <si>
    <t>sources/codal/نوری/v38_type19/T1289837.html</t>
  </si>
  <si>
    <t>T19_1368288</t>
  </si>
  <si>
    <t>1404/04/17 18:43</t>
  </si>
  <si>
    <t>https://www.codal.ir/Reports/Decision.aspx?LetterSerial=j92bfv180vODlZhjuNAJYg%3d%3d&amp;rt=0&amp;let=19&amp;ct=0&amp;ft=-1</t>
  </si>
  <si>
    <t>3f86f5bed4e65764b4b0af540322b8eff8c56100dcd7fbf0cf0b949c250c8e56</t>
  </si>
  <si>
    <t>sources/codal/نوری/v38_type19/T1368288.html</t>
  </si>
  <si>
    <t>T19_1393593</t>
  </si>
  <si>
    <t>1404/05/27 08:07</t>
  </si>
  <si>
    <t>https://www.codal.ir/Reports/Decision.aspx?LetterSerial=eREBsVb9WQQQevJMhpSxzg%3d%3d&amp;rt=0&amp;let=19&amp;ct=0&amp;ft=-1</t>
  </si>
  <si>
    <t>d4f5fb09a32736be6c392f9f83c65a0155fb9b17f6ad144998a16739c2d38688</t>
  </si>
  <si>
    <t>sources/codal/نوری/v38_type19/T1393593.html</t>
  </si>
  <si>
    <t>T19_1407882</t>
  </si>
  <si>
    <t>1404/06/31 07:08</t>
  </si>
  <si>
    <t>https://www.codal.ir/Reports/Decision.aspx?LetterSerial=cIj6tSlAsWJOE7v3zY09nQ%3d%3d&amp;rt=0&amp;let=19&amp;ct=0&amp;ft=-1</t>
  </si>
  <si>
    <t>c20545ddd8b21cec218bb2d1fdae32835df516a7297f33375020610f8a50457e</t>
  </si>
  <si>
    <t>sources/codal/نوری/v38_type19/T1407882.html</t>
  </si>
  <si>
    <t>T19_1437791</t>
  </si>
  <si>
    <t>1404/08/28 15:29</t>
  </si>
  <si>
    <t>https://www.codal.ir/Reports/Decision.aspx?LetterSerial=kJZEdsB5awCObPfKKGJOGQ%3d%3d&amp;rt=0&amp;let=19&amp;ct=0&amp;ft=-1</t>
  </si>
  <si>
    <t>4f20269ec96fb77714d1db9e7b39770bce2667cb421d7d1af3bbcbc0162b6172</t>
  </si>
  <si>
    <t>sources/codal/نوری/v38_type19/T1437791.html</t>
  </si>
  <si>
    <t>T19_1494047</t>
  </si>
  <si>
    <t>1404/12/04 13:51</t>
  </si>
  <si>
    <t>https://www.codal.ir/Reports/Decision.aspx?LetterSerial=NQQQaQQQYphXIoc4nwYbowPbQQQaQQQL2A%3d%3d&amp;rt=0&amp;let=19&amp;ct=0&amp;ft=-1</t>
  </si>
  <si>
    <t>c22303bf3d2674970fe3f512531e36ba19171d53beb39b6b1ceb0b69f0741251</t>
  </si>
  <si>
    <t>sources/codal/نوری/v38_type19/T1494047.html</t>
  </si>
  <si>
    <t>T19_1494196</t>
  </si>
  <si>
    <t>1404/12/04 15:33</t>
  </si>
  <si>
    <t>https://www.codal.ir/Reports/Decision.aspx?LetterSerial=iF5v8ocM7nWxWM03Dsdq2Q%3d%3d&amp;rt=0&amp;let=19&amp;ct=0&amp;ft=-1</t>
  </si>
  <si>
    <t>74d1ab1830613cb70630b8b62bbc02dbe6bf9919d6ebdb1a026b177ab3e86e50</t>
  </si>
  <si>
    <t>sources/codal/نوری/v38_type19/T1494196.html</t>
  </si>
  <si>
    <t>T19_1582361</t>
  </si>
  <si>
    <t>1405/05/18 07:48</t>
  </si>
  <si>
    <t>https://www.codal.ir/Reports/Decision.aspx?LetterSerial=BpzktIAusbNz2ux9FZwb4w%3d%3d&amp;rt=0&amp;let=19&amp;ct=0&amp;ft=-1</t>
  </si>
  <si>
    <t>db8392e265beabc02a28825c437580756000c784e26f701e222f89e868a3e599</t>
  </si>
  <si>
    <t>sources/codal/نوری/v38_type19/T1582361.html</t>
  </si>
  <si>
    <t>T19_898514</t>
  </si>
  <si>
    <t>1401/03/29 14:17</t>
  </si>
  <si>
    <t>https://www.codal.ir/Reports/Decision.aspx?LetterSerial=EyVI%2bcU7TsMZNxGafdAXoA%3d%3d&amp;rt=0&amp;let=19&amp;ct=0&amp;ft=-1</t>
  </si>
  <si>
    <t>27512068e96c3c50a6dc2b5cea327c417a1b0bdb2442a09bdd5511186b4d153a</t>
  </si>
  <si>
    <t>sources/codal/فولاد/v38_type19/T898514.html</t>
  </si>
  <si>
    <t>T19_976110</t>
  </si>
  <si>
    <t>1401/10/10 09:33</t>
  </si>
  <si>
    <t>https://www.codal.ir/Reports/Decision.aspx?LetterSerial=hT5NvAFXMjyBoCPPRvNYRg%3d%3d&amp;rt=0&amp;let=19&amp;ct=0&amp;ft=-1</t>
  </si>
  <si>
    <t>5263831b1f9761b7770c9ca42463e87c3557f09ff86b9af64911a819e240a7f3</t>
  </si>
  <si>
    <t>sources/codal/فولاد/v38_type19/T976110.html</t>
  </si>
  <si>
    <t>T19_1019932</t>
  </si>
  <si>
    <t>1402/02/12 09:23</t>
  </si>
  <si>
    <t>https://www.codal.ir/Reports/Decision.aspx?LetterSerial=G2yWaw6BkJ23or5leIuIOw%3d%3d&amp;rt=0&amp;let=19&amp;ct=0&amp;ft=-1</t>
  </si>
  <si>
    <t>4712616e323a4c4d35d9feace04237657367010e0e103f28cb476b52dbd52ebf</t>
  </si>
  <si>
    <t>sources/codal/فولاد/v38_type19/T1019932.html</t>
  </si>
  <si>
    <t>T19_1068167</t>
  </si>
  <si>
    <t>1402/05/15 16:17</t>
  </si>
  <si>
    <t>https://www.codal.ir/Reports/Decision.aspx?LetterSerial=ZE0HkKPIM%2bl70khbY6agsw%3d%3d&amp;rt=0&amp;let=19&amp;ct=0&amp;ft=-1</t>
  </si>
  <si>
    <t>a81d34a4e87782ba0ccfa04bf75d90084b4bcd6e1d391e220dad93414034bd99</t>
  </si>
  <si>
    <t>sources/codal/فولاد/v38_type19/T1068167.html</t>
  </si>
  <si>
    <t>T19_1073439</t>
  </si>
  <si>
    <t>1402/05/30 15:57</t>
  </si>
  <si>
    <t>https://www.codal.ir/Reports/Decision.aspx?LetterSerial=GcnrKxKD1OrgBJKRHXTVbg%3d%3d&amp;rt=0&amp;let=19&amp;ct=0&amp;ft=-1</t>
  </si>
  <si>
    <t>7aa8b1f126a655de033921d94773d08d48707bade05d164e7e427a599994db5a</t>
  </si>
  <si>
    <t>sources/codal/فولاد/v38_type19/T1073439.html</t>
  </si>
  <si>
    <t>T19_1092752</t>
  </si>
  <si>
    <t>1402/07/24 16:10</t>
  </si>
  <si>
    <t>https://www.codal.ir/Reports/Decision.aspx?LetterSerial=34frAVrwLJO04IkwrsmiTA%3d%3d&amp;rt=0&amp;let=19&amp;ct=0&amp;ft=-1</t>
  </si>
  <si>
    <t>79d9a4089eb7a068659f6595806279e21d2d16d86dcc2c561563d659d2bce498</t>
  </si>
  <si>
    <t>sources/codal/فولاد/v38_type19/T1092752.html</t>
  </si>
  <si>
    <t>T19_1150872</t>
  </si>
  <si>
    <t>1402/11/15 16:40</t>
  </si>
  <si>
    <t>https://www.codal.ir/Reports/Decision.aspx?LetterSerial=uRgb%2bVjM1lGK287QQQaQQQGrSwWA%3d%3d&amp;rt=0&amp;let=19&amp;ct=0&amp;ft=-1</t>
  </si>
  <si>
    <t>3852d77cf0f1a3310e5e1817b629e810a399bf8f517a15b73085820e94b7eb43</t>
  </si>
  <si>
    <t>sources/codal/فولاد/v38_type19/T1150872.html</t>
  </si>
  <si>
    <t>T19_1150914</t>
  </si>
  <si>
    <t>1402/11/15 17:27</t>
  </si>
  <si>
    <t>https://www.codal.ir/Reports/Decision.aspx?LetterSerial=DvDsU7R8JHz5lN8ZW0igig%3d%3d&amp;rt=0&amp;let=19&amp;ct=0&amp;ft=-1</t>
  </si>
  <si>
    <t>344fed25c9bb528d37ea4944fd50a1f7f6634a928bc3efe3717dc83bf020653c</t>
  </si>
  <si>
    <t>sources/codal/فولاد/v38_type19/T1150914.html</t>
  </si>
  <si>
    <t>T19_1310030</t>
  </si>
  <si>
    <t>1403/12/01 12:32</t>
  </si>
  <si>
    <t>https://www.codal.ir/Reports/Decision.aspx?LetterSerial=7sUhO6PC5RQJgQQQaQQQ2cvB6hbw%3d%3d&amp;rt=0&amp;let=19&amp;ct=0&amp;ft=-1</t>
  </si>
  <si>
    <t>c5cf225775eba9c45fa6db4379b3299f7ab3858de6744b92cf20c618cb0dee7c</t>
  </si>
  <si>
    <t>sources/codal/فولاد/v38_type19/T1310030.html</t>
  </si>
  <si>
    <t>T19_1338443</t>
  </si>
  <si>
    <t>1404/02/13 09:02</t>
  </si>
  <si>
    <t>https://www.codal.ir/Reports/Decision.aspx?LetterSerial=bEdDMk8CWHdhiTMOcnZnDA%3d%3d&amp;rt=0&amp;let=19&amp;ct=0&amp;ft=-1</t>
  </si>
  <si>
    <t>a1551771438c9bbed5e5c93c32431b04377ae991b5677d6a603913e88414ba6e</t>
  </si>
  <si>
    <t>sources/codal/فولاد/v38_type19/T1338443.html</t>
  </si>
  <si>
    <t>T19_1387200</t>
  </si>
  <si>
    <t>1404/05/10 16:08</t>
  </si>
  <si>
    <t>https://www.codal.ir/Reports/Decision.aspx?LetterSerial=gmlLRpS7cu2Ou9Vz2tw17w%3d%3d&amp;rt=0&amp;let=19&amp;ct=0&amp;ft=-1</t>
  </si>
  <si>
    <t>e3734f23e852c5dce13c958cd8f5ff6b5e6c36a24ae16d76926c4d08352c49b8</t>
  </si>
  <si>
    <t>sources/codal/فولاد/v38_type19/T1387200.html</t>
  </si>
  <si>
    <t>T19_1428558</t>
  </si>
  <si>
    <t>1404/08/07 21:45</t>
  </si>
  <si>
    <t>https://www.codal.ir/Reports/Decision.aspx?LetterSerial=c7mkFCKVlrk57BRfNSfZoA%3d%3d&amp;rt=0&amp;let=19&amp;ct=0&amp;ft=-1</t>
  </si>
  <si>
    <t>029232ef3c80406bf9bca102f854a99587358898e5a8317f48bd97ec6821ce21</t>
  </si>
  <si>
    <t>sources/codal/فولاد/v38_type19/T1428558.html</t>
  </si>
  <si>
    <t>T19_1429644</t>
  </si>
  <si>
    <t>1404/08/10 15:48</t>
  </si>
  <si>
    <t>https://www.codal.ir/Reports/Decision.aspx?LetterSerial=2U4NEZY3Ls1KoUe8xawxuA%3d%3d&amp;rt=0&amp;let=19&amp;ct=0&amp;ft=-1</t>
  </si>
  <si>
    <t>29fb23032429076f14462a62b81671a66507b84bef88e57c8a7eeb486a3a61de</t>
  </si>
  <si>
    <t>sources/codal/فولاد/v38_type19/T1429644.html</t>
  </si>
  <si>
    <t>T19_1464295</t>
  </si>
  <si>
    <t>1404/10/04 13:29</t>
  </si>
  <si>
    <t>https://www.codal.ir/Reports/Decision.aspx?LetterSerial=UrL03SiACerZMa9yqY7tvw%3d%3d&amp;rt=0&amp;let=19&amp;ct=0&amp;ft=-1</t>
  </si>
  <si>
    <t>973097976d726297582c1dd839e0d884e2d34fd7f5b26f0b73e491e846138ad9</t>
  </si>
  <si>
    <t>sources/codal/فولاد/v38_type19/T1464295.html</t>
  </si>
  <si>
    <t>T19_857425</t>
  </si>
  <si>
    <t>1401/02/10 14:41</t>
  </si>
  <si>
    <t>https://www.codal.ir/Reports/Decision.aspx?LetterSerial=9me2DUH0iQQQaQQQ%2BaNVewspccHg%3D%3D&amp;rt=0&amp;let=19&amp;ct=0&amp;ft=-1</t>
  </si>
  <si>
    <t>cff1f40514ad54098718593c79db27c222faedb69cf6624ca0523e582b78abb7</t>
  </si>
  <si>
    <t>sources/codal/کچاد/v38_type19/T857425.html</t>
  </si>
  <si>
    <t>T19_899673</t>
  </si>
  <si>
    <t>1401/04/01 09:50</t>
  </si>
  <si>
    <t>https://www.codal.ir/Reports/Decision.aspx?LetterSerial=6NAX6nfBVqgxhKxvPQAN2Q%3d%3d&amp;rt=0&amp;let=19&amp;ct=0&amp;ft=-1</t>
  </si>
  <si>
    <t>9b065f750aaa099f5ee4b5be89141d1e5b9e2d7468878639e8511bc9c19319cc</t>
  </si>
  <si>
    <t>sources/codal/کچاد/v38_type19/T899673.html</t>
  </si>
  <si>
    <t>T19_900233</t>
  </si>
  <si>
    <t>1401/04/01 11:46</t>
  </si>
  <si>
    <t>https://www.codal.ir/Reports/Decision.aspx?LetterSerial=qYSSm9B%2brl0QQQaQQQLr8lsF62rw%3d%3d&amp;rt=0&amp;let=19&amp;ct=0&amp;ft=-1</t>
  </si>
  <si>
    <t>466b4d6522410f6f29da07ffe87667eeea847d8be8fb8334ff3017d39d0771b9</t>
  </si>
  <si>
    <t>sources/codal/کچاد/v38_type19/T900233.html</t>
  </si>
  <si>
    <t>T19_918924</t>
  </si>
  <si>
    <t>1401/05/04 15:53</t>
  </si>
  <si>
    <t>https://www.codal.ir/Reports/Decision.aspx?LetterSerial=nyqtpn8Zsri7KviKZQQQaQQQC7Wg%3d%3d&amp;rt=0&amp;let=19&amp;ct=0&amp;ft=-1</t>
  </si>
  <si>
    <t>352d7354fa65a84791245dea176e64afe5a7290bbaba218c631935d5e6788e22</t>
  </si>
  <si>
    <t>sources/codal/کچاد/v38_type19/T918924.html</t>
  </si>
  <si>
    <t>T19_1062331</t>
  </si>
  <si>
    <t>1402/05/01 16:35</t>
  </si>
  <si>
    <t>https://www.codal.ir/Reports/Decision.aspx?LetterSerial=DaIfvjGOB4q3ZXxcQQQaQQQ1n7sw%3d%3d&amp;rt=0&amp;let=19&amp;ct=0&amp;ft=-1</t>
  </si>
  <si>
    <t>18c29a99bed9e69d20c2587fb996f349341ab5c7eb2249a4884cf82eaa2728c8</t>
  </si>
  <si>
    <t>sources/codal/کچاد/v38_type19/T1062331.html</t>
  </si>
  <si>
    <t>T19_1085698</t>
  </si>
  <si>
    <t>1402/07/03 14:16</t>
  </si>
  <si>
    <t>https://www.codal.ir/Reports/Decision.aspx?LetterSerial=h%2bS2QcAoMnSTgf6bjzt22g%3d%3d&amp;rt=0&amp;let=19&amp;ct=0&amp;ft=-1</t>
  </si>
  <si>
    <t>1faed23699167b36edd56a85e08613831a685ead0362682d7dd42442784cfd1b</t>
  </si>
  <si>
    <t>sources/codal/کچاد/v38_type19/T1085698.html</t>
  </si>
  <si>
    <t>T19_1096175</t>
  </si>
  <si>
    <t>1402/08/01 16:14</t>
  </si>
  <si>
    <t>https://www.codal.ir/Reports/Decision.aspx?LetterSerial=dmjT8FOcMTU0EWal49M9Ng%3d%3d&amp;rt=0&amp;let=19&amp;ct=0&amp;ft=-1</t>
  </si>
  <si>
    <t>3d0d77c735b001fb19db21ec35fea3a2f3d478f8d3d14f89eb68f56c50513f53</t>
  </si>
  <si>
    <t>sources/codal/کچاد/v38_type19/T1096175.html</t>
  </si>
  <si>
    <t>T19_1274810</t>
  </si>
  <si>
    <t>1403/09/04 20:01</t>
  </si>
  <si>
    <t>https://www.codal.ir/Reports/Decision.aspx?LetterSerial=iAkNOOObOOOyoikXuTIn8lkVczPw%3d%3d&amp;rt=0&amp;let=19&amp;ct=0&amp;ft=-1</t>
  </si>
  <si>
    <t>48f4be34201f20b494590bb10206a41ce68cfb65a7b9763514be5c5991b3fdbc</t>
  </si>
  <si>
    <t>sources/codal/کچاد/v38_type19/T1274810.html</t>
  </si>
  <si>
    <t>T19_1275234</t>
  </si>
  <si>
    <t>1403/09/04 20:46</t>
  </si>
  <si>
    <t>https://www.codal.ir/Reports/Decision.aspx?LetterSerial=sGmemGsb7AQ1fFqRipOlbQ%3d%3d&amp;rt=0&amp;let=19&amp;ct=0&amp;ft=-1</t>
  </si>
  <si>
    <t>f447825d3fb3e1c9e733da0695e1b69a58c163646078ad915b08cd0ef1fdbcd6</t>
  </si>
  <si>
    <t>sources/codal/کچاد/v38_type19/T1275234.html</t>
  </si>
  <si>
    <t>T19_1287746</t>
  </si>
  <si>
    <t>1403/10/05 14:58</t>
  </si>
  <si>
    <t>b5b20aad27f4c04b1db146fa525e8a1aeceb8af6a412225033a32a85a052d881</t>
  </si>
  <si>
    <t>sources/codal/کچاد/v38_type19/T1287746.html</t>
  </si>
  <si>
    <t>T19_1343237</t>
  </si>
  <si>
    <t>1404/02/24 16:33</t>
  </si>
  <si>
    <t>8c141b7e5ac264ded667c015ad412f98b47308735814aaa2cd3272627030e37c</t>
  </si>
  <si>
    <t>sources/codal/کچاد/v38_type19/T1343237.html</t>
  </si>
  <si>
    <t>T19_1345798</t>
  </si>
  <si>
    <t>1404/02/29 08:07</t>
  </si>
  <si>
    <t>https://www.codal.ir/Reports/Decision.aspx?LetterSerial=syMSjj9puchLnumOOOObOOODhTVg%3d%3d&amp;rt=0&amp;let=19&amp;ct=0&amp;ft=-1</t>
  </si>
  <si>
    <t>69cfd1d7f38f0166626684a484ceee9848f2a9c322d4b649eba4af4e7c827829</t>
  </si>
  <si>
    <t>sources/codal/کچاد/v38_type19/T1345798.html</t>
  </si>
  <si>
    <t>T19_1391765</t>
  </si>
  <si>
    <t>1404/05/20 17:25</t>
  </si>
  <si>
    <t>363a6b6ce372cc3ffce1450be1d1902e456806b8a5c9f38455908021c8e68a88</t>
  </si>
  <si>
    <t>sources/codal/کچاد/v38_type19/T1391765.html</t>
  </si>
  <si>
    <t>T19_1473973</t>
  </si>
  <si>
    <t>1404/10/29 17:59</t>
  </si>
  <si>
    <t>c37f32e7a7547d754228de5f1605be40c12000bdbdaa3b2d59a04ed89d430c99</t>
  </si>
  <si>
    <t>sources/codal/کچاد/v38_type19/T1473973.html</t>
  </si>
  <si>
    <t>T19_870454</t>
  </si>
  <si>
    <t>1401/01/28 16:43</t>
  </si>
  <si>
    <t>https://www.codal.ir/Reports/Decision.aspx?LetterSerial=TcdgMd7Uc8XzjVQQQaQQQaHUB1iQ%3D%3D&amp;rt=0&amp;let=19&amp;ct=0&amp;ft=-1</t>
  </si>
  <si>
    <t>6d4d44d42221f3512eb1361a40ec67d4f681aad64246d0a1254cda48bda32ad7</t>
  </si>
  <si>
    <t>sources/codal/کگل/v38_type19/T870454.html</t>
  </si>
  <si>
    <t>T19_955094</t>
  </si>
  <si>
    <t>1401/08/15 20:26</t>
  </si>
  <si>
    <t>https://www.codal.ir/Reports/Decision.aspx?LetterSerial=n%2bhViQQQaQQQBNORyoJ5rvxCWX3w%3d%3d&amp;rt=0&amp;let=19&amp;ct=0&amp;ft=-1</t>
  </si>
  <si>
    <t>d209de017bd42f649dac7e78251e46c1d95934723e107d712aaabafd64317848</t>
  </si>
  <si>
    <t>sources/codal/کگل/v38_type19/T955094.html</t>
  </si>
  <si>
    <t>T19_1067923</t>
  </si>
  <si>
    <t>1402/05/15 15:40</t>
  </si>
  <si>
    <t>https://www.codal.ir/Reports/Decision.aspx?LetterSerial=GZtknif%2bwOzGkzES1cffjg%3d%3d&amp;rt=0&amp;let=19&amp;ct=0&amp;ft=-1</t>
  </si>
  <si>
    <t>f6cb06775e8e0f6cfc14bf50389e96729e14d18f28166e62d9de492a2d56636a</t>
  </si>
  <si>
    <t>sources/codal/کگل/v38_type19/T1067923.html</t>
  </si>
  <si>
    <t>T19_1068697</t>
  </si>
  <si>
    <t>1402/05/16 19:13</t>
  </si>
  <si>
    <t>https://www.codal.ir/Reports/Decision.aspx?LetterSerial=VQ3IPvPJP01JAKCfR7MDLw%3d%3d&amp;rt=0&amp;let=19&amp;ct=0&amp;ft=-1</t>
  </si>
  <si>
    <t>cf87f3ebb8aa0e20a3ffdc1bfea064707c1f9301170839481dcb80798a1ef9ef</t>
  </si>
  <si>
    <t>sources/codal/کگل/v38_type19/T1068697.html</t>
  </si>
  <si>
    <t>T19_1203614</t>
  </si>
  <si>
    <t>1403/03/26 17:53</t>
  </si>
  <si>
    <t>https://www.codal.ir/Reports/Decision.aspx?LetterSerial=Ag6g3sSjP48AWQQQaQQQURh9QDZA%3d%3d&amp;rt=0&amp;let=19&amp;ct=0&amp;ft=-1</t>
  </si>
  <si>
    <t>9fe754c110d015f2a38d9e59a66581a17a205f5fe0db82b8b9d307f0bbb3236f</t>
  </si>
  <si>
    <t>sources/codal/کگل/v38_type19/T1203614.html</t>
  </si>
  <si>
    <t>T19_1207414</t>
  </si>
  <si>
    <t>1403/04/03 19:39</t>
  </si>
  <si>
    <t>https://www.codal.ir/Reports/Decision.aspx?LetterSerial=UINHipeFOBf8mIJVSsXQ5Q%3d%3d&amp;rt=0&amp;let=19&amp;ct=0&amp;ft=-1</t>
  </si>
  <si>
    <t>5770ab997428149e284bd0952bd747c2b60c25836dc2b282caebb8f476a37b44</t>
  </si>
  <si>
    <t>sources/codal/کگل/v38_type19/T1207414.html</t>
  </si>
  <si>
    <t>T19_1319449</t>
  </si>
  <si>
    <t>1403/12/19 22:33</t>
  </si>
  <si>
    <t>07c5c2d12ffb31c3a30f2deeaa3a195f395f1b14868dcd72257874c3b6a92b59</t>
  </si>
  <si>
    <t>sources/codal/کگل/v38_type19/T1319449.html</t>
  </si>
  <si>
    <t>T19_1330437</t>
  </si>
  <si>
    <t>1404/01/25 17:27</t>
  </si>
  <si>
    <t>https://www.codal.ir/Reports/Decision.aspx?LetterSerial=YyPw9OOObOOONwCIj059an7yzC0g%3d%3d&amp;rt=0&amp;let=19&amp;ct=0&amp;ft=-1</t>
  </si>
  <si>
    <t>4193a038c55487e6de64ee7a1a88308d61bfc226d674995b6da802be1f78a745</t>
  </si>
  <si>
    <t>sources/codal/کگل/v38_type19/T1330437.html</t>
  </si>
  <si>
    <t>T19_1414920</t>
  </si>
  <si>
    <t>1404/07/14 09:28</t>
  </si>
  <si>
    <t>2f9ec8a0e7328c6f6d913d026a5ee999cc5a61ae26e6b5f8d7444ae1d62ace0d</t>
  </si>
  <si>
    <t>sources/codal/کگل/v38_type19/T1414920.html</t>
  </si>
  <si>
    <t>T19_1091782</t>
  </si>
  <si>
    <t>1402/07/22 18:58</t>
  </si>
  <si>
    <t>https://www.codal.ir/Reports/Decision.aspx?LetterSerial=RMLzPNj3tz02catQQQaQQQi%2bU8tA%3d%3d&amp;rt=2&amp;let=19&amp;ct=0&amp;ft=-1</t>
  </si>
  <si>
    <t>a6b03d1d04e0e0816f745ba3c1ad37d5a3d609f4620f855d167133954e5659ff</t>
  </si>
  <si>
    <t>sources/codal/پارسان/v38_type19/T1091782.html</t>
  </si>
  <si>
    <t>T19_1092969</t>
  </si>
  <si>
    <t>1402/07/24 15:53</t>
  </si>
  <si>
    <t>https://www.codal.ir/Reports/Decision.aspx?LetterSerial=jGIwR2Dk5QQQaQQQjItQpIoghySg%3d%3d&amp;rt=2&amp;let=19&amp;ct=0&amp;ft=-1</t>
  </si>
  <si>
    <t>591b7cc3806108c873d84a237ccbaffa454c67ce81ca4eb3830fd8c616416ca4</t>
  </si>
  <si>
    <t>sources/codal/پارسان/v38_type19/T1092969.html</t>
  </si>
  <si>
    <t>T19_1190022</t>
  </si>
  <si>
    <t>1403/02/25 17:22</t>
  </si>
  <si>
    <t>https://www.codal.ir/Reports/Decision.aspx?LetterSerial=nRihI1tGW5N3lO4NRTzScw%3d%3d&amp;rt=2&amp;let=19&amp;ct=0&amp;ft=-1</t>
  </si>
  <si>
    <t>5f384feaba24475921e1b64ff75e45e9c9b0b36c79a4721b7d4cda30edd221b6</t>
  </si>
  <si>
    <t>sources/codal/پارسان/v38_type19/T1190022.html</t>
  </si>
  <si>
    <t>T19_1194814</t>
  </si>
  <si>
    <t>1403/03/05 10:39</t>
  </si>
  <si>
    <t>https://www.codal.ir/Reports/Decision.aspx?LetterSerial=dKgPQQQaQQQ%2brnSEnC2UIEnLH9fg%3d%3d&amp;rt=2&amp;let=19&amp;ct=0&amp;ft=-1</t>
  </si>
  <si>
    <t>39d980d031c9e60e0ae9a05b42de97c5a55d54bdcc9734a83ba613b2a71bd6f9</t>
  </si>
  <si>
    <t>sources/codal/پارسان/v38_type19/T1194814.html</t>
  </si>
  <si>
    <t>T19_1288275</t>
  </si>
  <si>
    <t>1403/10/05 17:35</t>
  </si>
  <si>
    <t>b96e17eb366a0fa138600f9bdfa497726d577403a04b212a8cd671e9b9f2c728</t>
  </si>
  <si>
    <t>sources/codal/پارسان/v38_type19/T1288275.html</t>
  </si>
  <si>
    <t>T19_1327522</t>
  </si>
  <si>
    <t>1404/01/18 11:02</t>
  </si>
  <si>
    <t>https://www.codal.ir/Reports/Decision.aspx?LetterSerial=wfIbWhw2kxhrgTknh0QQQaQQQ6zg%3d%3d&amp;rt=2&amp;let=19&amp;ct=0&amp;ft=-1</t>
  </si>
  <si>
    <t>a2c7115b9d9dac4eb5ac3fab8166186e65adbfc13a0b2ac05594230d61cd824e</t>
  </si>
  <si>
    <t>sources/codal/پارسان/v38_type19/T1327522.html</t>
  </si>
  <si>
    <t>T19_1345985</t>
  </si>
  <si>
    <t>1404/02/30 17:25</t>
  </si>
  <si>
    <t>c5afcf78c9032ca8b006075dfb7522ddbaa312adb4a6fe64d03357036ab1061d</t>
  </si>
  <si>
    <t>sources/codal/پارسان/v38_type19/T1345985.html</t>
  </si>
  <si>
    <t>T19_1347530</t>
  </si>
  <si>
    <t>1404/06/16 08:59</t>
  </si>
  <si>
    <t>https://www.codal.ir/Reports/Decision.aspx?LetterSerial=jL7ox8nUQHggs3Bz99P9mw%3d%3d&amp;rt=2&amp;let=19&amp;ct=0&amp;ft=-1</t>
  </si>
  <si>
    <t>01d4fa6a719f25bc1516de9497fa3cd09acfa95f2ee64e501a9b11b64b6ae7ad</t>
  </si>
  <si>
    <t>sources/codal/پارسان/v38_type19/T1347530.html</t>
  </si>
  <si>
    <t>T19_1404286</t>
  </si>
  <si>
    <t>1404/06/18 12:44</t>
  </si>
  <si>
    <t>https://www.codal.ir/Reports/Decision.aspx?LetterSerial=PuEOnAnj4ZS5OOObOOOKq07SAMtA%3d%3d&amp;rt=2&amp;let=19&amp;ct=0&amp;ft=-1</t>
  </si>
  <si>
    <t>ba986f13b5cc0be2ccef750a5f1fa1c199e0c8fafdda53ee609654fb389034fd</t>
  </si>
  <si>
    <t>sources/codal/پارسان/v38_type19/T1404286.html</t>
  </si>
  <si>
    <t>T19_1443940</t>
  </si>
  <si>
    <t>1404/09/06 11:03</t>
  </si>
  <si>
    <t>6bada336a4f2a0c4f5293c99b549eba45d143296c6023345e5e9b6406caeee87</t>
  </si>
  <si>
    <t>sources/codal/پارسان/v38_type19/T1443940.html</t>
  </si>
  <si>
    <t>T19_1448512</t>
  </si>
  <si>
    <t>1404/09/16 16:12</t>
  </si>
  <si>
    <t>https://www.codal.ir/Reports/Decision.aspx?LetterSerial=30pTNdU33IMXapDBWqVd5A%3d%3d&amp;rt=2&amp;let=19&amp;ct=0&amp;ft=-1</t>
  </si>
  <si>
    <t>bf52d8acf2f73a3406e2472c7e4de645fd23cf3b32b17517f4fe548b4fa2f009</t>
  </si>
  <si>
    <t>sources/codal/پارسان/v38_type19/T1448512.html</t>
  </si>
  <si>
    <t>T19_1451719</t>
  </si>
  <si>
    <t>1404/09/17 19:57</t>
  </si>
  <si>
    <t>https://www.codal.ir/Reports/Decision.aspx?LetterSerial=7OVvyYgUCPIRoPOOObOOOeQJKBsQ%3d%3d&amp;rt=2&amp;let=19&amp;ct=0&amp;ft=-1</t>
  </si>
  <si>
    <t>7807104ee7da59a05b0a11ec07cfbb3723a721ed059267db7103b6f43751e13e</t>
  </si>
  <si>
    <t>sources/codal/پارسان/v38_type19/T1451719.html</t>
  </si>
  <si>
    <t>T19_1515744</t>
  </si>
  <si>
    <t>1405/02/08 15:08</t>
  </si>
  <si>
    <t>https://www.codal.ir/Reports/Decision.aspx?LetterSerial=ZsQQQaQQQ7NKJBxEPKajHG8hBbng%3d%3d&amp;rt=2&amp;let=19&amp;ct=0&amp;ft=-1</t>
  </si>
  <si>
    <t>ff46039bc3361d4b85b4bd974b015d870b0fc9cff2d9ab8b16146da6d5dc5bb2</t>
  </si>
  <si>
    <t>sources/codal/پارسان/v38_type19/T1515744.html</t>
  </si>
  <si>
    <t>T19_1515813</t>
  </si>
  <si>
    <t>1405/02/08 15:49</t>
  </si>
  <si>
    <t>https://www.codal.ir/Reports/Decision.aspx?LetterSerial=JkOpvbSCefwHFf65Sx4P0Q%3d%3d&amp;rt=2&amp;let=19&amp;ct=0&amp;ft=-1</t>
  </si>
  <si>
    <t>d928e32184888bdeebacfc845b5546f5e682813594f3fdd77f8cb1c6eefd30e9</t>
  </si>
  <si>
    <t>sources/codal/پارسان/v38_type19/T1515813.html</t>
  </si>
  <si>
    <t>T19_1551463</t>
  </si>
  <si>
    <t>1405/03/26 18:34</t>
  </si>
  <si>
    <t>https://www.codal.ir/Reports/Decision.aspx?LetterSerial=QESigfwj5vCKnxHP4NdMYg%3d%3d&amp;rt=2&amp;let=19&amp;ct=0&amp;ft=-1</t>
  </si>
  <si>
    <t>4ef4642a66f2f27c2b09ff42fa91e706f657ffa7bcb55356d28c66692bbef0ff</t>
  </si>
  <si>
    <t>sources/codal/پارسان/v38_type19/T1551463.html</t>
  </si>
  <si>
    <t>T19_866776</t>
  </si>
  <si>
    <t>1401/01/17 10:35</t>
  </si>
  <si>
    <t>https://www.codal.ir/Reports/Decision.aspx?LetterSerial=uCG7pR86QGk%2BPza0WzziBw%3D%3D&amp;rt=5&amp;let=19&amp;ct=0&amp;ft=-1</t>
  </si>
  <si>
    <t>212891cf29a8d685db7a7abfaa9676651a246e438a28230c55468f2de19a258d</t>
  </si>
  <si>
    <t>sources/codal/اخابر/v38_type19/T866776.html</t>
  </si>
  <si>
    <t>T19_968715</t>
  </si>
  <si>
    <t>1402/01/19 12:38</t>
  </si>
  <si>
    <t>https://www.codal.ir/Reports/Decision.aspx?LetterSerial=nv1xquYiEteJUolkJgC72w%3d%3d&amp;rt=5&amp;let=19&amp;ct=0&amp;ft=-1</t>
  </si>
  <si>
    <t>30da08be856b0bda779dad8d79277cc6af7db518b0c50ea48b5aa10ec4a0e956</t>
  </si>
  <si>
    <t>sources/codal/اخابر/v38_type19/T968715.html</t>
  </si>
  <si>
    <t>T19_1011041</t>
  </si>
  <si>
    <t>1402/01/20 09:17</t>
  </si>
  <si>
    <t>https://www.codal.ir/Reports/Decision.aspx?LetterSerial=q4eIvxoYo93p4yQQQaQQQKD%2bKuQQQaQQQA%3d%3d&amp;rt=5&amp;let=19&amp;ct=0&amp;ft=-1</t>
  </si>
  <si>
    <t>f4a8e1ff3cff53fb2602ce3af7bbc17de06b60e95c4b54b9690b0d43c57303d7</t>
  </si>
  <si>
    <t>sources/codal/اخابر/v38_type19/T1011041.html</t>
  </si>
  <si>
    <t>T19_1044308</t>
  </si>
  <si>
    <t>1402/04/03 18:01</t>
  </si>
  <si>
    <t>https://www.codal.ir/Reports/Decision.aspx?LetterSerial=0qfm1V1bD3KGK9XrK3pUPg%3d%3d&amp;rt=5&amp;let=19&amp;ct=0&amp;ft=-1</t>
  </si>
  <si>
    <t>158cfca4cf39082951dc4feead590560256b35352625c7e0578bfb0d164b9e0f</t>
  </si>
  <si>
    <t>sources/codal/اخابر/v38_type19/T1044308.html</t>
  </si>
  <si>
    <t>T19_1051329</t>
  </si>
  <si>
    <t>1402/04/14 12:28</t>
  </si>
  <si>
    <t>https://www.codal.ir/Reports/Decision.aspx?LetterSerial=7O47Nnr5yay66TU29PEqOA%3d%3d&amp;rt=5&amp;let=19&amp;ct=0&amp;ft=-1</t>
  </si>
  <si>
    <t>d7bdde6953d08dae554a610908d2c864e4bbd2b09ab6a27e6252e39d0dc990fa</t>
  </si>
  <si>
    <t>sources/codal/اخابر/v38_type19/T1051329.html</t>
  </si>
  <si>
    <t>T19_1052068</t>
  </si>
  <si>
    <t>1402/04/15 17:25</t>
  </si>
  <si>
    <t>https://www.codal.ir/Reports/Decision.aspx?LetterSerial=Pt3woLhnE0DKjWB5giJB0w%3d%3d&amp;rt=5&amp;let=19&amp;ct=0&amp;ft=-1</t>
  </si>
  <si>
    <t>3e5b373f6f76d61de40b268d6f3ff60238532be6cf7d9ce255f7f22051515b0e</t>
  </si>
  <si>
    <t>sources/codal/اخابر/v38_type19/T1052068.html</t>
  </si>
  <si>
    <t>T19_1261800</t>
  </si>
  <si>
    <t>1403/08/06 10:55</t>
  </si>
  <si>
    <t>https://www.codal.ir/Reports/Decision.aspx?LetterSerial=ujGa6aIIvCRVkAl71X3OOObOOOeg%3d%3d&amp;rt=5&amp;let=19&amp;ct=0&amp;ft=-1</t>
  </si>
  <si>
    <t>9d7c708f0544e874398cf14062fd8d5d88fdc8e001301e4f9e9d746d331b1695</t>
  </si>
  <si>
    <t>sources/codal/اخابر/v38_type19/T1261800.html</t>
  </si>
  <si>
    <t>T19_1266583</t>
  </si>
  <si>
    <t>1403/08/15 19:29</t>
  </si>
  <si>
    <t>https://www.codal.ir/Reports/Decision.aspx?LetterSerial=DChbP0284SDzUHTP7siUEA%3d%3d&amp;rt=5&amp;let=19&amp;ct=0&amp;ft=-1</t>
  </si>
  <si>
    <t>6faa268d7f6f73fa1571ba9acc9107f49b10b9ed809bd8c31532781cc6f31bcc</t>
  </si>
  <si>
    <t>sources/codal/اخابر/v38_type19/T1266583.html</t>
  </si>
  <si>
    <t>T19_1286343</t>
  </si>
  <si>
    <t>1403/10/02 17:15</t>
  </si>
  <si>
    <t>https://www.codal.ir/Reports/Decision.aspx?LetterSerial=SRkC9lGCpeB41OA99IWMKQ%3d%3d&amp;rt=5&amp;let=19&amp;ct=0&amp;ft=-1</t>
  </si>
  <si>
    <t>6bd301aaa6b2bdb654ca7ce3cf0bac2c48f172efd46163619483f51ea898e508</t>
  </si>
  <si>
    <t>sources/codal/اخابر/v38_type19/T1286343.html</t>
  </si>
  <si>
    <t>T19_1405147</t>
  </si>
  <si>
    <t>1404/06/23 12:31</t>
  </si>
  <si>
    <t>a58e4fd21d7e57383a9c8c98882f9bed5ccc535cc81ca7178de10802782865af</t>
  </si>
  <si>
    <t>sources/codal/اخابر/v38_type19/T1405147.html</t>
  </si>
  <si>
    <t>T19_1418346</t>
  </si>
  <si>
    <t>1404/07/22 17:39</t>
  </si>
  <si>
    <t>https://www.codal.ir/Reports/Decision.aspx?LetterSerial=JQ9AnXgyHlxVlK43XAngQQQaQQQw%3d%3d&amp;rt=5&amp;let=19&amp;ct=0&amp;ft=-1</t>
  </si>
  <si>
    <t>545e912aa925c8ee70a0dbfb6aa11ffb9760494a30bbc9ba4c99638e1e7d84ab</t>
  </si>
  <si>
    <t>sources/codal/اخابر/v38_type19/T1418346.html</t>
  </si>
  <si>
    <t>T19_1432680</t>
  </si>
  <si>
    <t>1404/08/14 14:18</t>
  </si>
  <si>
    <t>667d4e1e6602c9125e6630f92377eaf7f5c7ceec7b44e9d3cdd744358527bf2a</t>
  </si>
  <si>
    <t>sources/codal/اخابر/v38_type19/T1432680.html</t>
  </si>
  <si>
    <t>T19_866035</t>
  </si>
  <si>
    <t>1401/01/10 18:58</t>
  </si>
  <si>
    <t>https://www.codal.ir/Reports/Decision.aspx?LetterSerial=QQQaQQQwecAuYp6rFNmk7nTAZQQQaQQQLw%3D%3D&amp;rt=0&amp;let=19&amp;ct=0&amp;ft=-1</t>
  </si>
  <si>
    <t>d1a7ad6b25d3aa92dd528e1199c8841e294869f8373ba6be5c739dc76b06ff74</t>
  </si>
  <si>
    <t>sources/codal/جم/v38_type19/T866035.html</t>
  </si>
  <si>
    <t>T19_904251</t>
  </si>
  <si>
    <t>1401/04/08 13:03</t>
  </si>
  <si>
    <t>https://www.codal.ir/Reports/Decision.aspx?LetterSerial=wBoscN6JX42lVB5PEmQOag%3d%3d&amp;rt=0&amp;let=19&amp;ct=0&amp;ft=-1</t>
  </si>
  <si>
    <t>472ea9a0565608f630149d219be7ec6f668684b58cbbc4f52cdefb8fa8bb3461</t>
  </si>
  <si>
    <t>sources/codal/جم/v38_type19/T904251.html</t>
  </si>
  <si>
    <t>T19_937186</t>
  </si>
  <si>
    <t>1401/06/21 11:39</t>
  </si>
  <si>
    <t>https://www.codal.ir/Reports/Decision.aspx?LetterSerial=jfMgBstaHwHrE4XIEMjtQA%3d%3d&amp;rt=0&amp;let=19&amp;ct=0&amp;ft=-1</t>
  </si>
  <si>
    <t>b91974171456e258d6c8e8c2727e4454b1db4de5ca849f7806ac5cbce8588081</t>
  </si>
  <si>
    <t>sources/codal/جم/v38_type19/T937186.html</t>
  </si>
  <si>
    <t>T19_1000543</t>
  </si>
  <si>
    <t>1401/12/15 12:29</t>
  </si>
  <si>
    <t>https://www.codal.ir/Reports/Decision.aspx?LetterSerial=BVPjhsUQQQaQQQmDwFn6BMsydnbw%3d%3d&amp;rt=0&amp;let=19&amp;ct=0&amp;ft=-1</t>
  </si>
  <si>
    <t>a58420c4fc2db40a967a76f8a23768308ae47c9d53fa80b0e06abe0f4e7183d6</t>
  </si>
  <si>
    <t>sources/codal/جم/v38_type19/T1000543.html</t>
  </si>
  <si>
    <t>T19_1083618</t>
  </si>
  <si>
    <t>1402/07/03 11:20</t>
  </si>
  <si>
    <t>https://www.codal.ir/Reports/Decision.aspx?LetterSerial=BywFRk%2bVmOyfbAbGlVOzow%3d%3d&amp;rt=0&amp;let=19&amp;ct=0&amp;ft=-1</t>
  </si>
  <si>
    <t>1418b3bbd9d0e9c1aba0f977f156bc1f84e93b58408eb30a25ba168a8208d0d6</t>
  </si>
  <si>
    <t>sources/codal/جم/v38_type19/T1083618.html</t>
  </si>
  <si>
    <t>T19_1103264</t>
  </si>
  <si>
    <t>1402/08/17 14:46</t>
  </si>
  <si>
    <t>https://www.codal.ir/Reports/Decision.aspx?LetterSerial=%2bSVPuGQIFtXn%2bFnGBEF7mg%3d%3d&amp;rt=0&amp;let=19&amp;ct=0&amp;ft=-1</t>
  </si>
  <si>
    <t>b05ada3ef9db508203dded7cd5dd1b33c14739097b49946e380cb0cc62d00c91</t>
  </si>
  <si>
    <t>sources/codal/جم/v38_type19/T1103264.html</t>
  </si>
  <si>
    <t>T19_1103307</t>
  </si>
  <si>
    <t>1402/08/17 15:04</t>
  </si>
  <si>
    <t>https://www.codal.ir/Reports/Decision.aspx?LetterSerial=QYOVdzTfmj02j3R4V71xfw%3d%3d&amp;rt=0&amp;let=19&amp;ct=0&amp;ft=-1</t>
  </si>
  <si>
    <t>708a2bf9721749b726050a48a5cf914d0e9224ef068387dafae6e116aef9da06</t>
  </si>
  <si>
    <t>sources/codal/جم/v38_type19/T1103307.html</t>
  </si>
  <si>
    <t>T19_1140272</t>
  </si>
  <si>
    <t>1402/10/24 12:05</t>
  </si>
  <si>
    <t>https://www.codal.ir/Reports/Decision.aspx?LetterSerial=j5SxwOHbIXL4A05XR3rRow%3d%3d&amp;rt=0&amp;let=19&amp;ct=0&amp;ft=-1</t>
  </si>
  <si>
    <t>4cd8f07976cb01f00f6056b3a1727f9ea18738213aef980b0db1e4317b4b85cc</t>
  </si>
  <si>
    <t>sources/codal/جم/v38_type19/T1140272.html</t>
  </si>
  <si>
    <t>T19_1151060</t>
  </si>
  <si>
    <t>1402/11/16 15:52</t>
  </si>
  <si>
    <t>32693081dd79442ec16197ba50675286e13c319809ab01852849e9d18d11fbf0</t>
  </si>
  <si>
    <t>sources/codal/جم/v38_type19/T1151060.html</t>
  </si>
  <si>
    <t>T19_1171265</t>
  </si>
  <si>
    <t>1402/12/28 15:00</t>
  </si>
  <si>
    <t>507537ac1b92d9d67091ff68af1f13359e1162a9d141974db27fbf69618bf863</t>
  </si>
  <si>
    <t>sources/codal/جم/v38_type19/T1171265.html</t>
  </si>
  <si>
    <t>T19_1398534</t>
  </si>
  <si>
    <t>1404/06/05 17:45</t>
  </si>
  <si>
    <t>ba284b4d8c2b8d47198022851357a9a5007efc2910fb3055c9d62460f344d789</t>
  </si>
  <si>
    <t>sources/codal/جم/v38_type19/T1398534.html</t>
  </si>
  <si>
    <t>T19_1399215</t>
  </si>
  <si>
    <t>1404/06/08 11:40</t>
  </si>
  <si>
    <t>https://www.codal.ir/Reports/Decision.aspx?LetterSerial=JuXheakfAUNbArDkIAq59w%3d%3d&amp;rt=0&amp;let=19&amp;ct=0&amp;ft=-1</t>
  </si>
  <si>
    <t>9e8e6a827c9838a17641c1a693287c321b375e3f50efb9d3622492dc9ce10e8c</t>
  </si>
  <si>
    <t>sources/codal/جم/v38_type19/T1399215.html</t>
  </si>
  <si>
    <t>T19_1407198</t>
  </si>
  <si>
    <t>1404/06/29 14:50</t>
  </si>
  <si>
    <t>af838ab8e6448858723531c90acbf823dada7504f9a1f5d0df980f4fb4b03ca5</t>
  </si>
  <si>
    <t>sources/codal/جم/v38_type19/T1407198.html</t>
  </si>
  <si>
    <t>T19_1527389</t>
  </si>
  <si>
    <t>1405/02/29 10:18</t>
  </si>
  <si>
    <t>90c0962ce8680c8714c00223e4870a4e56e20125f3b721b3616e48234c299ea4</t>
  </si>
  <si>
    <t>sources/codal/جم/v38_type19/T1527389.html</t>
  </si>
  <si>
    <t>T19_1557936</t>
  </si>
  <si>
    <t>1405/04/07 14:58</t>
  </si>
  <si>
    <t>https://www.codal.ir/Reports/Decision.aspx?LetterSerial=QQQaQQQWCUm2M5CmxUrMMEL8WDbw%3d%3d&amp;rt=0&amp;let=19&amp;ct=0&amp;ft=-1</t>
  </si>
  <si>
    <t>9919c0a8958767b08d8ddd0bf3919f6389c7190cce28bb6bd200d445dfe114ac</t>
  </si>
  <si>
    <t>sources/codal/جم/v38_type19/T1557936.html</t>
  </si>
  <si>
    <t>T19_1605684</t>
  </si>
  <si>
    <t>1405/07/07 11:30</t>
  </si>
  <si>
    <t>https://www.codal.ir/Reports/Decision.aspx?LetterSerial=SaKM6Mdx6kOLXsfgkfl8EA%3d%3d&amp;rt=0&amp;let=19&amp;ct=0&amp;ft=-1</t>
  </si>
  <si>
    <t>25a830835d1000f973901c0e00941fdef4d1fe084267d0cdcd3a6adf69adc79a</t>
  </si>
  <si>
    <t>sources/codal/جم/v38_type19/T1605684.html</t>
  </si>
  <si>
    <t>T19_947347</t>
  </si>
  <si>
    <t>1401/07/27 12:11</t>
  </si>
  <si>
    <t>https://www.codal.ir/Reports/Decision.aspx?LetterSerial=Svpyapp7T8fHj43RnDozPg%3d%3d&amp;rt=2&amp;let=19&amp;ct=0&amp;ft=-1</t>
  </si>
  <si>
    <t>32d3961b7dd684647f99dee1c1928990a843c7a757f3c0533c9bed8a2dc02379</t>
  </si>
  <si>
    <t>sources/codal/ومعادن/v38_type19/T947347.html</t>
  </si>
  <si>
    <t>T19_1036301</t>
  </si>
  <si>
    <t>1402/03/17 13:17</t>
  </si>
  <si>
    <t>https://www.codal.ir/Reports/Decision.aspx?LetterSerial=ToAUWoqETiq8oH92Npkszw%3d%3d&amp;rt=2&amp;let=19&amp;ct=0&amp;ft=-1</t>
  </si>
  <si>
    <t>5e1e282348577bd601e6d32869875d7b44502fc8b20a7923657ae04ea6a83bdf</t>
  </si>
  <si>
    <t>sources/codal/ومعادن/v38_type19/T1036301.html</t>
  </si>
  <si>
    <t>T19_1083942</t>
  </si>
  <si>
    <t>1402/07/10 14:20</t>
  </si>
  <si>
    <t>https://www.codal.ir/Reports/Decision.aspx?LetterSerial=5JHei4IcwdcJQQQaQQQCPPOdyYBA%3d%3d&amp;rt=2&amp;let=19&amp;ct=0&amp;ft=-1</t>
  </si>
  <si>
    <t>e65a58198124467c5e5805e1a9fb43bba50a398675eeabb93604d1f7dc54ee3b</t>
  </si>
  <si>
    <t>sources/codal/ومعادن/v38_type19/T1083942.html</t>
  </si>
  <si>
    <t>T19_1149141</t>
  </si>
  <si>
    <t>1402/11/10 13:10</t>
  </si>
  <si>
    <t>https://www.codal.ir/Reports/Decision.aspx?LetterSerial=lirJblbUwjK2PBVyn5oKNQ%3d%3d&amp;rt=2&amp;let=19&amp;ct=0&amp;ft=-1</t>
  </si>
  <si>
    <t>91afe6fd0f0e77d0d8ca9884acfe787c4010536768d55bb09a14f1d5a9a652a0</t>
  </si>
  <si>
    <t>sources/codal/ومعادن/v38_type19/T1149141.html</t>
  </si>
  <si>
    <t>T19_1291765</t>
  </si>
  <si>
    <t>1403/10/15 12:27</t>
  </si>
  <si>
    <t>https://www.codal.ir/Reports/Decision.aspx?LetterSerial=AWMBMTO6URMxzFl0NF2rSw%3d%3d&amp;rt=2&amp;let=19&amp;ct=0&amp;ft=-1</t>
  </si>
  <si>
    <t>2a3278fa0c47b11f9965b0ae7fd66ee9c7436cddb78e64573f25d53a8624dbb6</t>
  </si>
  <si>
    <t>sources/codal/ومعادن/v38_type19/T1291765.html</t>
  </si>
  <si>
    <t>T19_1301784</t>
  </si>
  <si>
    <t>1403/11/08 12:55</t>
  </si>
  <si>
    <t>https://www.codal.ir/Reports/Decision.aspx?LetterSerial=Cgh7KP5gvgdPqph9xxeDsw%3d%3d&amp;rt=2&amp;let=19&amp;ct=0&amp;ft=-1</t>
  </si>
  <si>
    <t>d97876a1987606d85717fc6324d733de17f4957aaf03c80a7703595ba670d006</t>
  </si>
  <si>
    <t>sources/codal/ومعادن/v38_type19/T1301784.html</t>
  </si>
  <si>
    <t>T19_1316138</t>
  </si>
  <si>
    <t>1403/12/13 08:29</t>
  </si>
  <si>
    <t>https://www.codal.ir/Reports/Decision.aspx?LetterSerial=r3EGqTwQb2zJG8c0ztUVSg%3d%3d&amp;rt=2&amp;let=19&amp;ct=0&amp;ft=-1</t>
  </si>
  <si>
    <t>6231744e4c76b6886a630b761c4b11307b30eb1dab9a648a3aa1f52ef235c1b9</t>
  </si>
  <si>
    <t>sources/codal/ومعادن/v38_type19/T1316138.html</t>
  </si>
  <si>
    <t>T19_1395323</t>
  </si>
  <si>
    <t>1404/05/29 14:54</t>
  </si>
  <si>
    <t>d4ed36d8b05f0f134ac1c1798dfa7ac71fa7a68b9be66b84ecf62f692629823e</t>
  </si>
  <si>
    <t>sources/codal/ومعادن/v38_type19/T1395323.html</t>
  </si>
  <si>
    <t>T19_1426875</t>
  </si>
  <si>
    <t>1404/08/05 12:13</t>
  </si>
  <si>
    <t>f4eaba61e1d192d16ccafbf21fd1bc7cca23837f3da295198273c9582b383b54</t>
  </si>
  <si>
    <t>sources/codal/ومعادن/v38_type19/T1426875.html</t>
  </si>
  <si>
    <t>T19_901650</t>
  </si>
  <si>
    <t>1401/04/04 18:07</t>
  </si>
  <si>
    <t>https://www.codal.ir/Reports/Decision.aspx?LetterSerial=35fJuzyL%2bdC3wSvQQQaQQQOQtADQ%3d%3d&amp;rt=2&amp;let=19&amp;ct=0&amp;ft=-1</t>
  </si>
  <si>
    <t>df3a0d3a9298fda3b11675c7c46b7bfdb508a076dc010be6b487d87d8a23f15f</t>
  </si>
  <si>
    <t>sources/codal/وامید/v38_type19/T901650.html</t>
  </si>
  <si>
    <t>T19_912277</t>
  </si>
  <si>
    <t>1401/04/22 17:31</t>
  </si>
  <si>
    <t>https://www.codal.ir/Reports/Decision.aspx?LetterSerial=mBxSIpr7H06FitAko4Vurw%3d%3d&amp;rt=2&amp;let=19&amp;ct=0&amp;ft=-1</t>
  </si>
  <si>
    <t>c31e13b53ca1b1f9eba186ff61feba1bca9e441ce0b603c6df6cdc6d6fe51d77</t>
  </si>
  <si>
    <t>sources/codal/وامید/v38_type19/T912277.html</t>
  </si>
  <si>
    <t>T19_917600</t>
  </si>
  <si>
    <t>1401/05/02 15:00</t>
  </si>
  <si>
    <t>https://www.codal.ir/Reports/Decision.aspx?LetterSerial=gsILkSdTnUaQGVw57C4rQQQaQQQQ%3d%3d&amp;rt=2&amp;let=19&amp;ct=0&amp;ft=-1</t>
  </si>
  <si>
    <t>e9bab68b66e54687a3398fefef99aafeb9608efc6ecffcca1f8ec6de5f2d7c63</t>
  </si>
  <si>
    <t>sources/codal/وامید/v38_type19/T917600.html</t>
  </si>
  <si>
    <t>T19_954323</t>
  </si>
  <si>
    <t>1401/08/23 18:20</t>
  </si>
  <si>
    <t>https://www.codal.ir/Reports/Decision.aspx?LetterSerial=xuWZmGVYZZDEDiRWiqDijw%3d%3d&amp;rt=2&amp;let=19&amp;ct=0&amp;ft=-1</t>
  </si>
  <si>
    <t>9ad924f343dd64f54f7458bf8b17585edab1db38ebed60c2dd0b3cd4ca16ad61</t>
  </si>
  <si>
    <t>sources/codal/وامید/v38_type19/T954323.html</t>
  </si>
  <si>
    <t>T19_991910</t>
  </si>
  <si>
    <t>1401/11/19 08:36</t>
  </si>
  <si>
    <t>https://www.codal.ir/Reports/Decision.aspx?LetterSerial=cVUbvb7Pbu6tcqQaH7TQQQaQQQQA%3d%3d&amp;rt=2&amp;let=19&amp;ct=0&amp;ft=-1</t>
  </si>
  <si>
    <t>571da96f4099e8b69510ed88d46ff4b72ed4822b53309640f86c3b8e36ca4ea8</t>
  </si>
  <si>
    <t>sources/codal/وامید/v38_type19/T991910.html</t>
  </si>
  <si>
    <t>T19_991948</t>
  </si>
  <si>
    <t>1401/11/19 09:36</t>
  </si>
  <si>
    <t>https://www.codal.ir/Reports/Decision.aspx?LetterSerial=8pU6keP6zQQQaQQQ4j2oDYe5odnA%3d%3d&amp;rt=2&amp;let=19&amp;ct=0&amp;ft=-1</t>
  </si>
  <si>
    <t>70e327feeeae1afc541232750f6b095af85ef16d71af6cb9c796c6f2e6934673</t>
  </si>
  <si>
    <t>sources/codal/وامید/v38_type19/T991948.html</t>
  </si>
  <si>
    <t>T19_992048</t>
  </si>
  <si>
    <t>1401/11/23 13:51</t>
  </si>
  <si>
    <t>https://www.codal.ir/Reports/Decision.aspx?LetterSerial=QUg0MuGYgbHQQQaQQQFzL5D7v4yQ%3d%3d&amp;rt=2&amp;let=19&amp;ct=0&amp;ft=-1</t>
  </si>
  <si>
    <t>c72ff9e1c6e9d0950531b899411777b8b0047cfd9d92edc562f9994df9da0ca2</t>
  </si>
  <si>
    <t>sources/codal/وامید/v38_type19/T992048.html</t>
  </si>
  <si>
    <t>T19_998198</t>
  </si>
  <si>
    <t>1401/12/09 08:42</t>
  </si>
  <si>
    <t>https://www.codal.ir/Reports/Decision.aspx?LetterSerial=qP1KVxGUzX5sP9CLUn3xYA%3d%3d&amp;rt=2&amp;let=19&amp;ct=0&amp;ft=-1</t>
  </si>
  <si>
    <t>94c441535c409a68f9134df53b635f4e11397d0ab18c54b2d96c6ab9d2e2cb64</t>
  </si>
  <si>
    <t>sources/codal/وامید/v38_type19/T998198.html</t>
  </si>
  <si>
    <t>T19_1050125</t>
  </si>
  <si>
    <t>1402/04/12 14:21</t>
  </si>
  <si>
    <t>https://www.codal.ir/Reports/Decision.aspx?LetterSerial=BpwNsEpkIaaS4QICOdRyRg%3d%3d&amp;rt=2&amp;let=19&amp;ct=0&amp;ft=-1</t>
  </si>
  <si>
    <t>32503114b0f9f653ec8dd53eae1913ef9480867d72d30788c984e6e086edd740</t>
  </si>
  <si>
    <t>sources/codal/وامید/v38_type19/T1050125.html</t>
  </si>
  <si>
    <t>T19_1088040</t>
  </si>
  <si>
    <t>1402/07/10 15:06</t>
  </si>
  <si>
    <t>https://www.codal.ir/Reports/Decision.aspx?LetterSerial=CNJQQQaQQQXtmDr6WaGfuOACGUHw%3d%3d&amp;rt=2&amp;let=19&amp;ct=0&amp;ft=-1</t>
  </si>
  <si>
    <t>f185f5690718d6ccac12352b0030e2dc915e122b2cc6b64b68726fe88bbeb389</t>
  </si>
  <si>
    <t>sources/codal/وامید/v38_type19/T1088040.html</t>
  </si>
  <si>
    <t>T19_1089074</t>
  </si>
  <si>
    <t>1402/07/12 11:01</t>
  </si>
  <si>
    <t>https://www.codal.ir/Reports/Decision.aspx?LetterSerial=LD1NgC0102xcLHUuIzBJ7Q%3d%3d&amp;rt=2&amp;let=19&amp;ct=0&amp;ft=-1</t>
  </si>
  <si>
    <t>f9662f197bcbc02e0ff65bf1f6d974d6cda02869bdfd161cfcecaf79a2e95fea</t>
  </si>
  <si>
    <t>sources/codal/وامید/v38_type19/T1089074.html</t>
  </si>
  <si>
    <t>T19_1119176</t>
  </si>
  <si>
    <t>1402/09/19 08:48</t>
  </si>
  <si>
    <t>https://www.codal.ir/Reports/Decision.aspx?LetterSerial=FHwYDXwJLf4lcyKjve2%2b3w%3d%3d&amp;rt=2&amp;let=19&amp;ct=0&amp;ft=-1</t>
  </si>
  <si>
    <t>226a7935bd08055b268ff90b0b72e3bc954cf1a74de3e667a1033157c09ffcd2</t>
  </si>
  <si>
    <t>sources/codal/وامید/v38_type19/T1119176.html</t>
  </si>
  <si>
    <t>T19_1183110</t>
  </si>
  <si>
    <t>1403/02/08 16:59</t>
  </si>
  <si>
    <t>https://www.codal.ir/Reports/Decision.aspx?LetterSerial=mp%2bOEURHp8EKP5M3duwehg%3d%3d&amp;rt=2&amp;let=19&amp;ct=0&amp;ft=-1</t>
  </si>
  <si>
    <t>8677e9a90d4742f90ffd4bc722f68cc134db59f3176cb78f73d8f68ecf5fe7fd</t>
  </si>
  <si>
    <t>sources/codal/وامید/v38_type19/T1183110.html</t>
  </si>
  <si>
    <t>T19_1256347</t>
  </si>
  <si>
    <t>1403/07/23 13:21</t>
  </si>
  <si>
    <t>https://www.codal.ir/Reports/Decision.aspx?LetterSerial=xR8trhK0PDqo0GJ08QB6MQ%3d%3d&amp;rt=2&amp;let=19&amp;ct=0&amp;ft=-1</t>
  </si>
  <si>
    <t>b9c0ed7541341af96171ec2b81d831ce38126e5351f7a322337d82ce58db0b8e</t>
  </si>
  <si>
    <t>sources/codal/وامید/v38_type19/T1256347.html</t>
  </si>
  <si>
    <t>T19_1276460</t>
  </si>
  <si>
    <t>1403/09/06 16:22</t>
  </si>
  <si>
    <t>https://www.codal.ir/Reports/Decision.aspx?LetterSerial=WNRwc4sVdbNcxYNwy8D0Rw%3d%3d&amp;rt=2&amp;let=19&amp;ct=0&amp;ft=-1</t>
  </si>
  <si>
    <t>d1e182c97d6f64f0f5ad98a5ea0cf9616f82991a0fb5c9d21a2993b43e5bad6b</t>
  </si>
  <si>
    <t>sources/codal/وامید/v38_type19/T1276460.html</t>
  </si>
  <si>
    <t>T19_1300282</t>
  </si>
  <si>
    <t>1403/11/03 14:58</t>
  </si>
  <si>
    <t>https://www.codal.ir/Reports/Decision.aspx?LetterSerial=OOObOOOivAgwoyM94sPKprUPo4uQ%3d%3d&amp;rt=2&amp;let=19&amp;ct=0&amp;ft=-1</t>
  </si>
  <si>
    <t>2cfeb34441f0c894e9bf4a2328090eb22a9944eefa1fd937ec3af47dea04e3da</t>
  </si>
  <si>
    <t>sources/codal/وامید/v38_type19/T1300282.html</t>
  </si>
  <si>
    <t>T19_1300475</t>
  </si>
  <si>
    <t>1403/11/03 17:27</t>
  </si>
  <si>
    <t>https://www.codal.ir/Reports/Decision.aspx?LetterSerial=bWZQv3QQQaQQQ7D1RaT00eco9vJw%3d%3d&amp;rt=2&amp;let=19&amp;ct=0&amp;ft=-1</t>
  </si>
  <si>
    <t>9aec241ca6b7e0f09e34245e5e4c349aa308a9c308c5ce5371181624977bd1e1</t>
  </si>
  <si>
    <t>sources/codal/وامید/v38_type19/T1300475.html</t>
  </si>
  <si>
    <t>T19_1401455</t>
  </si>
  <si>
    <t>1404/06/12 17:38</t>
  </si>
  <si>
    <t>3db1c28535af79a953ab4d022c216eaf6a14d0780298ad332b9d62d366316b4d</t>
  </si>
  <si>
    <t>sources/codal/وامید/v38_type19/T1401455.html</t>
  </si>
  <si>
    <t>T19_1401521</t>
  </si>
  <si>
    <t>1404/06/12 19:39</t>
  </si>
  <si>
    <t>2827ea3440531c8e6be45440d99459a784466987f476e4ea501aed2be319cdcc</t>
  </si>
  <si>
    <t>sources/codal/وامید/v38_type19/T1401521.html</t>
  </si>
  <si>
    <t>T19_1565558</t>
  </si>
  <si>
    <t>1405/04/22 13:06</t>
  </si>
  <si>
    <t>https://www.codal.ir/Reports/Decision.aspx?LetterSerial=Y9Yfr6jpuMe5uT8NLfUyYQ%3d%3d&amp;rt=2&amp;let=19&amp;ct=0&amp;ft=-1</t>
  </si>
  <si>
    <t>c71f365daf778233cc91363480f61c49df79915b690a4825688812b5fc0eea20</t>
  </si>
  <si>
    <t>sources/codal/وامید/v38_type19/T1565558.html</t>
  </si>
  <si>
    <t>T19_1598222</t>
  </si>
  <si>
    <t>1405/06/21 16:12</t>
  </si>
  <si>
    <t>https://www.codal.ir/Reports/Decision.aspx?LetterSerial=iAEMYxSnMQJudLxX13PAAQ%3d%3d&amp;rt=2&amp;let=19&amp;ct=0&amp;ft=-1</t>
  </si>
  <si>
    <t>ed76915dca4b2025fee685322214d68fba94166802805d2172ea2f1f8416d846</t>
  </si>
  <si>
    <t>sources/codal/وامید/v38_type19/T1598222.html</t>
  </si>
  <si>
    <t>T19_1000535</t>
  </si>
  <si>
    <t>1401/12/15 16:53</t>
  </si>
  <si>
    <t>https://www.codal.ir/Reports/Decision.aspx?LetterSerial=Mh9XqHSZdi98MMXRlbm0Jw%3d%3d&amp;rt=0&amp;let=19&amp;ct=0&amp;ft=-1</t>
  </si>
  <si>
    <t>475a6a4e86cb2c0ebde2a598bf8618c5aed511c16048d9317b960b5ddc4674c2</t>
  </si>
  <si>
    <t>sources/codal/خساپا/v38_type19/T1000535.html</t>
  </si>
  <si>
    <t>T19_1068166</t>
  </si>
  <si>
    <t>1402/05/18 15:29</t>
  </si>
  <si>
    <t>https://www.codal.ir/Reports/Decision.aspx?LetterSerial=8OgDLp44NrL%2bhy2S6VwQQQaQQQDQ%3d%3d&amp;rt=0&amp;let=19&amp;ct=0&amp;ft=-1</t>
  </si>
  <si>
    <t>8f023caca6da00839f3e4a7796a4680bd965a51a900e4b6f49d62e31ec83a08d</t>
  </si>
  <si>
    <t>sources/codal/خساپا/v38_type19/T1068166.html</t>
  </si>
  <si>
    <t>T19_1076762</t>
  </si>
  <si>
    <t>1402/06/07 15:05</t>
  </si>
  <si>
    <t>https://www.codal.ir/Reports/Decision.aspx?LetterSerial=1Jom9A%2b0qPiLgMJfbuyndA%3d%3d&amp;rt=0&amp;let=19&amp;ct=0&amp;ft=-1</t>
  </si>
  <si>
    <t>ad745ade7d5c3c736ccb679504b351c278de070a4290c1ccd272d195ab726eab</t>
  </si>
  <si>
    <t>sources/codal/خساپا/v38_type19/T1076762.html</t>
  </si>
  <si>
    <t>T19_1163057</t>
  </si>
  <si>
    <t>1402/12/14 18:32</t>
  </si>
  <si>
    <t>https://www.codal.ir/Reports/Decision.aspx?LetterSerial=NLOdBfAQQQaQQQ4Nu0a29WcuLvlQ%3d%3d&amp;rt=0&amp;let=19&amp;ct=0&amp;ft=-1</t>
  </si>
  <si>
    <t>8ad310610748dd4c302f7a24af7dc7adc1ec06599091d125492c2a4e353add0b</t>
  </si>
  <si>
    <t>sources/codal/خساپا/v38_type19/T1163057.html</t>
  </si>
  <si>
    <t>T19_1166937</t>
  </si>
  <si>
    <t>1402/12/20 08:00</t>
  </si>
  <si>
    <t>https://www.codal.ir/Reports/Decision.aspx?LetterSerial=uj4bc6CZiQzRm%2btSsZNWjw%3d%3d&amp;rt=0&amp;let=19&amp;ct=0&amp;ft=-1</t>
  </si>
  <si>
    <t>c80cc32300b1f7cd66665762a453a5e802aaec54dd7c95ddf26f1004326ad78b</t>
  </si>
  <si>
    <t>sources/codal/خساپا/v38_type19/T1166937.html</t>
  </si>
  <si>
    <t>T19_1172039</t>
  </si>
  <si>
    <t>1403/01/06 11:33</t>
  </si>
  <si>
    <t>https://www.codal.ir/Reports/Decision.aspx?LetterSerial=xrtcZPPisMb6zcpnwbCO3Q%3d%3d&amp;rt=0&amp;let=19&amp;ct=0&amp;ft=-1</t>
  </si>
  <si>
    <t>1540baa35626af503323a0243e64f2b6fe80e75e6c352863e4d9e9bf24498172</t>
  </si>
  <si>
    <t>sources/codal/خساپا/v38_type19/T1172039.html</t>
  </si>
  <si>
    <t>T19_1177917</t>
  </si>
  <si>
    <t>1403/01/28 17:32</t>
  </si>
  <si>
    <t>https://www.codal.ir/Reports/Decision.aspx?LetterSerial=APHsAvPNRu51AZhIEusaOw%3d%3d&amp;rt=0&amp;let=19&amp;ct=0&amp;ft=-1</t>
  </si>
  <si>
    <t>e695e8a6d721ffee1db2a7b5149d3f954b84c487974123b81b26f360ce294c0a</t>
  </si>
  <si>
    <t>sources/codal/خساپا/v38_type19/T1177917.html</t>
  </si>
  <si>
    <t>T19_1180154</t>
  </si>
  <si>
    <t>1403/02/02 16:38</t>
  </si>
  <si>
    <t>https://www.codal.ir/Reports/Decision.aspx?LetterSerial=aAIhulRHr16YsZZ2D9pxQQQaQQQA%3d%3d&amp;rt=0&amp;let=19&amp;ct=0&amp;ft=-1</t>
  </si>
  <si>
    <t>69d28116245a6a0df615dbced8b64961c60341fde467572f8208036e943fc210</t>
  </si>
  <si>
    <t>sources/codal/خساپا/v38_type19/T1180154.html</t>
  </si>
  <si>
    <t>T19_1203739</t>
  </si>
  <si>
    <t>1403/03/26 16:58</t>
  </si>
  <si>
    <t>https://www.codal.ir/Reports/Decision.aspx?LetterSerial=zEauaRCwwZdxYRRaj0z6Kw%3d%3d&amp;rt=0&amp;let=19&amp;ct=0&amp;ft=-1</t>
  </si>
  <si>
    <t>bf6274f14ee3fbf8f162c3064892500e5bbce427eddd8a9ddb85041b4dcab221</t>
  </si>
  <si>
    <t>sources/codal/خساپا/v38_type19/T1203739.html</t>
  </si>
  <si>
    <t>T19_1255684</t>
  </si>
  <si>
    <t>1403/07/25 13:55</t>
  </si>
  <si>
    <t>https://www.codal.ir/Reports/Decision.aspx?LetterSerial=V684zW6GYpwQUcLgMsdKbw%3d%3d&amp;rt=0&amp;let=19&amp;ct=0&amp;ft=-1</t>
  </si>
  <si>
    <t>1be686eccc204b31fd573f0a93d4785f5280463e480e763f5f609eb63431c3f6</t>
  </si>
  <si>
    <t>sources/codal/خساپا/v38_type19/T1255684.html</t>
  </si>
  <si>
    <t>T19_1280611</t>
  </si>
  <si>
    <t>1403/09/14 17:00</t>
  </si>
  <si>
    <t>https://www.codal.ir/Reports/Decision.aspx?LetterSerial=zdiWdzLN3P0WX9KVaYLKWA%3d%3d&amp;rt=0&amp;let=19&amp;ct=0&amp;ft=-1</t>
  </si>
  <si>
    <t>e03a9cb7b3d2d8d6ceada4613ce75987c086121626f697c29150563f3e0d4160</t>
  </si>
  <si>
    <t>sources/codal/خساپا/v38_type19/T1280611.html</t>
  </si>
  <si>
    <t>T19_1283917</t>
  </si>
  <si>
    <t>1403/09/25 14:14</t>
  </si>
  <si>
    <t>https://www.codal.ir/Reports/Decision.aspx?LetterSerial=OOObOOO6zBkIL4BsoUzS6tkD5uEw%3d%3d&amp;rt=0&amp;let=19&amp;ct=0&amp;ft=-1</t>
  </si>
  <si>
    <t>8c364c8167f70d98497908382e2d66a72d8455b6113f012e9b9690cad56a7b17</t>
  </si>
  <si>
    <t>sources/codal/خساپا/v38_type19/T1283917.html</t>
  </si>
  <si>
    <t>T19_1295938</t>
  </si>
  <si>
    <t>1403/11/03 19:13</t>
  </si>
  <si>
    <t>538fc688caf84820002f02e236046d638bf0800bc3813d60054f96203f95cbed</t>
  </si>
  <si>
    <t>sources/codal/خساپا/v38_type19/T1295938.html</t>
  </si>
  <si>
    <t>T19_1336974</t>
  </si>
  <si>
    <t>1404/02/09 12:37</t>
  </si>
  <si>
    <t>9b68affa22416d9cfd388ec3b50a1b814c94eba98db7895ac9923b9d8fefea18</t>
  </si>
  <si>
    <t>sources/codal/خساپا/v38_type19/T1336974.html</t>
  </si>
  <si>
    <t>T19_1386511</t>
  </si>
  <si>
    <t>1404/05/15 13:10</t>
  </si>
  <si>
    <t>3e249a8fcd4fe1e7aebb012852e457881c3cc4fc9f0e6cabace257323add9520</t>
  </si>
  <si>
    <t>sources/codal/خساپا/v38_type19/T1386511.html</t>
  </si>
  <si>
    <t>T19_1593783</t>
  </si>
  <si>
    <t>1405/06/18 14:32</t>
  </si>
  <si>
    <t>https://www.codal.ir/Reports/Decision.aspx?LetterSerial=KPUrMlANYKd3zdvOOObOOOOOObOOOfxAsA%3d%3d&amp;rt=0&amp;let=19&amp;ct=0&amp;ft=-1</t>
  </si>
  <si>
    <t>9fd4b8eca6c37c686d1ca35839cac0efcb312fc1db2fe9f0403002238a6d492e</t>
  </si>
  <si>
    <t>sources/codal/خساپا/v38_type19/T1593783.html</t>
  </si>
  <si>
    <t>T19_1604365</t>
  </si>
  <si>
    <t>1405/07/05 16:04</t>
  </si>
  <si>
    <t>https://www.codal.ir/Reports/Decision.aspx?LetterSerial=HQQQaQQQKiSnY6uMzEE1Fl2EiuMg%3d%3d&amp;rt=0&amp;let=19&amp;ct=0&amp;ft=-1</t>
  </si>
  <si>
    <t>5607dbe825f191e8b34895bb15a93f8a90d093d7a1a0a7401f5efeff0c97d9f1</t>
  </si>
  <si>
    <t>sources/codal/خساپا/v38_type19/T1604365.html</t>
  </si>
  <si>
    <t>T19_865620</t>
  </si>
  <si>
    <t>1401/01/09 12:29</t>
  </si>
  <si>
    <t>https://www.codal.ir/Reports/Decision.aspx?LetterSerial=iVK0JchErgjLKYwisTHpkQ%3D%3D&amp;rt=5&amp;let=19&amp;ct=0&amp;ft=-1</t>
  </si>
  <si>
    <t>8eaa5fa9f6cd5dba2117b253adb53f2b61aa8da3cd9941398891232e96035027</t>
  </si>
  <si>
    <t>sources/codal/همراه/v38_type19/T865620.html</t>
  </si>
  <si>
    <t>T19_969162</t>
  </si>
  <si>
    <t>1401/09/16 15:07</t>
  </si>
  <si>
    <t>https://www.codal.ir/Reports/Decision.aspx?LetterSerial=LHNCT%2br0FgbQDF%2bY3UzEEQ%3d%3d&amp;rt=5&amp;let=19&amp;ct=0&amp;ft=-1</t>
  </si>
  <si>
    <t>fd957a4a89fc903c465c47bcba76f8175e72fc3709304c29d4fe17e0f2029ace</t>
  </si>
  <si>
    <t>sources/codal/همراه/v38_type19/T969162.html</t>
  </si>
  <si>
    <t>T19_1034256</t>
  </si>
  <si>
    <t>1402/03/10 12:37</t>
  </si>
  <si>
    <t>https://www.codal.ir/Reports/Decision.aspx?LetterSerial=pKs50fwlesMD31mD2V82fw%3d%3d&amp;rt=5&amp;let=19&amp;ct=0&amp;ft=-1</t>
  </si>
  <si>
    <t>9d497294e58c66df74081f16cad60aa00f5aedceddb140b4e78e4e984eb5dd17</t>
  </si>
  <si>
    <t>sources/codal/همراه/v38_type19/T1034256.html</t>
  </si>
  <si>
    <t>T19_1093266</t>
  </si>
  <si>
    <t>1402/07/25 10:58</t>
  </si>
  <si>
    <t>https://www.codal.ir/Reports/Decision.aspx?LetterSerial=jdCritzo2X2MVfYizOvUSw%3d%3d&amp;rt=5&amp;let=19&amp;ct=0&amp;ft=-1</t>
  </si>
  <si>
    <t>b33d3709bc1114b21c67cbe0e3cbcf9aae0101cafe4699a2015e182d1212b297</t>
  </si>
  <si>
    <t>sources/codal/همراه/v38_type19/T1093266.html</t>
  </si>
  <si>
    <t>T19_1217070</t>
  </si>
  <si>
    <t>1403/04/20 18:03</t>
  </si>
  <si>
    <t>https://www.codal.ir/Reports/Decision.aspx?LetterSerial=Lf0k96fMxkg9MtxaRW8ulQ%3d%3d&amp;rt=5&amp;let=19&amp;ct=0&amp;ft=-1</t>
  </si>
  <si>
    <t>b97f136693d6b51f0837173fea3692446b3874377bbb7a97c1e97d6c48e7d4d7</t>
  </si>
  <si>
    <t>sources/codal/همراه/v38_type19/T1217070.html</t>
  </si>
  <si>
    <t>T19_1219259</t>
  </si>
  <si>
    <t>1403/04/24 15:14</t>
  </si>
  <si>
    <t>https://www.codal.ir/Reports/Decision.aspx?LetterSerial=UAch3GjtiKhPGoqf80sa9Q%3d%3d&amp;rt=5&amp;let=19&amp;ct=0&amp;ft=-1</t>
  </si>
  <si>
    <t>ec600791b6c65af2e67d2c9da1d4f454683de797b2387f55d19211d47fd42e26</t>
  </si>
  <si>
    <t>sources/codal/همراه/v38_type19/T1219259.html</t>
  </si>
  <si>
    <t>T19_1233276</t>
  </si>
  <si>
    <t>1403/05/22 16:57</t>
  </si>
  <si>
    <t>https://www.codal.ir/Reports/Decision.aspx?LetterSerial=DNqueJXC7PYy20KkNnqBZA%3d%3d&amp;rt=5&amp;let=19&amp;ct=0&amp;ft=-1</t>
  </si>
  <si>
    <t>522efe9e1b1f315fba88dfff85657124b6a3e17ec8515f2e951e62c4a53fe167</t>
  </si>
  <si>
    <t>sources/codal/همراه/v38_type19/T1233276.html</t>
  </si>
  <si>
    <t>T19_1352932</t>
  </si>
  <si>
    <t>1404/03/21 13:07</t>
  </si>
  <si>
    <t>1f0f840ede9f0887a025bae058db5687fc4cbfc66558352836b037fca63c245a</t>
  </si>
  <si>
    <t>sources/codal/همراه/v38_type19/T1352932.html</t>
  </si>
  <si>
    <t>T19_1539929</t>
  </si>
  <si>
    <t>1405/03/16 15:42</t>
  </si>
  <si>
    <t>https://www.codal.ir/Reports/Decision.aspx?LetterSerial=4l4w2OOObOOOc74o70doatQcmagw%3d%3d&amp;rt=5&amp;let=19&amp;ct=0&amp;ft=-1</t>
  </si>
  <si>
    <t>9d0cdae48b6eabc9f2718385ae49ac7a64de1e05dd32206dfd3a4fc646780962</t>
  </si>
  <si>
    <t>sources/codal/همراه/v38_type19/T1539929.html</t>
  </si>
  <si>
    <t>T19_1580907</t>
  </si>
  <si>
    <t>1405/05/12 14:39</t>
  </si>
  <si>
    <t>https://www.codal.ir/Reports/Decision.aspx?LetterSerial=Nv7qNcR9ywZB2QQQaQQQj5b9ahJA%3d%3d&amp;rt=5&amp;let=19&amp;ct=0&amp;ft=-1</t>
  </si>
  <si>
    <t>cd331ce82d1a21657592ffe74060288978ee6ae64432ce92b7c56095a48d8581</t>
  </si>
  <si>
    <t>sources/codal/همراه/v38_type19/T1580907.html</t>
  </si>
  <si>
    <t>T19_861168</t>
  </si>
  <si>
    <t>1401/03/01 20:41</t>
  </si>
  <si>
    <t>https://www.codal.ir/Reports/Decision.aspx?LetterSerial=ahFNfQhFINp1NgYLyRsH7w%3d%3d&amp;rt=3&amp;let=19&amp;ct=0&amp;ft=-1</t>
  </si>
  <si>
    <t>d1cde765553133aa809fd7d92476a3383264524398c4d91fd5297ab85d52a67b</t>
  </si>
  <si>
    <t>sources/codal/وبملت/v38_type19/T861168.html</t>
  </si>
  <si>
    <t>T19_888263</t>
  </si>
  <si>
    <t>1401/03/05 19:42</t>
  </si>
  <si>
    <t>https://www.codal.ir/Reports/Decision.aspx?LetterSerial=VbCBvGlDLvlaMVsaqtfL7w%3d%3d&amp;rt=3&amp;let=19&amp;ct=0&amp;ft=-1</t>
  </si>
  <si>
    <t>863cb1c2a0418378604b5f353b6eb2f3b86f609b107c2523168b7b19be8ebec4</t>
  </si>
  <si>
    <t>sources/codal/وبملت/v38_type19/T888263.html</t>
  </si>
  <si>
    <t>T19_1050896</t>
  </si>
  <si>
    <t>1402/04/14 14:48</t>
  </si>
  <si>
    <t>https://www.codal.ir/Reports/Decision.aspx?LetterSerial=CAYiCkgdVEEZCYpgQ9D4Qw%3d%3d&amp;rt=3&amp;let=19&amp;ct=0&amp;ft=-1</t>
  </si>
  <si>
    <t>d628f31fc9ca25ca4bca6c60677dbf597f025327415c9aa65679369d7580a47f</t>
  </si>
  <si>
    <t>sources/codal/وبملت/v38_type19/T1050896.html</t>
  </si>
  <si>
    <t>T19_1169403</t>
  </si>
  <si>
    <t>1402/12/24 17:31</t>
  </si>
  <si>
    <t>https://www.codal.ir/Reports/Decision.aspx?LetterSerial=mb3rj6EXls64khVOmHepOQ%3d%3d&amp;rt=3&amp;let=19&amp;ct=0&amp;ft=-1</t>
  </si>
  <si>
    <t>185ff513720c2c99721bdf4cc97b251b992e71cc70b58c0801701bfdd4e11fe8</t>
  </si>
  <si>
    <t>sources/codal/وبملت/v38_type19/T1169403.html</t>
  </si>
  <si>
    <t>T19_1169405</t>
  </si>
  <si>
    <t>1402/12/24 18:01</t>
  </si>
  <si>
    <t>https://www.codal.ir/Reports/Decision.aspx?LetterSerial=Kx2pHhvwWjveQQQaQQQQQQaQQQhjHTIY%2bQ%3d%3d&amp;rt=3&amp;let=19&amp;ct=0&amp;ft=-1</t>
  </si>
  <si>
    <t>0dfef72e755d10423507a33aede8e8818acc75e93df0f36fa043565a8f679925</t>
  </si>
  <si>
    <t>sources/codal/وبملت/v38_type19/T1169405.html</t>
  </si>
  <si>
    <t>T19_1313319</t>
  </si>
  <si>
    <t>1403/12/06 19:09</t>
  </si>
  <si>
    <t>5a60157ed2b89a04fc7d421d26e34428a525903b8bb365cbdf916eb5c1b08d9b</t>
  </si>
  <si>
    <t>sources/codal/وبملت/v38_type19/T1313319.html</t>
  </si>
  <si>
    <t>T19_1397174</t>
  </si>
  <si>
    <t>1404/06/04 10:17</t>
  </si>
  <si>
    <t>bd4f68cdf47571c3b70fa29387b90c2eecc5f93c2180e781cc5cb64aeaaf1fa6</t>
  </si>
  <si>
    <t>sources/codal/وبملت/v38_type19/T1397174.html</t>
  </si>
  <si>
    <t>T19_1599824</t>
  </si>
  <si>
    <t>1405/06/25 14:42</t>
  </si>
  <si>
    <t>https://www.codal.ir/Reports/Decision.aspx?LetterSerial=445QSZ4HEFRsV4wpZuPlOOObOOOA%3d%3d&amp;rt=3&amp;let=19&amp;ct=0&amp;ft=-1</t>
  </si>
  <si>
    <t>02202873af4c35a9c41d2fbf2379193fc934d0e35947cdf69546a61615396c04</t>
  </si>
  <si>
    <t>sources/codal/وبملت/v38_type19/T1599824.html</t>
  </si>
  <si>
    <t>T19_869717</t>
  </si>
  <si>
    <t>1401/01/31 07:53</t>
  </si>
  <si>
    <t>https://www.codal.ir/Reports/Decision.aspx?LetterSerial=VrkQQQaQQQYKV7giQ4PSm4q5P9Gg%3D%3D&amp;rt=3&amp;let=19&amp;ct=0&amp;ft=-1</t>
  </si>
  <si>
    <t>0702dea3e99415d4ab9550f66f34b93fc7b4153035bd08a467c9fad745fd3d75</t>
  </si>
  <si>
    <t>sources/codal/وبصادر/v38_type19/T869717.html</t>
  </si>
  <si>
    <t>T19_892759</t>
  </si>
  <si>
    <t>1401/03/12 08:39</t>
  </si>
  <si>
    <t>https://www.codal.ir/Reports/Decision.aspx?LetterSerial=qcgNHAvmLmY4QQQaQQQN2zAnlUwA%3d%3d&amp;rt=3&amp;let=19&amp;ct=0&amp;ft=-1</t>
  </si>
  <si>
    <t>2387c92ac9951362ad66ee65fa9171e0027a11d6b9065e3c4e9b82db4fef1972</t>
  </si>
  <si>
    <t>sources/codal/وبصادر/v38_type19/T892759.html</t>
  </si>
  <si>
    <t>T19_920598</t>
  </si>
  <si>
    <t>1401/05/09 13:36</t>
  </si>
  <si>
    <t>https://www.codal.ir/Reports/Decision.aspx?LetterSerial=9cLau5SPttX0QF1RLopSEQ%3d%3d&amp;rt=3&amp;let=19&amp;ct=0&amp;ft=-1</t>
  </si>
  <si>
    <t>f09bfec76952fa574f3ba5d0a3ceda7613b96440b75a8ee401c471f0bd3eb2f6</t>
  </si>
  <si>
    <t>sources/codal/وبصادر/v38_type19/T920598.html</t>
  </si>
  <si>
    <t>T19_1079682</t>
  </si>
  <si>
    <t>1402/06/12 13:15</t>
  </si>
  <si>
    <t>https://www.codal.ir/Reports/Decision.aspx?LetterSerial=ZOmMNsS9hxERWYMkKMf4Tw%3d%3d&amp;rt=3&amp;let=19&amp;ct=0&amp;ft=-1</t>
  </si>
  <si>
    <t>067736bf23f1b09e787000def907a545d0a63f2d5c4439aa81c6f9ebce1f45b7</t>
  </si>
  <si>
    <t>sources/codal/وبصادر/v38_type19/T1079682.html</t>
  </si>
  <si>
    <t>T19_1080186</t>
  </si>
  <si>
    <t>1402/06/13 16:45</t>
  </si>
  <si>
    <t>https://www.codal.ir/Reports/Decision.aspx?LetterSerial=%2bj8bZVdxsRC44TGfj4cV0g%3d%3d&amp;rt=3&amp;let=19&amp;ct=0&amp;ft=-1</t>
  </si>
  <si>
    <t>1750f2ebd8a4adfd8b9862dfe2b6b79185c709624ee18ca61717e0cfae939a24</t>
  </si>
  <si>
    <t>sources/codal/وبصادر/v38_type19/T1080186.html</t>
  </si>
  <si>
    <t>T19_1106341</t>
  </si>
  <si>
    <t>1402/08/22 18:47</t>
  </si>
  <si>
    <t>https://www.codal.ir/Reports/Decision.aspx?LetterSerial=giqvzzTxz7cV4ZWb2BWM1g%3d%3d&amp;rt=3&amp;let=19&amp;ct=0&amp;ft=-1</t>
  </si>
  <si>
    <t>35b8084f52fee61f28ccd10ddac6921affda09b1dd7962cdc6d166d2388c5421</t>
  </si>
  <si>
    <t>sources/codal/وبصادر/v38_type19/T1106341.html</t>
  </si>
  <si>
    <t>T19_1106807</t>
  </si>
  <si>
    <t>1402/08/23 17:39</t>
  </si>
  <si>
    <t>https://www.codal.ir/Reports/Decision.aspx?LetterSerial=VrGaGQQQaQQQsAoD5HC5xbqsG1AA%3d%3d&amp;rt=3&amp;let=19&amp;ct=0&amp;ft=-1</t>
  </si>
  <si>
    <t>eb0a01d3ea72233800c37533d404597d600d1ed8e4c56cf1cc704dda18adfb85</t>
  </si>
  <si>
    <t>sources/codal/وبصادر/v38_type19/T1106807.html</t>
  </si>
  <si>
    <t>T19_1321081</t>
  </si>
  <si>
    <t>1403/12/22 12:29</t>
  </si>
  <si>
    <t>https://www.codal.ir/Reports/Decision.aspx?LetterSerial=v9kkVfLcqmiaouoSTHKAUQ%3d%3d&amp;rt=3&amp;let=19&amp;ct=0&amp;ft=-1</t>
  </si>
  <si>
    <t>afc035627226ff03e1d1c003640d80dcc17bd8ca00d2367538d0bef0587b5c69</t>
  </si>
  <si>
    <t>sources/codal/وبصادر/v38_type19/T1321081.html</t>
  </si>
  <si>
    <t>T19_1519012</t>
  </si>
  <si>
    <t>1405/02/20 10:02</t>
  </si>
  <si>
    <t>https://www.codal.ir/Reports/Decision.aspx?LetterSerial=jizXCcGtvfsXOjQQQaQQQfEfVUVg%3d%3d&amp;rt=3&amp;let=19&amp;ct=0&amp;ft=-1</t>
  </si>
  <si>
    <t>657e992ee55e6bfaca8daaa08f327ffacbf853b687b4a4e0dd836b3d25a8ba60</t>
  </si>
  <si>
    <t>sources/codal/وبصادر/v38_type19/T1519012.html</t>
  </si>
  <si>
    <t>T19_1523530</t>
  </si>
  <si>
    <t>1405/02/20 12:07</t>
  </si>
  <si>
    <t>https://www.codal.ir/Reports/Decision.aspx?LetterSerial=tnJVG8vmYSkEEhvfB5i9og%3d%3d&amp;rt=3&amp;let=19&amp;ct=0&amp;ft=-1</t>
  </si>
  <si>
    <t>cdf873489db5f5e97e804e9ebaac5b0f5a3914f7d987d3d2715d29c92ea5b131</t>
  </si>
  <si>
    <t>sources/codal/وبصادر/v38_type19/T1523530.html</t>
  </si>
  <si>
    <t>T19_1561429</t>
  </si>
  <si>
    <t>1405/04/10 17:12</t>
  </si>
  <si>
    <t>https://www.codal.ir/Reports/Decision.aspx?LetterSerial=ODmFJtxohURtXS1FnGAWIw%3d%3d&amp;rt=3&amp;let=19&amp;ct=0&amp;ft=-1</t>
  </si>
  <si>
    <t>0ffef93e0c4859e02c58f2d9e06bf9a6af01e0243b53ebd4e284e64fabe4c8a8</t>
  </si>
  <si>
    <t>sources/codal/وبصادر/v38_type19/T1561429.html</t>
  </si>
  <si>
    <t>T19_1039576</t>
  </si>
  <si>
    <t>1402/04/05 07:03</t>
  </si>
  <si>
    <t>https://www.codal.ir/Reports/Decision.aspx?LetterSerial=7wKzGctGLtZA2PX2J3gTvA%3d%3d&amp;rt=3&amp;let=19&amp;ct=0&amp;ft=-1</t>
  </si>
  <si>
    <t>5b894750663d6f8a69a6f798a52e168b95efcb33363e9cc77d15c3f238b228a6</t>
  </si>
  <si>
    <t>sources/codal/وپاسار/v38_type19/T1039576.html</t>
  </si>
  <si>
    <t>T19_941760</t>
  </si>
  <si>
    <t>1401/07/06 14:52</t>
  </si>
  <si>
    <t>https://www.codal.ir/Reports/Decision.aspx?LetterSerial=NiZpebQAAVCic2pcki3Pnw%3d%3d&amp;rt=2&amp;let=19&amp;ct=0&amp;ft=-1</t>
  </si>
  <si>
    <t>cc6052e852c88e65e9d67598e8e04bd075f993988bc80f2b3922ad44c0ebdeca</t>
  </si>
  <si>
    <t>sources/codal/حکشتی/v38_type19/T941760.html</t>
  </si>
  <si>
    <t>T19_970752</t>
  </si>
  <si>
    <t>1401/09/30 15:10</t>
  </si>
  <si>
    <t>https://www.codal.ir/Reports/Decision.aspx?LetterSerial=vE1EOcEA9N9kdxerlW8dJg%3d%3d&amp;rt=2&amp;let=19&amp;ct=0&amp;ft=-1</t>
  </si>
  <si>
    <t>6a93f5881fc02c9a863747db9c897502cccfba20e6ddb6b71ba80796b0a21ef2</t>
  </si>
  <si>
    <t>sources/codal/حکشتی/v38_type19/T970752.html</t>
  </si>
  <si>
    <t>T19_1154505</t>
  </si>
  <si>
    <t>1402/11/29 12:59</t>
  </si>
  <si>
    <t>https://www.codal.ir/Reports/Decision.aspx?LetterSerial=jA2RW2fFAdgkJFZbyTQtsQ%3d%3d&amp;rt=2&amp;let=19&amp;ct=0&amp;ft=-1</t>
  </si>
  <si>
    <t>7b3b9057844c336b421ea16917aa201862a58840630b481f5789efa744063d9d</t>
  </si>
  <si>
    <t>sources/codal/حکشتی/v38_type19/T1154505.html</t>
  </si>
  <si>
    <t>T19_1310210</t>
  </si>
  <si>
    <t>1403/12/01 15:17</t>
  </si>
  <si>
    <t>https://www.codal.ir/Reports/Decision.aspx?LetterSerial=68FHWjaF1OhFRxKJZ9IbIA%3d%3d&amp;rt=2&amp;let=19&amp;ct=0&amp;ft=-1</t>
  </si>
  <si>
    <t>4cbb77c9b8c6cb4ca97e00900bda2aa0888a031c0a09b3beaaf940b9522fef6e</t>
  </si>
  <si>
    <t>sources/codal/حکشتی/v38_type19/T1310210.html</t>
  </si>
  <si>
    <t>T19_1433770</t>
  </si>
  <si>
    <t>1404/08/18 13:40</t>
  </si>
  <si>
    <t>00b19f96e5792fb1eb9d3fdb19ecf43a8b3f97857c78c95730661aaf099d4bff</t>
  </si>
  <si>
    <t>sources/codal/حکشتی/v38_type19/T1433770.html</t>
  </si>
  <si>
    <t>T19_921070</t>
  </si>
  <si>
    <t>1401/05/10 11:42</t>
  </si>
  <si>
    <t>https://www.codal.ir/Reports/Decision.aspx?LetterSerial=kdxjD4P7d4sSwUbBggN2qg%3d%3d&amp;rt=0&amp;let=19&amp;ct=0&amp;ft=-1</t>
  </si>
  <si>
    <t>c7fad71d91763fc9f5ee3aadaeccdec7766194420f971719f93e3ad07c89f0a9</t>
  </si>
  <si>
    <t>sources/codal/شپدیس/v38_type19/T921070.html</t>
  </si>
  <si>
    <t>T19_931016</t>
  </si>
  <si>
    <t>1401/06/06 09:32</t>
  </si>
  <si>
    <t>https://www.codal.ir/Reports/Decision.aspx?LetterSerial=I%2bXKhVnA95QgKfVtuOYRWw%3d%3d&amp;rt=0&amp;let=19&amp;ct=0&amp;ft=-1</t>
  </si>
  <si>
    <t>2fbad7ddda206749aebe85f360381395405e33c9dc35f28a8805bd73c673f7e9</t>
  </si>
  <si>
    <t>sources/codal/شپدیس/v38_type19/T931016.html</t>
  </si>
  <si>
    <t>T19_931173</t>
  </si>
  <si>
    <t>1401/06/06 12:51</t>
  </si>
  <si>
    <t>https://www.codal.ir/Reports/Decision.aspx?LetterSerial=YdTqYbUjgp4ecDGYAkGlUA%3d%3d&amp;rt=0&amp;let=19&amp;ct=0&amp;ft=-1</t>
  </si>
  <si>
    <t>119eca13cdef261304439e36422aa568ef18a4f202dcf2f5582774006141fa34</t>
  </si>
  <si>
    <t>sources/codal/شپدیس/v38_type19/T931173.html</t>
  </si>
  <si>
    <t>T19_998511</t>
  </si>
  <si>
    <t>1401/12/09 12:45</t>
  </si>
  <si>
    <t>https://www.codal.ir/Reports/Decision.aspx?LetterSerial=wdD6Co7jbhtRfeBIYRqg7w%3d%3d&amp;rt=0&amp;let=19&amp;ct=0&amp;ft=-1</t>
  </si>
  <si>
    <t>f3e54b34aef3d58d8c734f6506318b522e90d2757d747128003112585c1a1a43</t>
  </si>
  <si>
    <t>sources/codal/شپدیس/v38_type19/T998511.html</t>
  </si>
  <si>
    <t>T19_1015066</t>
  </si>
  <si>
    <t>1402/02/06 10:11</t>
  </si>
  <si>
    <t>https://www.codal.ir/Reports/Decision.aspx?LetterSerial=3cpRd8HbdQlZrKeL2pvWNw%3d%3d&amp;rt=0&amp;let=19&amp;ct=0&amp;ft=-1</t>
  </si>
  <si>
    <t>3ace8d538515b5d32d4fec3a3cfd4cf4c61cb734d6872d941ac4c15e84d0995a</t>
  </si>
  <si>
    <t>sources/codal/شپدیس/v38_type19/T1015066.html</t>
  </si>
  <si>
    <t>T19_1061975</t>
  </si>
  <si>
    <t>1402/05/01 15:29</t>
  </si>
  <si>
    <t>https://www.codal.ir/Reports/Decision.aspx?LetterSerial=0NuI4yJNXLzv9lBZswUHmQ%3d%3d&amp;rt=0&amp;let=19&amp;ct=0&amp;ft=-1</t>
  </si>
  <si>
    <t>799fbf9dcc086e25aacb2999eb1da380e992ae227d6d93b4d026ff736dcd3448</t>
  </si>
  <si>
    <t>sources/codal/شپدیس/v38_type19/T1061975.html</t>
  </si>
  <si>
    <t>T19_1107562</t>
  </si>
  <si>
    <t>1402/08/27 13:17</t>
  </si>
  <si>
    <t>https://www.codal.ir/Reports/Decision.aspx?LetterSerial=vRr8NvvRkeS8i15Jd7nOfQ%3d%3d&amp;rt=0&amp;let=19&amp;ct=0&amp;ft=-1</t>
  </si>
  <si>
    <t>e8785f7942753e85ea642816d68ed2312cfb2b1808e0fc1b0bc3d525026cfe69</t>
  </si>
  <si>
    <t>sources/codal/شپدیس/v38_type19/T1107562.html</t>
  </si>
  <si>
    <t>T19_1111556</t>
  </si>
  <si>
    <t>1402/09/04 08:34</t>
  </si>
  <si>
    <t>https://www.codal.ir/Reports/Decision.aspx?LetterSerial=nFO1OM9NSjFyvZaLnUXctA%3d%3d&amp;rt=0&amp;let=19&amp;ct=0&amp;ft=-1</t>
  </si>
  <si>
    <t>bca7cbf1d5623379858a0331323a2941dacb6afdc721e08779acbe901d2a5bb5</t>
  </si>
  <si>
    <t>sources/codal/شپدیس/v38_type19/T1111556.html</t>
  </si>
  <si>
    <t>T19_1119538</t>
  </si>
  <si>
    <t>1402/09/19 17:19</t>
  </si>
  <si>
    <t>https://www.codal.ir/Reports/Decision.aspx?LetterSerial=5VAHVEB3htZDAF9veEYoZw%3d%3d&amp;rt=0&amp;let=19&amp;ct=0&amp;ft=-1</t>
  </si>
  <si>
    <t>bfdc20f5785365314bf3ef0c3fb234ee16548885c9a7db5865ccc33149db0ac5</t>
  </si>
  <si>
    <t>sources/codal/شپدیس/v38_type19/T1119538.html</t>
  </si>
  <si>
    <t>T19_1120556</t>
  </si>
  <si>
    <t>1402/09/21 18:02</t>
  </si>
  <si>
    <t>https://www.codal.ir/Reports/Decision.aspx?LetterSerial=TTbj8mC5mgot9Hqx9ihjVg%3d%3d&amp;rt=0&amp;let=19&amp;ct=0&amp;ft=-1</t>
  </si>
  <si>
    <t>3c2b95f97bd9876bd0367d584f33f23baa66bff76f1ff9261a02a1379ec8fc00</t>
  </si>
  <si>
    <t>sources/codal/شپدیس/v38_type19/T1120556.html</t>
  </si>
  <si>
    <t>T19_1151347</t>
  </si>
  <si>
    <t>1402/11/16 18:45</t>
  </si>
  <si>
    <t>https://www.codal.ir/Reports/Decision.aspx?LetterSerial=KVC1bexBTG6phFtNFRpDOA%3d%3d&amp;rt=0&amp;let=19&amp;ct=0&amp;ft=-1</t>
  </si>
  <si>
    <t>7c60358232088cca1a758dd66cd013ef0193c846a9d97d0b4649060b0ad85410</t>
  </si>
  <si>
    <t>sources/codal/شپدیس/v38_type19/T1151347.html</t>
  </si>
  <si>
    <t>T19_1242233</t>
  </si>
  <si>
    <t>1403/06/10 19:13</t>
  </si>
  <si>
    <t>https://www.codal.ir/Reports/Decision.aspx?LetterSerial=FQQQaQQQPRMC2U%2bDN%2bEqnJyYk4Ng%3d%3d&amp;rt=0&amp;let=19&amp;ct=0&amp;ft=-1</t>
  </si>
  <si>
    <t>a9c74c28f5d85ae29a6cab507e895d047054a8faf8b981aa939b9854a43d2664</t>
  </si>
  <si>
    <t>sources/codal/شپدیس/v38_type19/T1242233.html</t>
  </si>
  <si>
    <t>T19_1309386</t>
  </si>
  <si>
    <t>1403/11/29 19:34</t>
  </si>
  <si>
    <t>80509669d7a2fe62d0e4e6e6b100c90bfa03ca65fd8cb45a401d53c36a0c9911</t>
  </si>
  <si>
    <t>sources/codal/شپدیس/v38_type19/T1309386.html</t>
  </si>
  <si>
    <t>T19_1354441</t>
  </si>
  <si>
    <t>1404/03/11 18:46</t>
  </si>
  <si>
    <t>https://www.codal.ir/Reports/Decision.aspx?LetterSerial=BOJZd2gmKjnW2lysdBslwA%3d%3d&amp;rt=0&amp;let=19&amp;ct=0&amp;ft=-1</t>
  </si>
  <si>
    <t>a816faa5a108dfe2f81faddcaa998f1729e295398084c0ad1fda8f9353e64511</t>
  </si>
  <si>
    <t>sources/codal/شپدیس/v38_type19/T1354441.html</t>
  </si>
  <si>
    <t>T19_1433411</t>
  </si>
  <si>
    <t>1404/08/17 16:54</t>
  </si>
  <si>
    <t>ea4a48cdb2f54f6a31483251bfb639e1f78aaededff96ae2433354c19a506092</t>
  </si>
  <si>
    <t>sources/codal/شپدیس/v38_type19/T1433411.html</t>
  </si>
  <si>
    <t>T19_1443721</t>
  </si>
  <si>
    <t>1404/09/05 16:18</t>
  </si>
  <si>
    <t>ef6be4185fc020d0140747c5e750e1b3a48a60005ac34dc55c0c4ea5bccb9fd2</t>
  </si>
  <si>
    <t>sources/codal/شپدیس/v38_type19/T1443721.html</t>
  </si>
  <si>
    <t>T19_1563342</t>
  </si>
  <si>
    <t>1405/04/20 12:09</t>
  </si>
  <si>
    <t>https://www.codal.ir/Reports/Decision.aspx?LetterSerial=34fGazrVOyOOObOOOq27q9IC7bDA%3d%3d&amp;rt=0&amp;let=19&amp;ct=0&amp;ft=-1</t>
  </si>
  <si>
    <t>49b814cc02b0e961b6a9f95e8e424e0ede3d31f23bda92e914fa5db267fce778</t>
  </si>
  <si>
    <t>sources/codal/شپدیس/v38_type19/T1563342.html</t>
  </si>
  <si>
    <t>T19_1603909</t>
  </si>
  <si>
    <t>1405/07/04 19:14</t>
  </si>
  <si>
    <t>https://www.codal.ir/Reports/Decision.aspx?LetterSerial=jnANnJxCSj1xULQc0KAPzg%3d%3d&amp;rt=0&amp;let=19&amp;ct=0&amp;ft=-1</t>
  </si>
  <si>
    <t>9987dff75ac6129c93dc34151534d74432c23699b609db3da3a078a5748fa342</t>
  </si>
  <si>
    <t>sources/codal/شپدیس/v38_type19/T1603909.html</t>
  </si>
  <si>
    <t>ممیزی v41</t>
  </si>
  <si>
    <t>تعارض‌ها، یادداشت‌های انتقالی، صف مرحله سه، اسناد ناقص و دامنه جستجوها.</t>
  </si>
  <si>
    <t>دسته</t>
  </si>
  <si>
    <t>جزئیات</t>
  </si>
  <si>
    <t>مرجع</t>
  </si>
  <si>
    <t>AU001</t>
  </si>
  <si>
    <t>تعارض داده</t>
  </si>
  <si>
    <t>وضعیت موظف عبدالعلی علی عسکری</t>
  </si>
  <si>
    <t>گزارش: موظف؛ اطلاعیه ن۴۵: غیرموظف؛ هر دو ثبت شد و لایه دو CONFLICT_DUTY_STATUS است</t>
  </si>
  <si>
    <t>SRC_FARS_1404_001 p40؛ Type19 1417899</t>
  </si>
  <si>
    <t>AU002</t>
  </si>
  <si>
    <t>وضعیت موظف عبداله سلطانی ثانی</t>
  </si>
  <si>
    <t>گزارش ص۵۳: موظف؛ ن۴۵: غیرموظف</t>
  </si>
  <si>
    <t>IKCO p53؛ Type19 1417850</t>
  </si>
  <si>
    <t>AU003</t>
  </si>
  <si>
    <t>حل شناسه</t>
  </si>
  <si>
    <t>شماره ردیابی گزارش IKCO</t>
  </si>
  <si>
    <t>شماره ۱۵۷۳۰۲۲ (انتشار ۱۴۰۵/۰۴/۳۱ ۰۵:۵۹) پیدا و هش فایل محلی با فایل دانلودشده کدال یکسان است (sha256 053459bd...)؛ ناقص بودن Source_ID برطرف شد</t>
  </si>
  <si>
    <t>بسته شد</t>
  </si>
  <si>
    <t>work/v41/ikco_1573022.pdf</t>
  </si>
  <si>
    <t>AU004</t>
  </si>
  <si>
    <t>تعارض تاریخ</t>
  </si>
  <si>
    <t>تصدی سمیه خلوصی</t>
  </si>
  <si>
    <t>SOURCE_CONFLICT:type19=1404/03/04;report=1403/11/07 | sources disagree by 119d</t>
  </si>
  <si>
    <t>باز؛ بازه یا حداقل ثبت شد</t>
  </si>
  <si>
    <t>Type19 در برابر گزارش</t>
  </si>
  <si>
    <t>AU005</t>
  </si>
  <si>
    <t>تصدی شهریار متوکل</t>
  </si>
  <si>
    <t>SOURCE_CONFLICT:type19=1402/05/07;report=1402/04/15 | sources disagree by 23d</t>
  </si>
  <si>
    <t>AU006</t>
  </si>
  <si>
    <t>تصدی حسین قربان زاده</t>
  </si>
  <si>
    <t>SOURCE_CONFLICT:type19=1403/04/11;report=1402/11/17 | sources disagree by 146d</t>
  </si>
  <si>
    <t>AU007</t>
  </si>
  <si>
    <t>تصدی عبدالعلی علی عسکری</t>
  </si>
  <si>
    <t>REPORT_DATE_AFTER_TYPE19_FIRST_OBSERVATION | type19 shows person from 1402/01/29 but report states 1402/07/12</t>
  </si>
  <si>
    <t>AU008</t>
  </si>
  <si>
    <t>تصدی مرتضی ترک تبریزی</t>
  </si>
  <si>
    <t>REPORT_DATE_AFTER_TYPE19_FIRST_OBSERVATION | type19 shows person from 1401/09/14 but report states 1401/12/25</t>
  </si>
  <si>
    <t>AU009</t>
  </si>
  <si>
    <t>تعارض نسخه اصلاحیه</t>
  </si>
  <si>
    <t>تصدی محمد اولیاء</t>
  </si>
  <si>
    <t>تاریخ جلسه هیئت مدیره بین نسخه اصلی و اصلاحیه متفاوت است</t>
  </si>
  <si>
    <t>باز؛ بازه ثبت شد</t>
  </si>
  <si>
    <t>AU010</t>
  </si>
  <si>
    <t>Type19 original vs amendment</t>
  </si>
  <si>
    <t>AU011</t>
  </si>
  <si>
    <t>تصدی خلیل بهبهانی</t>
  </si>
  <si>
    <t>AU012</t>
  </si>
  <si>
    <t>AU013</t>
  </si>
  <si>
    <t>تصدی امیر هامونی</t>
  </si>
  <si>
    <t>AU014</t>
  </si>
  <si>
    <t>AU015</t>
  </si>
  <si>
    <t>تصدی عبدالمجید شریفی</t>
  </si>
  <si>
    <t>SOURCE_CONFLICT:type19=1404/05/27;report=1404/05/22 | sources disagree by 5d</t>
  </si>
  <si>
    <t>AU016</t>
  </si>
  <si>
    <t>تصدی غلام رضا رحیمی</t>
  </si>
  <si>
    <t>AU017</t>
  </si>
  <si>
    <t>AU018</t>
  </si>
  <si>
    <t>تصدی صالح رحیمی</t>
  </si>
  <si>
    <t>AU019</t>
  </si>
  <si>
    <t>AU020</t>
  </si>
  <si>
    <t>تصدی محسن صالحی نیا</t>
  </si>
  <si>
    <t>REPORT_DATE_AFTER_TYPE19_FIRST_OBSERVATION | type19 shows person from 1401/03/29 but report states 1402/07/23</t>
  </si>
  <si>
    <t>AU021</t>
  </si>
  <si>
    <t>تصدی محمدحسین مقیمی</t>
  </si>
  <si>
    <t>SOURCE_CONFLICT:type19=1404/10/03;report=1404/10/08 | sources disagree by 5d</t>
  </si>
  <si>
    <t>AU022</t>
  </si>
  <si>
    <t>تصدی سعید زرندی</t>
  </si>
  <si>
    <t>SOURCE_CONFLICT | report 1403/11/30 outside type19 interval 1403/12/16..1404/01/28</t>
  </si>
  <si>
    <t>AU023</t>
  </si>
  <si>
    <t>تصدی مهدی زحمت کش</t>
  </si>
  <si>
    <t>SOURCE_CONFLICT:type19=1404/08/07;report=1404/06/29 | sources disagree by 39d</t>
  </si>
  <si>
    <t>AU024</t>
  </si>
  <si>
    <t>تصدی سیدجعفر هاشمی</t>
  </si>
  <si>
    <t>SOURCE_CONFLICT:type19=1403/02/24;report=1402/02/14 | sources disagree by 375d</t>
  </si>
  <si>
    <t>AU025</t>
  </si>
  <si>
    <t>تصدی علی شیخ زاده</t>
  </si>
  <si>
    <t>AU026</t>
  </si>
  <si>
    <t>AU027</t>
  </si>
  <si>
    <t>تصدی کورش پرویزیان</t>
  </si>
  <si>
    <t>AU028</t>
  </si>
  <si>
    <t>AU029</t>
  </si>
  <si>
    <t>تصدی محسن سیفی کفشگری</t>
  </si>
  <si>
    <t>SOURCE_CONFLICT:type19=1401/05/03;report=1402/08/22 | sources disagree by 476d</t>
  </si>
  <si>
    <t>AU030</t>
  </si>
  <si>
    <t>نام شخص حقوقی شهریار متوکل</t>
  </si>
  <si>
    <t>گزارش: فولاد مبارکه اصفهان؛ ن۴۵: سرمایه گذاری استان آذربایجان شرقی؛ تصدی در سطح شخص (کد ملی) محاسبه شد نه شخص حقوقی</t>
  </si>
  <si>
    <t>SRC_FMLI_1404_001 p32</t>
  </si>
  <si>
    <t>AU031</t>
  </si>
  <si>
    <t>تاریخ عضویت ربیعی</t>
  </si>
  <si>
    <t>ص۷۷: 1403/10/18 و ص۱۱: 1403/10/23 در همان گزارش؛ ن۴۵: 1403/10/23</t>
  </si>
  <si>
    <t>AU032</t>
  </si>
  <si>
    <t>ردیف سرمایه گذاری تامین اجتماعی بدون نماینده</t>
  </si>
  <si>
    <t>نماینده نام برده نشده؛ تصدی شخص UNKNOWN؛ سرپرست رضا توکلی بنیزی از 1404/01/23 در اطلاعیه</t>
  </si>
  <si>
    <t>Type19 1333972</t>
  </si>
  <si>
    <t>AU033</t>
  </si>
  <si>
    <t>جدول گزارش قدیمی</t>
  </si>
  <si>
    <t>جدول هیئت مدیره پارس به انتخاب دی ۱۴۰۲ اشاره دارد و اعضای متفاوت با ن۴۵ دارد؛ ستون همزمانی خالی؛ ستون تاریخ ندارد؛ استفاده نشد</t>
  </si>
  <si>
    <t>SRC_PARS_1404_001 p32 (تصویر)</t>
  </si>
  <si>
    <t>AU034</t>
  </si>
  <si>
    <t>نبود ترکیب هیئت مدیره FY1404</t>
  </si>
  <si>
    <t>فقط ن۴۵ مورخ 1402/04/05 در فهرست؛ گزارش فعالیت FY1404 در آرشیو نیست؛ ICR فقط سرنخ؛ فهرست اعضا در as-of ارزیابی نشد</t>
  </si>
  <si>
    <t>باز؛ نامشخص</t>
  </si>
  <si>
    <t>ICR 1526305 سرنخ ۷ امضاکننده</t>
  </si>
  <si>
    <t>AU035</t>
  </si>
  <si>
    <t>ن۴۵ بدون نماینده</t>
  </si>
  <si>
    <t>فهرست فقط اشخاص حقوقی بدون نماینده نام‌برده؛ تصدی سطح شخص حقوقی ثبت شد؛ سطح شخص UNKNOWN</t>
  </si>
  <si>
    <t>AU036</t>
  </si>
  <si>
    <t>لایه ۱ استقلال</t>
  </si>
  <si>
    <t>عبارت عضو مستقل هیئت مدیره (به جز کمیته‌ها) در متن FY1404 هر ۳۰ شرکت جستجو شد؛ برای هیچ عضو هیئت مدیره یافت نشد؛ برچسب مستقل فقط برای اعضای کمیته؛ حاکمیت شرکتی ماده‌ای عمومی بدون نام</t>
  </si>
  <si>
    <t>work/v41/indscan.py</t>
  </si>
  <si>
    <t>AU037</t>
  </si>
  <si>
    <t>ستون وابستگی به سهامداران</t>
  </si>
  <si>
    <t>برای هر ۵ عضو ستون وضعیت وابستگی به سهامدار نام یک شرکت سهامدار را آورده؛ در لایه یک به عنوان رابطه افشاشده ثبت شد و استقلال از آن استنباط نشد</t>
  </si>
  <si>
    <t>SRC_ZGRS_1404_001 p26</t>
  </si>
  <si>
    <t>AU038</t>
  </si>
  <si>
    <t>سرنخ یادداشت قبلی</t>
  </si>
  <si>
    <t>حد پایین بودن شمارش AC باقی؛ اعضای کمیته غیرعضو هیئت مدیره جزو جمعیت هیئت مدیره نیستند</t>
  </si>
  <si>
    <t>v40</t>
  </si>
  <si>
    <t>AU039</t>
  </si>
  <si>
    <t>پوشش کامل و جزئی جدا ماند؛ نامشخص صفر نشد</t>
  </si>
  <si>
    <t>AU040</t>
  </si>
  <si>
    <t>تاپیکو، پارس، وبملت</t>
  </si>
  <si>
    <t>تعارض‌های باز کمیته حسابرسی</t>
  </si>
  <si>
    <t>بسته اعلام نشد</t>
  </si>
  <si>
    <t>AU041</t>
  </si>
  <si>
    <t>رئیس کمیته حسابرسی محمود مجیب و عضویت در هیئت مدیره</t>
  </si>
  <si>
    <t>ن۴۵: نام کامل محمود مجیب نماینده صادرفر از 1404/05/25 رئیس هیئت مدیره و سپس عضو تا 1404/08/28 که جایگزین شد؛ در as-of 1404/12/29 عضو هیئت مدیره نیست در حالی که جدول کمیته او را رئیس نشان می‌دهد؛ هویت فقط با تطبیق نام کامل در یک شرکت (کد ملی در جدول کمیته نیست) پس ادغام قطعی نشد؛ نبود در v22 مدرک غیبت نبود</t>
  </si>
  <si>
    <t>باز؛ تعارض زمانی ثبت شد</t>
  </si>
  <si>
    <t>Type19 1393291،1441375</t>
  </si>
  <si>
    <t>AU042</t>
  </si>
  <si>
    <t>هفت امضاکننده ICR</t>
  </si>
  <si>
    <t>فقط سرنخ؛ عضو هیئت مدیره اعلام نشد</t>
  </si>
  <si>
    <t>AU043</t>
  </si>
  <si>
    <t>صف مرحله ۳</t>
  </si>
  <si>
    <t>پرونده گردش</t>
  </si>
  <si>
    <t>موارد گردش برای مرحله ۳: اطلاعیه‌های 1443078 و 1444154 در نزدیکی مبنا؛ بدون بازنویسی REF05، REF08 و CR1A</t>
  </si>
  <si>
    <t>v41</t>
  </si>
  <si>
    <t>AU044</t>
  </si>
  <si>
    <t>ن۴۵ تنها 1402/04/05 در فهرست؛ جستجوی بیشتر لازم؛ بدون بازنویسی REF05، REF08 و CR1A</t>
  </si>
  <si>
    <t>AU045</t>
  </si>
  <si>
    <t>اطلاعیه 1433770 (1404/08/18) پس از as-of؛ بدون بازنویسی REF05، REF08 و CR1A</t>
  </si>
  <si>
    <t>AU046</t>
  </si>
  <si>
    <t>اطلاعیه 1388917 و خروج کرمی 1404/05/12؛ بدون بازنویسی REF05، REF08 و CR1A</t>
  </si>
  <si>
    <t>AU047</t>
  </si>
  <si>
    <t>اصلاحیه اسکن‌شده و اطلاعیه‌های 1482306،1523599؛ بدون بازنویسی REF05، REF08 و CR1A</t>
  </si>
  <si>
    <t>AU048</t>
  </si>
  <si>
    <t>سند ناقص</t>
  </si>
  <si>
    <t>اسناد یا فیلدهای ناقص</t>
  </si>
  <si>
    <t>ستون همزمانی در جدول وجود ندارد</t>
  </si>
  <si>
    <t>AU049</t>
  </si>
  <si>
    <t>AU050</t>
  </si>
  <si>
    <t>تاریخ عضویت شروع تصدی در گزارش نیست</t>
  </si>
  <si>
    <t>AU051</t>
  </si>
  <si>
    <t>جدول هیئت مدیره قابل استفاده در گزارش FY1404 مکان‌یابی یا استخراج نشد؛ تاریخ عضویت شروع تصدی در گزارش نیست</t>
  </si>
  <si>
    <t>AU052</t>
  </si>
  <si>
    <t>AU053</t>
  </si>
  <si>
    <t>AU054</t>
  </si>
  <si>
    <t>AU055</t>
  </si>
  <si>
    <t>AU056</t>
  </si>
  <si>
    <t>AU057</t>
  </si>
  <si>
    <t>AU058</t>
  </si>
  <si>
    <t>AU059</t>
  </si>
  <si>
    <t>AU060</t>
  </si>
  <si>
    <t>AU061</t>
  </si>
  <si>
    <t>ستون همزمانی در جدول وجود ندارد؛ تاریخ عضویت شروع تصدی در گزارش نیست</t>
  </si>
  <si>
    <t>AU062</t>
  </si>
  <si>
    <t>AU063</t>
  </si>
  <si>
    <t>AU064</t>
  </si>
  <si>
    <t>AU065</t>
  </si>
  <si>
    <t>AU066</t>
  </si>
  <si>
    <t>AU067</t>
  </si>
  <si>
    <t>AU068</t>
  </si>
  <si>
    <t>جدول هیئت مدیره قابل استفاده در گزارش FY1404 مکان‌یابی یا استخراج نشد؛ تاریخ عضویت شروع تصدی در گزارش نیست؛ فهرست ن۴۵ در as-of ناموجود</t>
  </si>
  <si>
    <t>AU069</t>
  </si>
  <si>
    <t>AU070</t>
  </si>
  <si>
    <t>AU071</t>
  </si>
  <si>
    <t>جستجوی بی‌نتیجه</t>
  </si>
  <si>
    <t>دامنه جستجوی جدول</t>
  </si>
  <si>
    <t>جستجوی متنی صفحات FY1404 برای عنوان جدول، ستون‌ها و نام اعضا؛ گزارش‌های دارای لایه متن مخدوش (شبندر، رمپنا، شستا، شپنا، حکشتی، نوری، همراه و ...) با جستجو و تصویر کوچک مکان‌یابی نشد؛ علت توقف: هزینه خواندن تصویر همه صفحات؛ خطای دسترسی به معنی منتشر نشدن نیست</t>
  </si>
  <si>
    <t>work/v41/findpg.py</t>
  </si>
  <si>
    <t>AU072</t>
  </si>
  <si>
    <t>وضعیت بازبینی</t>
  </si>
  <si>
    <t>بازبینی هوش مصنوعی است و بازبینی انسانی مستقل نیست؛ جزئیات در QA v41</t>
  </si>
  <si>
    <t>AU073</t>
  </si>
  <si>
    <t>اعداد قبلی</t>
  </si>
  <si>
    <t>اعداد برآورد امکان‌سنجی</t>
  </si>
  <si>
    <t>هفت عدد پوشش قبلی N23،N25،N26،N27،N28،N29 و N14 فقط برآورد امکان‌سنجی بودند؛ تایید یا جایگزینی با داده واقعی در BR Coverage v41</t>
  </si>
  <si>
    <t>فرهنگ داده v41</t>
  </si>
  <si>
    <t>کدهای قبلی بدون تغییر تعریف؛ مفاهیم جدید با کد مکمل و بدون هم‌پوشانی کد مرحله کمیته حسابرسی. هیچ جهت نظری فرض نشده و پوشش به‌تنهایی دلیل ارتقا نیست.</t>
  </si>
  <si>
    <t>وضعیت کد</t>
  </si>
  <si>
    <t>تعریف</t>
  </si>
  <si>
    <t>محدودیت و تفاوت با معیار اصلی</t>
  </si>
  <si>
    <t>خانواده BSI</t>
  </si>
  <si>
    <t>توصیفی یا نامزد اعتبارسنجی</t>
  </si>
  <si>
    <t>جهت</t>
  </si>
  <si>
    <t>کد قبلی؛ تعریف حفظ شد</t>
  </si>
  <si>
    <t>تعداد اعضای با برچسب صریح مستقل هیئت مدیره تقسیم بر N</t>
  </si>
  <si>
    <t>برچسب صریح همان عضو در متن منبع؛ دامنه هیئت مدیره</t>
  </si>
  <si>
    <t>برای هیچ عضو هیئت مدیره در ۳۰ شرکت برچسب صریح یافت نشد؛ مقدار ثابت صفر یا نامشخص</t>
  </si>
  <si>
    <t>خانواده نظارت و استقلال؛ تفاوت با S1A: برچسب صریح در برابر پروکسی ساختاری</t>
  </si>
  <si>
    <t>توصیفی؛ نامزد اعتبارسنجی نیست چون بدون تغییرپذیری</t>
  </si>
  <si>
    <t>هیچ جهت نظری فرض نشده</t>
  </si>
  <si>
    <t>N23D</t>
  </si>
  <si>
    <t>سهم غیرمستقل مستند (تعریف عملیاتی OD1)</t>
  </si>
  <si>
    <t>مکمل جدید؛ بدون هم‌پوشانی کد</t>
  </si>
  <si>
    <t>اعضای موظف یا مدیرعامل عضو هیئت مدیره تقسیم بر N</t>
  </si>
  <si>
    <t>نوع موظف در ن۴۵ و گزارش</t>
  </si>
  <si>
    <t>هم‌پوشانی زیاد با S1A (متمم آن)؛ نامشخص جدا</t>
  </si>
  <si>
    <t>نظارت؛ نزدیک به S1A</t>
  </si>
  <si>
    <t>توصیفی؛ نامزد اعتبارسنجی فقط با اجازه مرحله بعد</t>
  </si>
  <si>
    <t>بدون جهت</t>
  </si>
  <si>
    <t>N23C</t>
  </si>
  <si>
    <t>استقلال مستند رئیس هیئت مدیره</t>
  </si>
  <si>
    <t>مکمل جدید</t>
  </si>
  <si>
    <t>وضعیت رئیس: غیرمستقل مستند، نامشخص، متعارض</t>
  </si>
  <si>
    <t>نوع موظف رئیس</t>
  </si>
  <si>
    <t>وابسته به OD1</t>
  </si>
  <si>
    <t>رهبری؛ مفهومی جدا از SEP07 و از همزمانی رئیس</t>
  </si>
  <si>
    <t>توصیفی</t>
  </si>
  <si>
    <t>عضویت همزمان</t>
  </si>
  <si>
    <t>میانگین تعداد عضویت‌های دیگر</t>
  </si>
  <si>
    <t>فقط ستون اختصاصی گزارش (اعلام ناشر) و تطبیق کد ملی در نمونه</t>
  </si>
  <si>
    <t>پوشش جزئی؛ خط تیره یعنی اعلام نبودن؛ تعداد شناسایی‌شده حد پایین است</t>
  </si>
  <si>
    <t>شبکه؛ مستقل</t>
  </si>
  <si>
    <t>توصیفی؛ احتمال غیرخطی</t>
  </si>
  <si>
    <t>N25L</t>
  </si>
  <si>
    <t>تعداد همزمانی شناسایی‌شده</t>
  </si>
  <si>
    <t>تعداد سازمان‌های متمایز شناسایی‌شده برای هر شخص</t>
  </si>
  <si>
    <t>تعداد حد پایین</t>
  </si>
  <si>
    <t>اعلام + تطبیق کد ملی؛ ستون ترکیبی فقط سرنخ</t>
  </si>
  <si>
    <t>حد پایین؛ صفر قطعی فقط با اعلام صریح</t>
  </si>
  <si>
    <t>تصدی اعضا (عنوان قبلی ترکیب سن و تصدی)</t>
  </si>
  <si>
    <t>کد قبلی؛ ابهام عنوان ثبت شد</t>
  </si>
  <si>
    <t>میانگین مدت عضویت پیوسته؛ سن ساخته نشد</t>
  </si>
  <si>
    <t>سال (روز/365.25)</t>
  </si>
  <si>
    <t>Type19 + تاریخ عضویت گزارش</t>
  </si>
  <si>
    <t>ابهام: عنوان اصلی سن و تصدی را ترکیب می‌کرد؛ این‌جا فقط تصدی؛ سن هیچ‌جا استنباط نشد</t>
  </si>
  <si>
    <t>تجربه؛ هم‌پوشانی جزئی با گردش</t>
  </si>
  <si>
    <t>توصیفی؛ غیرخطی ممکن</t>
  </si>
  <si>
    <t>تنوع تصدی</t>
  </si>
  <si>
    <t>کد قبلی</t>
  </si>
  <si>
    <t>SD تصدی اعضا (فقط EXACT)</t>
  </si>
  <si>
    <t>فقط وقتی دست‌کم دو EXACT</t>
  </si>
  <si>
    <t>تصدی رئیس هیئت مدیره</t>
  </si>
  <si>
    <t>مدت رئیس بودن شخص فعلی در همان سمت</t>
  </si>
  <si>
    <t>تاریخ جلسه در ن۴۵ که سمت را تعیین کرد</t>
  </si>
  <si>
    <t>تصدی با تغییر رئیس v39 یکی نیست؛ تعریف و ورودی v39 تغییر نکرد</t>
  </si>
  <si>
    <t>رهبری؛ هم‌پوشانی جزئی با CR1A</t>
  </si>
  <si>
    <t>توصیفی؛ نامزد اعتبارسنجی هدفمند</t>
  </si>
  <si>
    <t>تصدی مدیرعامل</t>
  </si>
  <si>
    <t>مدت مدیرعامل فعلی</t>
  </si>
  <si>
    <t>بخش مدیرعامل در ن۴۵</t>
  </si>
  <si>
    <t>CEO خارج از هیئت مدیره از مخرج هیئت مدیره حذف؛ سرپرست جدا علامت خورد</t>
  </si>
  <si>
    <t>کد قبلی؛ بدون تغییر</t>
  </si>
  <si>
    <t>غیرموظف/اعضا</t>
  </si>
  <si>
    <t>موظف در ن۴۵</t>
  </si>
  <si>
    <t>استقلال صریح نیست؛ خروجی v39 تغییر نکرد</t>
  </si>
  <si>
    <t>موجود</t>
  </si>
  <si>
    <t>مفهوم جدا از استقلال رئیس و همزمانی رئیس</t>
  </si>
  <si>
    <t>کد قبلی (v40)؛ تعمیم نشد</t>
  </si>
  <si>
    <t>برچسب مستقل کمیته به هیئت مدیره تعمیم داده نشد</t>
  </si>
  <si>
    <t>تعریف عملیاتی لایه ۲ استقلال</t>
  </si>
  <si>
    <t>قاعده ثابت</t>
  </si>
  <si>
    <t>موظف یا مدیرعامل هیئت مدیره: غیرمستقل مستند؛ غیر این: نامشخص</t>
  </si>
  <si>
    <t>متن رسمی دستورالعمل فقط از رونوشت غیررسمی دیده شد و ارجاع داده نشد؛ استاندارد بین‌المللی معادل قوانین ایران نیست</t>
  </si>
  <si>
    <t>TEN</t>
  </si>
  <si>
    <t>کلاس‌های تصدی</t>
  </si>
  <si>
    <t>EXACT، INTERVAL، MIN_CONTINUOUS، CONFLICT_MIN، UNKNOWN</t>
  </si>
  <si>
    <t>تاریخ گزارش یا اولین مشاهده شروع تصدی نیست؛ انتخاب مجدد با تداوم شروع جدید نیست؛ خروج و بازگشت ادغام نمی‌شود</t>
  </si>
  <si>
    <t>DATES</t>
  </si>
  <si>
    <t>انواع تاریخ</t>
  </si>
  <si>
    <t>تاریخ مجمع، جلسه هیئت مدیره، تاریخ عضویت گزارش (START)، آخرین تاریخ عضویت (LAST/TERM)، انتشار، اولین مشاهده</t>
  </si>
  <si>
    <t>هر نوع جدا ثبت؛ دقت روز؛ تبدیل جلالی با الگوریتم مستقل</t>
  </si>
  <si>
    <t>پوشش به تفکیک کامل، جزئی و حد پایین</t>
  </si>
  <si>
    <t>مقایسه با برآوردهای قبلی فقط اگر تعریف، جمعیت و مقطع یکی باشد؛ در غیر این صورت «coverage under new basis». هیچ عددی برای رسیدن به ۱۰۰٪ حدس زده نشده.</t>
  </si>
  <si>
    <t>برآورد قبلی</t>
  </si>
  <si>
    <t>وضعیت مقایسه</t>
  </si>
  <si>
    <t>کامل</t>
  </si>
  <si>
    <t>جزئی یا حد پایین</t>
  </si>
  <si>
    <t>N23 مستقل صریح</t>
  </si>
  <si>
    <t>برآورد قبلی 5/30 (Keyword)</t>
  </si>
  <si>
    <t>تایید نشد</t>
  </si>
  <si>
    <t>برچسب صریح پیدا نشد</t>
  </si>
  <si>
    <t>coverage under new basis؛ تعریف و مقطع با v40 یکی نیست</t>
  </si>
  <si>
    <t>N23D غیرمستقل مستند</t>
  </si>
  <si>
    <t xml:space="preserve"> </t>
  </si>
  <si>
    <t>full</t>
  </si>
  <si>
    <t>3/30 (همه اعضا معلوم)</t>
  </si>
  <si>
    <t>29 شرکت دارای دست‌کم یک عضو غیرمستقل مستند</t>
  </si>
  <si>
    <t>partial: بقیه شرکت‌ها نامشخص دارند؛ وپاسار ارزیابی نشد</t>
  </si>
  <si>
    <t>N23C استقلال رئیس</t>
  </si>
  <si>
    <t>3 مستند غیرمستقل</t>
  </si>
  <si>
    <t>نامشخص: 26 شرکت؛ متعارض: 0</t>
  </si>
  <si>
    <t>رئیس مستقل مستند: صفر</t>
  </si>
  <si>
    <t>N25 همزمانی</t>
  </si>
  <si>
    <t>برآورد قبلی 3/30</t>
  </si>
  <si>
    <t>coverage under new basis</t>
  </si>
  <si>
    <t>full: 5 شرکت (فملی، شتران، فولاد، ومعادن، همراه)</t>
  </si>
  <si>
    <t>partial: 4؛ فقط حد پایین: 4؛ نامشخص: 16</t>
  </si>
  <si>
    <t>اشخاص: اعلام یا صفر 34؛ حد پایین 7؛ نامشخص 103 از 144</t>
  </si>
  <si>
    <t>N26/N27 تصدی اعضا</t>
  </si>
  <si>
    <t>برآورد قبلی 1/30</t>
  </si>
  <si>
    <t>full EXACT: 7 شرکت</t>
  </si>
  <si>
    <t>partial: 21؛ بدون EXACT: 2</t>
  </si>
  <si>
    <t>اشخاص: {"EXACT": 101, "INTERVAL": 16, "UNKNOWN": 7, "CONFLICT_MIN": 3, "MIN_CONTINUOUS": 17}</t>
  </si>
  <si>
    <t>N28 تصدی رئیس</t>
  </si>
  <si>
    <t>برآورد قبلی 23/30</t>
  </si>
  <si>
    <t>EXACT 23</t>
  </si>
  <si>
    <t>MIN 5؛ INTERVAL 1</t>
  </si>
  <si>
    <t>وپاسار بدون رئیس مستند</t>
  </si>
  <si>
    <t>N29 تصدی مدیرعامل</t>
  </si>
  <si>
    <t>برآورد قبلی 10/30</t>
  </si>
  <si>
    <t>EXACT 17</t>
  </si>
  <si>
    <t>MIN 10؛ INTERVAL 1؛ مستند نشده 2</t>
  </si>
  <si>
    <t>CEO خارج از هیئت: تاپیکو</t>
  </si>
  <si>
    <t>ثبت تغییرات v41</t>
  </si>
  <si>
    <t>هیچ مقدار مستر بازنویسی نشد.</t>
  </si>
  <si>
    <t>CH01</t>
  </si>
  <si>
    <t>افزودن</t>
  </si>
  <si>
    <t>۱۱ شیت جدید v41 به انتهای فایل</t>
  </si>
  <si>
    <t>شیت‌های v40 دست‌نخورده</t>
  </si>
  <si>
    <t>CH02</t>
  </si>
  <si>
    <t>عدم تغییر</t>
  </si>
  <si>
    <t>مستر (جدول استاد، معماری، Measureها، Turnover، AC) تغییر نکرد</t>
  </si>
  <si>
    <t>تعریف و مقطع یکی نیست (v41 بر پایان سال مالی هر شرکت؛ v39 بر cutoff مشترک)</t>
  </si>
  <si>
    <t>CH03</t>
  </si>
  <si>
    <t>ورودی‌های Turnover و تغییر رئیس v39</t>
  </si>
  <si>
    <t>دست‌نخورده</t>
  </si>
  <si>
    <t>CH04</t>
  </si>
  <si>
    <t>حل</t>
  </si>
  <si>
    <t>شماره ردیابی IKCO</t>
  </si>
  <si>
    <t>sha256 یکسان</t>
  </si>
  <si>
    <t>کنترل کیفیت v41</t>
  </si>
  <si>
    <t>کنترل‌ها پیش از تحویل؛ بازبینی دوم هوش مصنوعی است و جایگزین بازبینی انسانی مستقل نیست.</t>
  </si>
  <si>
    <t>مورد انتظار</t>
  </si>
  <si>
    <t>مشاهده</t>
  </si>
  <si>
    <t>QA01</t>
  </si>
  <si>
    <t>تعداد شرکت یکتا در BR Scope</t>
  </si>
  <si>
    <t>QA02</t>
  </si>
  <si>
    <t>تعداد ردیف BR Scope</t>
  </si>
  <si>
    <t>QA03</t>
  </si>
  <si>
    <t>ردیف‌های MEMBER در Tenure برابر مجموع N</t>
  </si>
  <si>
    <t>QA04</t>
  </si>
  <si>
    <t>روز منفی در Tenure</t>
  </si>
  <si>
    <t>QA05</t>
  </si>
  <si>
    <t>EXACT با شروع بعد از as-of</t>
  </si>
  <si>
    <t>QA06</t>
  </si>
  <si>
    <t>اعتبار همه تاریخ‌های جلالی (کبیسه و طول ماه)</t>
  </si>
  <si>
    <t>QA07</t>
  </si>
  <si>
    <t>تبدیل جلالی: 1403/12/30 معتبر و 1404/12/30 نامعتبر</t>
  </si>
  <si>
    <t>QA08</t>
  </si>
  <si>
    <t>ردیف سابقه گذشته شمارش شده</t>
  </si>
  <si>
    <t>QA09</t>
  </si>
  <si>
    <t>ردیف سرنخ ترکیبی شمارش شده</t>
  </si>
  <si>
    <t>QA10</t>
  </si>
  <si>
    <t>مدیرعامل خارج از هیئت در مخرج</t>
  </si>
  <si>
    <t>QA11</t>
  </si>
  <si>
    <t>ردیف همزمانی بین‌هیئتی بدون کد ملی (ادغام هویت با شباهت نام)</t>
  </si>
  <si>
    <t>QA12</t>
  </si>
  <si>
    <t>مقدار صفر برای نامشخص همزمانی</t>
  </si>
  <si>
    <t>QA13</t>
  </si>
  <si>
    <t>تصدی UNKNOWN دارای روز</t>
  </si>
  <si>
    <t>QA14</t>
  </si>
  <si>
    <t>ورودی Turnover v39 تغییر نکرد (مقایسه شیت‌های v40)</t>
  </si>
  <si>
    <t>مقایسه سلول‌به‌سلول همه ۷۷ شیت v40 با خروجی</t>
  </si>
  <si>
    <t>QA15</t>
  </si>
  <si>
    <t>بازبینی دوم تصویری: ومعادن ص۴۳ (۷ ردیف تاریخ و همزمانی)</t>
  </si>
  <si>
    <t>مطابق</t>
  </si>
  <si>
    <t>تصویر خوانده شد؛ ستون همزمانی سرمد ابرکوه برای کلانتری و خط تیره برای بقیه تایید شد؛ بازبینی هوش مصنوعی</t>
  </si>
  <si>
    <t>QA16</t>
  </si>
  <si>
    <t>بازبینی دوم تصویری: همراه ص۲۷ (۵ عضو)</t>
  </si>
  <si>
    <t>تفکیک ستون همزمانی و عضویت قبلی تایید شد</t>
  </si>
  <si>
    <t>QA17</t>
  </si>
  <si>
    <t>بازبینی دوم تصویری: فولاد ص۳۲ (۵ عضو)</t>
  </si>
  <si>
    <t>تاریخ انتصاب و همزمانی تایید شد</t>
  </si>
  <si>
    <t>QA18</t>
  </si>
  <si>
    <t>بازبینی دوم تصویری: زاگرس ص۲۶ و پارس ص۳۲</t>
  </si>
  <si>
    <t>زاگرس: ستون آخرین تاریخ عضویت و ستون ترکیبی تایید؛ پارس: جدول قدیمی و بدون تاریخ تایید</t>
  </si>
  <si>
    <t>QA19</t>
  </si>
  <si>
    <t>بازبینی مستقل محاسبه میانگین و SD تصدی (۱۰ شرکت) با پایتون</t>
  </si>
  <si>
    <t>۰ اختلاف</t>
  </si>
  <si>
    <t>محاسبه مجدد از همان تاریخ‌ها؛ محدودیت: منبع تاریخ و تبدیل جلالی مشترک است؛ تبدیل جلالی با لنگرهای شناخته‌شده و رفت‌وبرگشت ۶۱ ساله بدون خطا اعتبارسنجی شد</t>
  </si>
  <si>
    <t>QA20</t>
  </si>
  <si>
    <t>نمونه‌گیری موارد عادی: ۱۰ عضو با تایید هم‌زمان ن۴۵ و گزارش</t>
  </si>
  <si>
    <t>۱۰ از ۱۰</t>
  </si>
  <si>
    <t>فارس، فملی، وغدیر، همراه، پارسان: اختلاف تاریخ ۰ تا ۳ روز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</si>
</sst>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yyyy\-mm\-dd"/>
  </numFmts>
  <fonts count="29" x14ac:knownFonts="1">
    <font>
      <sz val="11"/>
      <color theme="1"/>
      <name val="Calibri"/>
      <family val="2"/>
      <charset val="1"/>
    </font>
    <font>
      <sz val="9"/>
      <color rgb="FF1F1F1F"/>
      <name val="Sahel"/>
    </font>
    <font>
      <sz val="11"/>
      <color rgb="FF000000"/>
      <name val="Sahel"/>
    </font>
    <font>
      <b/>
      <sz val="15"/>
      <color rgb="FFFFFFFF"/>
      <name val="Sahel"/>
    </font>
    <font>
      <b/>
      <sz val="11"/>
      <color rgb="FFFFFFFF"/>
      <name val="Sahel"/>
    </font>
    <font>
      <b/>
      <sz val="10"/>
      <color rgb="FFFFFFFF"/>
      <name val="Sahel"/>
    </font>
    <font>
      <sz val="9"/>
      <color rgb="FF000000"/>
      <name val="Sahel"/>
    </font>
    <font>
      <sz val="9"/>
      <color rgb="FF008000"/>
      <name val="Sahel"/>
    </font>
    <font>
      <sz val="9"/>
      <color rgb="FF1F1F1F"/>
      <name val="Sahel"/>
    </font>
    <font>
      <sz val="10"/>
      <color rgb="FF000000"/>
      <name val="Sahel"/>
    </font>
    <font>
      <u/>
      <sz val="9"/>
      <color rgb="FF008000"/>
      <name val="Sahel"/>
    </font>
    <font>
      <sz val="10"/>
      <name val="Sahel"/>
    </font>
    <font>
      <b/>
      <sz val="14"/>
      <color rgb="FF1F3864"/>
      <name val="Sahel"/>
    </font>
    <font>
      <i/>
      <sz val="10"/>
      <name val="Sahel"/>
    </font>
    <font>
      <b/>
      <sz val="10"/>
      <color rgb="FFFFFFFF"/>
      <name val="Sahel"/>
    </font>
    <font>
      <sz val="11"/>
      <color theme="1"/>
      <name val="Sahel"/>
      <family val="2"/>
      <charset val="1"/>
    </font>
    <font>
      <b/>
      <sz val="13"/>
      <color rgb="FFFFFFFF"/>
      <name val="Sahel"/>
    </font>
    <font>
      <b/>
      <sz val="11"/>
      <color theme="1"/>
      <name val="Sahel"/>
      <family val="2"/>
      <charset val="1"/>
    </font>
    <font>
      <b/>
      <sz val="9"/>
      <color rgb="FF1F1F1F"/>
      <name val="Sahel"/>
    </font>
    <font>
      <b/>
      <sz val="9"/>
      <color rgb="FF008000"/>
      <name val="Sahel"/>
    </font>
    <font>
      <b/>
      <u/>
      <sz val="9"/>
      <color rgb="FF008000"/>
      <name val="Sahel"/>
    </font>
    <font>
      <b/>
      <sz val="16"/>
      <color rgb="FFFFFFFF"/>
      <name val="Sahel"/>
    </font>
    <font>
      <sz val="11"/>
      <color rgb="FF606B7A"/>
      <name val="Sahel"/>
    </font>
    <font>
      <b/>
      <sz val="11"/>
      <color rgb="FFFFFFFF"/>
      <name val="Sahel"/>
    </font>
    <font>
      <sz val="11"/>
      <color rgb="FF24354B"/>
      <name val="Sahel"/>
    </font>
    <font>
      <u/>
      <sz val="10"/>
      <color rgb="FF0563C1"/>
      <name val="Sahel"/>
    </font>
    <font>
      <sz val="11"/>
      <color rgb="FF000000"/>
      <name val="Sahel"/>
    </font>
    <font>
      <b/>
      <sz val="14"/>
      <color rgb="FF1F3864"/>
      <name val="Sahel"/>
    </font>
    <font>
      <b/>
      <sz val="10"/>
      <color rgb="FFFFFFFF"/>
      <name val="Sahel"/>
    </font>
  </fonts>
  <fills count="31">
    <fill>
      <patternFill patternType="none"/>
    </fill>
    <fill>
      <patternFill patternType="gray125"/>
    </fill>
    <fill>
      <patternFill patternType="solid">
        <fgColor rgb="FFE2F0D9"/>
        <bgColor rgb="FFE7E6E6"/>
      </patternFill>
    </fill>
    <fill>
      <patternFill patternType="solid">
        <fgColor rgb="FFFFF2CC"/>
        <bgColor rgb="FFFCE4D6"/>
      </patternFill>
    </fill>
    <fill>
      <patternFill patternType="solid">
        <fgColor rgb="FFE7E6E6"/>
        <bgColor rgb="FFE2F0D9"/>
      </patternFill>
    </fill>
    <fill>
      <patternFill patternType="solid">
        <fgColor rgb="FFFCE4D6"/>
        <bgColor rgb="FFFFF2CC"/>
      </patternFill>
    </fill>
    <fill>
      <patternFill patternType="solid">
        <fgColor rgb="FF17365D"/>
      </patternFill>
    </fill>
    <fill>
      <patternFill patternType="solid">
        <fgColor rgb="FF1F4E78"/>
      </patternFill>
    </fill>
    <fill>
      <patternFill patternType="solid">
        <fgColor rgb="FF0F6B78"/>
      </patternFill>
    </fill>
    <fill>
      <patternFill patternType="solid">
        <fgColor rgb="FFFFF2CC"/>
      </patternFill>
    </fill>
    <fill>
      <patternFill patternType="solid">
        <fgColor rgb="FFE2F0D9"/>
      </patternFill>
    </fill>
    <fill>
      <patternFill patternType="solid">
        <fgColor rgb="FFF8FBFD"/>
      </patternFill>
    </fill>
    <fill>
      <patternFill patternType="solid">
        <fgColor rgb="FF1F3864"/>
      </patternFill>
    </fill>
    <fill>
      <patternFill patternType="solid">
        <fgColor rgb="FFD9E2F3"/>
      </patternFill>
    </fill>
    <fill>
      <patternFill patternType="solid">
        <fgColor rgb="FFF5F8FC"/>
      </patternFill>
    </fill>
    <fill>
      <patternFill patternType="solid">
        <fgColor rgb="FF1F4E78"/>
      </patternFill>
    </fill>
    <fill>
      <patternFill patternType="solid">
        <fgColor rgb="FFD9EAF7"/>
      </patternFill>
    </fill>
    <fill>
      <patternFill patternType="solid">
        <fgColor rgb="FFF4CCCC"/>
      </patternFill>
    </fill>
    <fill>
      <patternFill patternType="solid">
        <fgColor rgb="FFDDEBF7"/>
      </patternFill>
    </fill>
    <fill>
      <patternFill patternType="solid">
        <fgColor rgb="FFE2F0D9"/>
      </patternFill>
    </fill>
    <fill>
      <patternFill patternType="solid">
        <fgColor rgb="FFFCE4D6"/>
      </patternFill>
    </fill>
    <fill>
      <patternFill patternType="solid">
        <fgColor rgb="FFE7E6E6"/>
      </patternFill>
    </fill>
    <fill>
      <patternFill patternType="solid">
        <fgColor rgb="FFE4DFEC"/>
      </patternFill>
    </fill>
    <fill>
      <patternFill patternType="solid">
        <fgColor rgb="FF203864"/>
      </patternFill>
    </fill>
    <fill>
      <patternFill patternType="solid">
        <fgColor rgb="FFFFFFFF"/>
      </patternFill>
    </fill>
    <fill>
      <patternFill patternType="solid">
        <fgColor rgb="FFF4F7FB"/>
      </patternFill>
    </fill>
    <fill>
      <patternFill patternType="solid">
        <fgColor rgb="FFFFF0D9"/>
      </patternFill>
    </fill>
    <fill>
      <patternFill patternType="solid">
        <fgColor rgb="FFD9E2F3"/>
      </patternFill>
    </fill>
    <fill>
      <patternFill patternType="solid">
        <fgColor rgb="FF1F3864"/>
      </patternFill>
    </fill>
    <fill>
      <patternFill patternType="solid">
        <fgColor rgb="FFF5F8FC"/>
      </patternFill>
    </fill>
    <fill>
      <patternFill patternType="solid">
        <fgColor rgb="FFE2EFDA"/>
      </patternFill>
    </fill>
  </fills>
  <borders count="7">
    <border>
      <left/>
      <right/>
      <top/>
      <bottom/>
      <diagonal/>
    </border>
    <border>
      <left/>
      <right/>
      <top/>
      <bottom style="thin">
        <color rgb="FFD9E1F2"/>
      </bottom>
      <diagonal/>
    </border>
    <border>
      <left/>
      <right/>
      <top/>
      <bottom style="medium">
        <color rgb="FF17365D"/>
      </bottom>
      <diagonal/>
    </border>
    <border>
      <left/>
      <right/>
      <top/>
      <bottom style="thin">
        <color rgb="FFD9E2F3"/>
      </bottom>
      <diagonal/>
    </border>
    <border>
      <left style="thin">
        <color rgb="FFBFBFBF"/>
      </left>
      <right style="thin">
        <color rgb="FFBFBFBF"/>
      </right>
      <top style="thin">
        <color rgb="FFBFBFBF"/>
      </top>
      <bottom style="thin">
        <color rgb="FFBFBFBF"/>
      </bottom>
      <diagonal/>
    </border>
    <border>
      <left/>
      <right/>
      <top/>
      <bottom style="hair">
        <color rgb="FFDDE4EE"/>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9">
    <xf numFmtId="0" fontId="0" fillId="0" borderId="0" xfId="0"/>
    <xf numFmtId="0" fontId="1" fillId="0" borderId="1" xfId="0" applyFont="1" applyBorder="1" applyAlignment="1">
      <alignment horizontal="right" vertical="center" wrapText="1"/>
    </xf>
    <xf numFmtId="0" fontId="1" fillId="0" borderId="1" xfId="0" applyFont="1" applyBorder="1" applyAlignment="1">
      <alignment horizontal="center" vertical="center" wrapText="1"/>
    </xf>
    <xf numFmtId="0" fontId="2" fillId="0" borderId="3" xfId="0" applyFont="1" applyBorder="1" applyAlignment="1">
      <alignment horizontal="center" vertical="center" wrapText="1"/>
    </xf>
    <xf numFmtId="0" fontId="6" fillId="9" borderId="3" xfId="0" applyFont="1" applyFill="1" applyBorder="1" applyAlignment="1">
      <alignment horizontal="center" vertical="center" wrapText="1"/>
    </xf>
    <xf numFmtId="0" fontId="7" fillId="10" borderId="3" xfId="0" applyFont="1" applyFill="1" applyBorder="1" applyAlignment="1">
      <alignment horizontal="center" vertical="center" wrapText="1"/>
    </xf>
    <xf numFmtId="0" fontId="2" fillId="11" borderId="3" xfId="0" applyFont="1" applyFill="1" applyBorder="1" applyAlignment="1">
      <alignment horizontal="center" vertical="center" wrapText="1"/>
    </xf>
    <xf numFmtId="0" fontId="5" fillId="8" borderId="3" xfId="0" applyFont="1" applyFill="1" applyBorder="1" applyAlignment="1">
      <alignment horizontal="center" vertical="center" wrapText="1"/>
    </xf>
    <xf numFmtId="0" fontId="8" fillId="0" borderId="3" xfId="0" applyFont="1" applyBorder="1" applyAlignment="1">
      <alignment horizontal="center" vertical="center" wrapText="1"/>
    </xf>
    <xf numFmtId="0" fontId="8" fillId="2" borderId="3" xfId="0" applyFont="1" applyFill="1" applyBorder="1" applyAlignment="1">
      <alignment horizontal="center" vertical="center" wrapText="1"/>
    </xf>
    <xf numFmtId="0" fontId="8" fillId="11" borderId="3" xfId="0" applyFont="1" applyFill="1" applyBorder="1" applyAlignment="1">
      <alignment horizontal="center" vertical="center" wrapText="1"/>
    </xf>
    <xf numFmtId="164" fontId="9" fillId="11" borderId="3" xfId="0" applyNumberFormat="1" applyFont="1" applyFill="1" applyBorder="1" applyAlignment="1">
      <alignment horizontal="center" vertical="center" wrapText="1"/>
    </xf>
    <xf numFmtId="164" fontId="9" fillId="0" borderId="3" xfId="0" applyNumberFormat="1" applyFont="1" applyBorder="1" applyAlignment="1">
      <alignment horizontal="center" vertical="center" wrapText="1"/>
    </xf>
    <xf numFmtId="0" fontId="8" fillId="3" borderId="3"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10" fillId="10" borderId="3" xfId="0" applyFont="1" applyFill="1" applyBorder="1" applyAlignment="1">
      <alignment horizontal="center" vertical="center" wrapText="1"/>
    </xf>
    <xf numFmtId="0" fontId="8" fillId="5" borderId="3" xfId="0" applyFont="1" applyFill="1" applyBorder="1" applyAlignment="1">
      <alignment horizontal="center" vertical="center" wrapText="1"/>
    </xf>
    <xf numFmtId="0" fontId="9" fillId="11" borderId="3" xfId="0" applyFont="1" applyFill="1" applyBorder="1" applyAlignment="1">
      <alignment horizontal="center" vertical="center" wrapText="1"/>
    </xf>
    <xf numFmtId="0" fontId="9" fillId="0" borderId="3" xfId="0" applyFont="1" applyBorder="1" applyAlignment="1">
      <alignment horizontal="center" vertical="center" wrapText="1"/>
    </xf>
    <xf numFmtId="2" fontId="9" fillId="11" borderId="3" xfId="0" applyNumberFormat="1" applyFont="1" applyFill="1" applyBorder="1" applyAlignment="1">
      <alignment horizontal="center" vertical="center" wrapText="1"/>
    </xf>
    <xf numFmtId="2" fontId="9" fillId="0" borderId="3" xfId="0" applyNumberFormat="1" applyFont="1" applyBorder="1" applyAlignment="1">
      <alignment horizontal="center" vertical="center" wrapText="1"/>
    </xf>
    <xf numFmtId="165" fontId="9" fillId="0" borderId="3" xfId="0" applyNumberFormat="1" applyFont="1" applyBorder="1" applyAlignment="1">
      <alignment horizontal="center" vertical="center" wrapText="1"/>
    </xf>
    <xf numFmtId="165" fontId="9" fillId="11" borderId="3" xfId="0" applyNumberFormat="1" applyFont="1" applyFill="1" applyBorder="1" applyAlignment="1">
      <alignment horizontal="center" vertical="center" wrapText="1"/>
    </xf>
    <xf numFmtId="0" fontId="11" fillId="0" borderId="4" xfId="0" applyFont="1" applyBorder="1" applyAlignment="1">
      <alignment horizontal="center" vertical="center" wrapText="1" readingOrder="2"/>
    </xf>
    <xf numFmtId="0" fontId="14" fillId="12" borderId="4" xfId="0" applyFont="1" applyFill="1" applyBorder="1" applyAlignment="1">
      <alignment horizontal="center" vertical="center" wrapText="1" readingOrder="2"/>
    </xf>
    <xf numFmtId="0" fontId="11" fillId="14" borderId="4" xfId="0" applyFont="1" applyFill="1" applyBorder="1" applyAlignment="1">
      <alignment horizontal="center" vertical="center" wrapText="1" readingOrder="2"/>
    </xf>
    <xf numFmtId="0" fontId="15" fillId="0" borderId="0" xfId="0" applyFont="1" applyAlignment="1">
      <alignment horizontal="center" vertical="center" wrapText="1"/>
    </xf>
    <xf numFmtId="0" fontId="17" fillId="16" borderId="0" xfId="0" applyFont="1" applyFill="1" applyAlignment="1">
      <alignment horizontal="center" vertical="center" wrapText="1"/>
    </xf>
    <xf numFmtId="0" fontId="5" fillId="16" borderId="2" xfId="0" applyFont="1" applyFill="1" applyBorder="1" applyAlignment="1">
      <alignment horizontal="center" vertical="center" wrapText="1"/>
    </xf>
    <xf numFmtId="0" fontId="17" fillId="17" borderId="0" xfId="0" applyFont="1" applyFill="1" applyAlignment="1">
      <alignment horizontal="center" vertical="center" wrapText="1"/>
    </xf>
    <xf numFmtId="0" fontId="17" fillId="18" borderId="0" xfId="0" applyFont="1" applyFill="1" applyAlignment="1">
      <alignment horizontal="center" vertical="center" wrapText="1"/>
    </xf>
    <xf numFmtId="164" fontId="15" fillId="0" borderId="0" xfId="0" applyNumberFormat="1" applyFont="1" applyAlignment="1">
      <alignment horizontal="center" vertical="center" wrapText="1"/>
    </xf>
    <xf numFmtId="0" fontId="17" fillId="19" borderId="0" xfId="0" applyFont="1" applyFill="1" applyAlignment="1">
      <alignment horizontal="center" vertical="center" wrapText="1"/>
    </xf>
    <xf numFmtId="0" fontId="17" fillId="20" borderId="0" xfId="0" applyFont="1" applyFill="1" applyAlignment="1">
      <alignment horizontal="center" vertical="center" wrapText="1"/>
    </xf>
    <xf numFmtId="0" fontId="17" fillId="21" borderId="0" xfId="0" applyFont="1" applyFill="1" applyAlignment="1">
      <alignment horizontal="center" vertical="center" wrapText="1"/>
    </xf>
    <xf numFmtId="0" fontId="17" fillId="22" borderId="0" xfId="0" applyFont="1" applyFill="1" applyAlignment="1">
      <alignment horizontal="center" vertical="center" wrapText="1"/>
    </xf>
    <xf numFmtId="0" fontId="16" fillId="15" borderId="2" xfId="0" applyFont="1" applyFill="1" applyBorder="1" applyAlignment="1">
      <alignment horizontal="center" vertical="center" wrapText="1"/>
    </xf>
    <xf numFmtId="0" fontId="18" fillId="16" borderId="3" xfId="0" applyFont="1" applyFill="1" applyBorder="1" applyAlignment="1">
      <alignment horizontal="center" vertical="center" wrapText="1"/>
    </xf>
    <xf numFmtId="0" fontId="19" fillId="16" borderId="3" xfId="0" applyFont="1" applyFill="1" applyBorder="1" applyAlignment="1">
      <alignment horizontal="center" vertical="center" wrapText="1"/>
    </xf>
    <xf numFmtId="0" fontId="20" fillId="16" borderId="3" xfId="0" applyFont="1" applyFill="1" applyBorder="1" applyAlignment="1">
      <alignment horizontal="center" vertical="center" wrapText="1"/>
    </xf>
    <xf numFmtId="0" fontId="14" fillId="16" borderId="4" xfId="0" applyFont="1" applyFill="1" applyBorder="1" applyAlignment="1">
      <alignment horizontal="center" vertical="center" wrapText="1" readingOrder="2"/>
    </xf>
    <xf numFmtId="0" fontId="5" fillId="16"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right" vertical="center" wrapText="1"/>
    </xf>
    <xf numFmtId="0" fontId="4" fillId="19" borderId="1" xfId="0" applyFont="1" applyFill="1" applyBorder="1" applyAlignment="1">
      <alignment horizontal="center" vertical="center" wrapText="1"/>
    </xf>
    <xf numFmtId="0" fontId="4" fillId="20"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3" fillId="16"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4" borderId="1" xfId="0" applyFont="1" applyFill="1" applyBorder="1" applyAlignment="1">
      <alignment horizontal="right" vertical="center" wrapText="1"/>
    </xf>
    <xf numFmtId="0" fontId="4" fillId="18" borderId="1" xfId="0" applyFont="1" applyFill="1" applyBorder="1" applyAlignment="1">
      <alignment horizontal="center" vertical="center" wrapText="1"/>
    </xf>
    <xf numFmtId="0" fontId="4" fillId="21" borderId="1" xfId="0" applyFont="1" applyFill="1" applyBorder="1" applyAlignment="1">
      <alignment horizontal="center" vertical="center" wrapText="1"/>
    </xf>
    <xf numFmtId="0" fontId="4" fillId="22" borderId="1" xfId="0" applyFont="1" applyFill="1" applyBorder="1" applyAlignment="1">
      <alignment horizontal="center" vertical="center" wrapText="1"/>
    </xf>
    <xf numFmtId="0" fontId="23" fillId="23" borderId="0" xfId="0" applyFont="1" applyFill="1" applyAlignment="1">
      <alignment horizontal="center" vertical="center" wrapText="1" readingOrder="2"/>
    </xf>
    <xf numFmtId="0" fontId="24" fillId="25" borderId="5" xfId="0" applyFont="1" applyFill="1" applyBorder="1" applyAlignment="1">
      <alignment horizontal="center" vertical="center" wrapText="1" readingOrder="2"/>
    </xf>
    <xf numFmtId="0" fontId="24" fillId="24" borderId="5" xfId="0" applyFont="1" applyFill="1" applyBorder="1" applyAlignment="1">
      <alignment horizontal="center" vertical="center" wrapText="1" readingOrder="2"/>
    </xf>
    <xf numFmtId="0" fontId="26" fillId="24" borderId="5" xfId="0" applyFont="1" applyFill="1" applyBorder="1" applyAlignment="1">
      <alignment horizontal="center" vertical="center" wrapText="1" readingOrder="2"/>
    </xf>
    <xf numFmtId="0" fontId="26" fillId="25" borderId="5" xfId="0" applyFont="1" applyFill="1" applyBorder="1" applyAlignment="1">
      <alignment horizontal="center" vertical="center" wrapText="1" readingOrder="2"/>
    </xf>
    <xf numFmtId="0" fontId="24" fillId="26" borderId="5" xfId="0" applyFont="1" applyFill="1" applyBorder="1" applyAlignment="1">
      <alignment horizontal="center" vertical="center" wrapText="1" readingOrder="2"/>
    </xf>
    <xf numFmtId="0" fontId="26" fillId="26" borderId="5" xfId="0" applyFont="1" applyFill="1" applyBorder="1" applyAlignment="1">
      <alignment horizontal="center" vertical="center" wrapText="1" readingOrder="2"/>
    </xf>
    <xf numFmtId="0" fontId="25" fillId="26" borderId="5" xfId="0" applyFont="1" applyFill="1" applyBorder="1" applyAlignment="1">
      <alignment horizontal="center" vertical="center" wrapText="1" readingOrder="2"/>
    </xf>
    <xf numFmtId="164" fontId="26" fillId="24" borderId="5" xfId="0" applyNumberFormat="1" applyFont="1" applyFill="1" applyBorder="1" applyAlignment="1">
      <alignment horizontal="center" vertical="center" wrapText="1" readingOrder="2"/>
    </xf>
    <xf numFmtId="164" fontId="26" fillId="25" borderId="5" xfId="0" applyNumberFormat="1" applyFont="1" applyFill="1" applyBorder="1" applyAlignment="1">
      <alignment horizontal="center" vertical="center" wrapText="1" readingOrder="2"/>
    </xf>
    <xf numFmtId="0" fontId="25" fillId="25" borderId="5" xfId="0" applyFont="1" applyFill="1" applyBorder="1" applyAlignment="1">
      <alignment horizontal="center" vertical="center" wrapText="1" readingOrder="2"/>
    </xf>
    <xf numFmtId="0" fontId="25" fillId="24" borderId="5" xfId="0" applyFont="1" applyFill="1" applyBorder="1" applyAlignment="1">
      <alignment horizontal="center" vertical="center" wrapText="1" readingOrder="2"/>
    </xf>
    <xf numFmtId="164" fontId="11" fillId="0" borderId="4" xfId="0" applyNumberFormat="1" applyFont="1" applyBorder="1" applyAlignment="1">
      <alignment horizontal="center" vertical="center" wrapText="1" readingOrder="2"/>
    </xf>
    <xf numFmtId="164" fontId="11" fillId="14" borderId="4" xfId="0" applyNumberFormat="1" applyFont="1" applyFill="1" applyBorder="1" applyAlignment="1">
      <alignment horizontal="center" vertical="center" wrapText="1" readingOrder="2"/>
    </xf>
    <xf numFmtId="0" fontId="28" fillId="28" borderId="6" xfId="0" applyFont="1" applyFill="1" applyBorder="1" applyAlignment="1">
      <alignment horizontal="center" vertical="center" wrapText="1" readingOrder="2"/>
    </xf>
    <xf numFmtId="0" fontId="11" fillId="0" borderId="6" xfId="0" applyFont="1" applyBorder="1" applyAlignment="1">
      <alignment horizontal="center" vertical="center" wrapText="1" readingOrder="2"/>
    </xf>
    <xf numFmtId="0" fontId="11" fillId="29" borderId="6" xfId="0" applyFont="1" applyFill="1" applyBorder="1" applyAlignment="1">
      <alignment horizontal="center" vertical="center" wrapText="1" readingOrder="2"/>
    </xf>
    <xf numFmtId="166" fontId="11" fillId="0" borderId="6" xfId="0" applyNumberFormat="1" applyFont="1" applyBorder="1" applyAlignment="1">
      <alignment horizontal="center" vertical="center" wrapText="1" readingOrder="2"/>
    </xf>
    <xf numFmtId="166" fontId="11" fillId="29" borderId="6" xfId="0" applyNumberFormat="1" applyFont="1" applyFill="1" applyBorder="1" applyAlignment="1">
      <alignment horizontal="center" vertical="center" wrapText="1" readingOrder="2"/>
    </xf>
    <xf numFmtId="0" fontId="11" fillId="30" borderId="6" xfId="0" applyFont="1" applyFill="1" applyBorder="1" applyAlignment="1">
      <alignment horizontal="center" vertical="center" wrapText="1" readingOrder="2"/>
    </xf>
    <xf numFmtId="0" fontId="21" fillId="23" borderId="0" xfId="0" applyFont="1" applyFill="1" applyAlignment="1">
      <alignment horizontal="center" vertical="center" wrapText="1" readingOrder="2"/>
    </xf>
    <xf numFmtId="0" fontId="0" fillId="0" borderId="0" xfId="0"/>
    <xf numFmtId="0" fontId="22" fillId="24" borderId="0" xfId="0" applyFont="1" applyFill="1" applyAlignment="1">
      <alignment horizontal="center" vertical="center" wrapText="1" readingOrder="2"/>
    </xf>
    <xf numFmtId="0" fontId="15" fillId="0" borderId="0" xfId="0" applyFont="1" applyAlignment="1">
      <alignment horizontal="center" vertical="center" wrapText="1"/>
    </xf>
    <xf numFmtId="0" fontId="16" fillId="15" borderId="0" xfId="0" applyFont="1" applyFill="1" applyAlignment="1">
      <alignment horizontal="center" vertical="center" wrapText="1"/>
    </xf>
    <xf numFmtId="0" fontId="4" fillId="7" borderId="3" xfId="0" applyFont="1" applyFill="1" applyBorder="1" applyAlignment="1">
      <alignment horizontal="center" vertical="center" wrapText="1"/>
    </xf>
    <xf numFmtId="0" fontId="0" fillId="0" borderId="3" xfId="0" applyBorder="1"/>
    <xf numFmtId="0" fontId="4" fillId="7" borderId="0" xfId="0" applyFont="1" applyFill="1" applyAlignment="1">
      <alignment horizontal="center" vertical="center" wrapText="1"/>
    </xf>
    <xf numFmtId="0" fontId="17" fillId="16" borderId="0" xfId="0" applyFont="1" applyFill="1" applyAlignment="1">
      <alignment horizontal="center" vertical="center" wrapText="1"/>
    </xf>
    <xf numFmtId="0" fontId="17" fillId="18" borderId="0" xfId="0" applyFont="1" applyFill="1" applyAlignment="1">
      <alignment horizontal="center" vertical="center" wrapText="1"/>
    </xf>
    <xf numFmtId="0" fontId="13" fillId="0" borderId="0" xfId="0" applyFont="1" applyAlignment="1">
      <alignment horizontal="center" vertical="center" wrapText="1" readingOrder="2"/>
    </xf>
    <xf numFmtId="0" fontId="2" fillId="0" borderId="0" xfId="0" applyFont="1" applyAlignment="1">
      <alignment horizontal="center" vertical="center" wrapText="1"/>
    </xf>
    <xf numFmtId="0" fontId="12" fillId="13" borderId="0" xfId="0" applyFont="1" applyFill="1" applyAlignment="1">
      <alignment horizontal="center" vertical="center" wrapText="1" readingOrder="2"/>
    </xf>
    <xf numFmtId="0" fontId="27" fillId="27" borderId="0" xfId="0" applyFont="1" applyFill="1" applyAlignment="1">
      <alignment horizontal="center" vertical="center" wrapText="1" readingOrder="2"/>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9EA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E7E6E6"/>
      <rgbColor rgb="FFE2F0D9"/>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7365D"/>
      <rgbColor rgb="FF339966"/>
      <rgbColor rgb="FF003300"/>
      <rgbColor rgb="FF333300"/>
      <rgbColor rgb="FF993300"/>
      <rgbColor rgb="FF993366"/>
      <rgbColor rgb="FF333399"/>
      <rgbColor rgb="FF1F1F1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styles" Target="styles.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calcChain" Target="calcChain.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www.codal.ir/Reports/Attachment.aspx?LetterSerial=Cxkdj8wztt52xU9MoBXp2w%3d%3d"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codal.ir/Reports/Attachment.aspx?LetterSerial=Cxkdj8wztt52xU9MoBXp2w%3d%3d" TargetMode="External"/><Relationship Id="rId3" Type="http://schemas.openxmlformats.org/officeDocument/2006/relationships/hyperlink" Target="https://www.tejaratbank.ir/news/2061976-tejaratbank.html" TargetMode="External"/><Relationship Id="rId7" Type="http://schemas.openxmlformats.org/officeDocument/2006/relationships/hyperlink" Target="https://www.codal.ir/Reports/Decision.aspx?LetterSerial=ag9Rd4I5seaRFhQQQaQQQiZlm5lQ%3d%3d&amp;rt=2&amp;let=19&amp;ct=0&amp;ft=-1" TargetMode="External"/><Relationship Id="rId2" Type="http://schemas.openxmlformats.org/officeDocument/2006/relationships/hyperlink" Target="https://www.tejaratbank.ir/general_content/1520654-Board-Of-Directors.html" TargetMode="External"/><Relationship Id="rId1" Type="http://schemas.openxmlformats.org/officeDocument/2006/relationships/hyperlink" Target="https://www.tejaratbank.ir/web_directory/1679-Board-of-Directors-and-Director.html" TargetMode="External"/><Relationship Id="rId6" Type="http://schemas.openxmlformats.org/officeDocument/2006/relationships/hyperlink" Target="https://www.codal.ir/Reports/Decision.aspx?LetterSerial=tL1npzfj3XSDR4oEqs1VIw%3d%3d&amp;rt=3&amp;let=19&amp;ct=0&amp;ft=-1" TargetMode="External"/><Relationship Id="rId5" Type="http://schemas.openxmlformats.org/officeDocument/2006/relationships/hyperlink" Target="https://saoi.ir/&#1705;&#1588;&#1578;&#1740;&#1585;&#1575;&#1606;&#1740;-&#1580;&#1605;&#1607;&#1608;&#1585;&#1740;-&#1575;&#1587;&#1604;&#1575;&#1605;&#1740;-&#1575;&#1740;&#1585;&#1575;&#1606;/" TargetMode="External"/><Relationship Id="rId4" Type="http://schemas.openxmlformats.org/officeDocument/2006/relationships/hyperlink" Target="https://www.codal.ir/Reports/Decision.aspx?LetterSerial=UtkvD7QAtPic497u28Cz6g%3d%3d&amp;rt=3&amp;let=90&amp;ct=0&amp;ft=-1" TargetMode="External"/></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5.xml.rels><?xml version="1.0" encoding="UTF-8" standalone="yes"?>
<Relationships xmlns="http://schemas.openxmlformats.org/package/2006/relationships"><Relationship Id="rId8" Type="http://schemas.openxmlformats.org/officeDocument/2006/relationships/hyperlink" Target="https://www.codal.ir/Reports/Attachment.aspx?LetterSerial=qQQQaQQQXL8Mm5NCUb8eyBSic7hA%3d%3d%0ahttps://www.codal.ir/Reports/Attachment.aspx?LetterSerial=lWuukNFzDitnWL7VD4weCA%3d%3d" TargetMode="External"/><Relationship Id="rId13" Type="http://schemas.openxmlformats.org/officeDocument/2006/relationships/hyperlink" Target="https://www.codal.ir/Reports/Attachment.aspx?LetterSerial=l18osNfAAH2DvvstKQQQaQQQYuHQ%3d%3d%0ahttps://www.codal.ir/Reports/Decision.aspx?LetterSerial=GSIO5iJOn2Ini6eniOOOObOOOopw%3d%3d&amp;rt=5&amp;let=19&amp;ct=0&amp;ft=-1%0ahttps://www.codal.ir/Reports/Decision.aspx?LetterSerial=iXcFNxwCjn4aV4ptXi6QQQaQQQjA%3d%3d&amp;rt=5&amp;let=19&amp;ct=0&amp;ft=-1" TargetMode="External"/><Relationship Id="rId18" Type="http://schemas.openxmlformats.org/officeDocument/2006/relationships/hyperlink" Target="https://www.codal.ir/Reports/Attachment.aspx?LetterSerial=qF6WQQQaQQQvb3G9yQQQaQQQVuknoGcUQQ%3d%3d%0ahttps://www.codal.ir/Reports/Attachment.aspx?LetterSerial=Ln6R9zsWXNJqeuz97OOObOOOaACw%3d%3d%0ahttps://www.codal.ir/Reports/Decision.aspx?LetterSerial=EkFsjyhmhfXBQoQQQaQQQTg7cqCw%3d%3d&amp;rt=5&amp;let=19&amp;ct=0&amp;ft=-1" TargetMode="External"/><Relationship Id="rId3" Type="http://schemas.openxmlformats.org/officeDocument/2006/relationships/hyperlink" Target="https://www.codal.ir/Reports/Attachment.aspx?LetterSerial=W3P2HVjIaDXFbdMemqSeUA%3d%3d%0ahttps://www.codal.ir/Reports/Attachment.aspx?LetterSerial=F0veQQQaQQQX4tai7nAftHYyrDhg%3d%3d" TargetMode="External"/><Relationship Id="rId21" Type="http://schemas.openxmlformats.org/officeDocument/2006/relationships/hyperlink" Target="https://www.codal.ir/Reports/Attachment.aspx?LetterSerial=Cxkdj8wztt52xU9MoBXp2w%3d%3d" TargetMode="External"/><Relationship Id="rId7" Type="http://schemas.openxmlformats.org/officeDocument/2006/relationships/hyperlink" Target="https://www.codal.ir/Reports/Decision.aspx?LetterSerial=b9uqvOIQIMvyGYAfsuoWUg%3d%3d&amp;rt=2&amp;let=19&amp;ct=0&amp;ft=-1%0ahttps://www.codal.ir/Reports/Decision.aspx?LetterSerial=ytYjZCpQQQaQQQ34BFQkm8DLxX9A%3d%3d&amp;rt=2&amp;let=19&amp;ct=0&amp;ft=-1" TargetMode="External"/><Relationship Id="rId12" Type="http://schemas.openxmlformats.org/officeDocument/2006/relationships/hyperlink" Target="https://www.codal.ir/Reports/Attachment.aspx?LetterSerial=Pzx8AUWEOOObOOOMcLjZdiSXNAoA%3d%3d%0ahttps://www.codal.ir/Reports/Attachment.aspx?LetterSerial=L6jPydiKkSCQR9kVCKMgkg%3d%3d" TargetMode="External"/><Relationship Id="rId17" Type="http://schemas.openxmlformats.org/officeDocument/2006/relationships/hyperlink" Target="https://www.codal.ir/Reports/Decision.aspx?LetterSerial=0rlsOOObOOOEFaa9IMoCD90IUbxA%3d%3d&amp;rt=0&amp;let=19&amp;ct=0&amp;ft=-1%0ahttps://www.codal.ir/Reports/Decision.aspx?LetterSerial=UJ1so0i61H6WpTMWJ3OsCA%3d%3d&amp;rt=0&amp;let=19&amp;ct=0&amp;ft=-1" TargetMode="External"/><Relationship Id="rId2" Type="http://schemas.openxmlformats.org/officeDocument/2006/relationships/hyperlink" Target="https://www.codal.ir/Reports/Decision.aspx?LetterSerial=sjHofZygVLXICVj8iXL3Aw%3d%3d&amp;rt=0&amp;let=19&amp;ct=0&amp;ft=-1%0ahttps://www.codal.ir/Reports/Decision.aspx?LetterSerial=1kqm2T6e5zV5EQQQaQQQKdlIj9HA%3d%3d&amp;rt=0&amp;let=19&amp;ct=0&amp;ft=-1" TargetMode="External"/><Relationship Id="rId16" Type="http://schemas.openxmlformats.org/officeDocument/2006/relationships/hyperlink" Target="https://www.codal.ir/Reports/Attachment.aspx?LetterSerial=CM4mqa3Wz2h9LMqk4uVACQ%3d%3d%0ahttps://www.codal.ir/Reports/Attachment.aspx?LetterSerial=L3pmVuuRgm42MhLxuM1ElQ%3d%3d%0ahttps://www.codal.ir/Reports/Decision.aspx?LetterSerial=1UEyCQ9gyduKzNiiDDNXUA%3d%3d&amp;rt=2&amp;let=19&amp;ct=0&amp;ft=-1%0ahttps://www.codal.ir/Reports/Decision.aspx?LetterSerial=heZfln7kl6v8fiuPpe5P4g%3d%3d&amp;rt=2&amp;let=19&amp;ct=0&amp;ft=-1" TargetMode="External"/><Relationship Id="rId20" Type="http://schemas.openxmlformats.org/officeDocument/2006/relationships/hyperlink" Target="https://www.codal.ir/Reports/Attachment.aspx?LetterSerial=HChwyLb11ZnzYeIEeB3Jng%3d%3d%0ahttps://www.codal.ir/Reports/Attachment.aspx?LetterSerial=p0cfFj1rDsXiFZsu35tCWw%3d%3d" TargetMode="External"/><Relationship Id="rId1" Type="http://schemas.openxmlformats.org/officeDocument/2006/relationships/hyperlink" Target="https://www.codal.ir/Reports/Decision.aspx?LetterSerial=ULk65ZOHpAkFOOObOOOb3pLpblJQ%3d%3d&amp;rt=0&amp;let=19&amp;ct=0&amp;ft=-1%0ahttps://www.codal.ir/Reports/Decision.aspx?LetterSerial=kealwqnfPYdWwbR3UB9uZw%3d%3d&amp;rt=0&amp;let=19&amp;ct=0&amp;ft=-1" TargetMode="External"/><Relationship Id="rId6" Type="http://schemas.openxmlformats.org/officeDocument/2006/relationships/hyperlink" Target="https://www.codal.ir/Reports/Decision.aspx?LetterSerial=BgB1TPEYicGYh74gmrG9mA%3d%3d&amp;rt=0&amp;let=19&amp;ct=0&amp;ft=-1%0ahttps://www.codal.ir/Reports/Decision.aspx?LetterSerial=zWRtzdFgEWKY0H4XNrzRzA%3d%3d&amp;rt=0&amp;let=19&amp;ct=0&amp;ft=-1" TargetMode="External"/><Relationship Id="rId11" Type="http://schemas.openxmlformats.org/officeDocument/2006/relationships/hyperlink" Target="https://www.codal.ir/Reports/Decision.aspx?LetterSerial=V8TQGa6IRAmh3pwzvDL0KQ%3d%3d&amp;rt=0&amp;let=19&amp;ct=0&amp;ft=-1%0ahttps://www.codal.ir/Reports/Decision.aspx?LetterSerial=IYIOOObOOO6mh6t3bHqdV5BigMrg%3d%3d&amp;rt=0&amp;let=19&amp;ct=0&amp;ft=-1" TargetMode="External"/><Relationship Id="rId5" Type="http://schemas.openxmlformats.org/officeDocument/2006/relationships/hyperlink" Target="https://www.codal.ir/Reports/Decision.aspx?LetterSerial=b8oxHadTuSstqVNc5Bqzjw%3d%3d&amp;rt=2&amp;let=19&amp;ct=0&amp;ft=-1%0ahttps://www.codal.ir/Reports/Decision.aspx?LetterSerial=pk2gUF4FVfw9cOOObOOOOR6kSTDg%3d%3d&amp;rt=2&amp;let=19&amp;ct=0&amp;ft=-1" TargetMode="External"/><Relationship Id="rId15" Type="http://schemas.openxmlformats.org/officeDocument/2006/relationships/hyperlink" Target="https://www.codal.ir/Reports/Attachment.aspx?LetterSerial=AcoEbrF1YWBxnIP9D2INbA%3d%3d%0ahttps://www.codal.ir/Reports/Attachment.aspx?LetterSerial=bRnwYafN0uOG5s7eZOOObOOObCPw%3d%3d%0ahttps://www.codal.ir/Reports/Decision.aspx?LetterSerial=GYYJgW0mQQQaQQQdbvnpR6QLaHlA%3d%3d&amp;rt=2&amp;let=19&amp;ct=0&amp;ft=-1%0ahttps://www.codal.ir/Reports/Decision.aspx?LetterSerial=AHwQQQaQQQkHcUkc0pfBa2dXOOObOOOE3Q%3d%3d&amp;rt=2&amp;let=19&amp;ct=0&amp;ft=-1" TargetMode="External"/><Relationship Id="rId23" Type="http://schemas.openxmlformats.org/officeDocument/2006/relationships/comments" Target="../comments6.xml"/><Relationship Id="rId10" Type="http://schemas.openxmlformats.org/officeDocument/2006/relationships/hyperlink" Target="https://www.codal.ir/Reports/Attachment.aspx?LetterSerial=RjOGt7pH1eRnl2ioIPNqDg%3d%3d%0ahttps://www.codal.ir/Reports/Decision.aspx?LetterSerial=XPg1kJyBIkadWnCXHnsdKg%3d%3d&amp;rt=0&amp;let=19&amp;ct=0&amp;ft=-1" TargetMode="External"/><Relationship Id="rId19" Type="http://schemas.openxmlformats.org/officeDocument/2006/relationships/hyperlink" Target="https://www.codal.ir/Reports/Decision.aspx?LetterSerial=pMyRiSQQQaQQQwMIoymmCCqmzwtg%3d%3d&amp;rt=3&amp;let=19&amp;ct=0&amp;ft=-1%0ahttps://www.codal.ir/Reports/Decision.aspx?LetterSerial=jqQzOOObOOOZ5mOOObOOO0IdbSC6088ERA%3d%3d&amp;rt=3&amp;let=19&amp;ct=0&amp;ft=-1" TargetMode="External"/><Relationship Id="rId4" Type="http://schemas.openxmlformats.org/officeDocument/2006/relationships/hyperlink" Target="https://www.codal.ir/Reports/Decision.aspx?LetterSerial=gsard4xmaj4Zi8yOS8AWMA%3d%3d&amp;rt=5&amp;let=19&amp;ct=0&amp;ft=-1%0ahttps://www.codal.ir/Reports/Decision.aspx?LetterSerial=4P4QQQaQQQssbMX9ZMuZVciqBKOOObOOOg%3d%3d&amp;rt=5&amp;let=19&amp;ct=0&amp;ft=-1" TargetMode="External"/><Relationship Id="rId9" Type="http://schemas.openxmlformats.org/officeDocument/2006/relationships/hyperlink" Target="https://www.codal.ir/Reports/Attachment.aspx?LetterSerial=lIOOObOOOFuv6MQlLw20bmBKF3Cw%3d%3d%0ahttps://www.codal.ir/Reports/Attachment.aspx?LetterSerial=DjTPnm9Pa79X4Gv1Zp8FQQQaQQQQ%3d%3d" TargetMode="External"/><Relationship Id="rId14" Type="http://schemas.openxmlformats.org/officeDocument/2006/relationships/hyperlink" Target="https://www.codal.ir/Reports/Attachment.aspx?LetterSerial=7DOfnJSrljlS4F1ZUoECfA%3d%3d%0ahttps://www.codal.ir/Reports/Decision.aspx?LetterSerial=BY8YXlJLNgWdHoQQQaQQQN2kMTZQ%3d%3d&amp;rt=0&amp;let=19&amp;ct=0&amp;ft=-1%0ahttps://www.codal.ir/Reports/Decision.aspx?LetterSerial=zrRXQNzllX2hozqxWf2Nng%3d%3d&amp;rt=0&amp;let=19&amp;ct=0&amp;ft=-1" TargetMode="External"/><Relationship Id="rId22" Type="http://schemas.openxmlformats.org/officeDocument/2006/relationships/vmlDrawing" Target="../drawings/vmlDrawing6.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21.xml.rels><?xml version="1.0" encoding="UTF-8" standalone="yes"?>
<Relationships xmlns="http://schemas.openxmlformats.org/package/2006/relationships"><Relationship Id="rId13" Type="http://schemas.openxmlformats.org/officeDocument/2006/relationships/hyperlink" Target="https://www.codal.ir/Reports/Decision.aspx?LetterSerial=zWRtzdFgEWKY0H4XNrzRzA%3d%3d&amp;rt=0&amp;let=19&amp;ct=0&amp;ft=-1" TargetMode="External"/><Relationship Id="rId18" Type="http://schemas.openxmlformats.org/officeDocument/2006/relationships/hyperlink" Target="https://www.codal.ir/Reports/Attachment.aspx?LetterSerial=lIOOObOOOFuv6MQlLw20bmBKF3Cw%3d%3d" TargetMode="External"/><Relationship Id="rId26" Type="http://schemas.openxmlformats.org/officeDocument/2006/relationships/hyperlink" Target="https://www.codal.ir/Reports/Attachment.aspx?LetterSerial=l18osNfAAH2DvvstKQQQaQQQYuHQ%3d%3d" TargetMode="External"/><Relationship Id="rId39" Type="http://schemas.openxmlformats.org/officeDocument/2006/relationships/hyperlink" Target="https://www.codal.ir/Reports/Decision.aspx?LetterSerial=heZfln7kl6v8fiuPpe5P4g%3d%3d&amp;rt=2&amp;let=19&amp;ct=0&amp;ft=-1" TargetMode="External"/><Relationship Id="rId21" Type="http://schemas.openxmlformats.org/officeDocument/2006/relationships/hyperlink" Target="https://www.codal.ir/Reports/Decision.aspx?LetterSerial=XPg1kJyBIkadWnCXHnsdKg%3d%3d&amp;rt=0&amp;let=19&amp;ct=0&amp;ft=-1" TargetMode="External"/><Relationship Id="rId34" Type="http://schemas.openxmlformats.org/officeDocument/2006/relationships/hyperlink" Target="https://www.codal.ir/Reports/Decision.aspx?LetterSerial=GYYJgW0mQQQaQQQdbvnpR6QLaHlA%3d%3d&amp;rt=2&amp;let=19&amp;ct=0&amp;ft=-1" TargetMode="External"/><Relationship Id="rId42" Type="http://schemas.openxmlformats.org/officeDocument/2006/relationships/hyperlink" Target="https://www.codal.ir/Reports/Attachment.aspx?LetterSerial=qF6WQQQaQQQvb3G9yQQQaQQQVuknoGcUQQ%3d%3d" TargetMode="External"/><Relationship Id="rId47" Type="http://schemas.openxmlformats.org/officeDocument/2006/relationships/hyperlink" Target="https://www.codal.ir/Reports/Attachment.aspx?LetterSerial=HChwyLb11ZnzYeIEeB3Jng%3d%3d" TargetMode="External"/><Relationship Id="rId7" Type="http://schemas.openxmlformats.org/officeDocument/2006/relationships/hyperlink" Target="https://www.codal.ir/Reports/Decision.aspx?LetterSerial=gsard4xmaj4Zi8yOS8AWMA%3d%3d&amp;rt=5&amp;let=19&amp;ct=0&amp;ft=-1" TargetMode="External"/><Relationship Id="rId2" Type="http://schemas.openxmlformats.org/officeDocument/2006/relationships/hyperlink" Target="https://www.codal.ir/Reports/Decision.aspx?LetterSerial=kealwqnfPYdWwbR3UB9uZw%3d%3d&amp;rt=0&amp;let=19&amp;ct=0&amp;ft=-1" TargetMode="External"/><Relationship Id="rId16" Type="http://schemas.openxmlformats.org/officeDocument/2006/relationships/hyperlink" Target="https://www.codal.ir/Reports/Attachment.aspx?LetterSerial=qQQQaQQQXL8Mm5NCUb8eyBSic7hA%3d%3d" TargetMode="External"/><Relationship Id="rId29" Type="http://schemas.openxmlformats.org/officeDocument/2006/relationships/hyperlink" Target="https://www.codal.ir/Reports/Attachment.aspx?LetterSerial=7DOfnJSrljlS4F1ZUoECfA%3d%3d" TargetMode="External"/><Relationship Id="rId11" Type="http://schemas.openxmlformats.org/officeDocument/2006/relationships/hyperlink" Target="https://www.codal.ir/Reports/Decision.aspx?LetterSerial=pk2gUF4FVfw9cOOObOOOOR6kSTDg%3d%3d&amp;rt=2&amp;let=19&amp;ct=0&amp;ft=-1" TargetMode="External"/><Relationship Id="rId24" Type="http://schemas.openxmlformats.org/officeDocument/2006/relationships/hyperlink" Target="https://www.codal.ir/Reports/Attachment.aspx?LetterSerial=Pzx8AUWEOOObOOOMcLjZdiSXNAoA%3d%3d" TargetMode="External"/><Relationship Id="rId32" Type="http://schemas.openxmlformats.org/officeDocument/2006/relationships/hyperlink" Target="https://www.codal.ir/Reports/Attachment.aspx?LetterSerial=AcoEbrF1YWBxnIP9D2INbA%3d%3d" TargetMode="External"/><Relationship Id="rId37" Type="http://schemas.openxmlformats.org/officeDocument/2006/relationships/hyperlink" Target="https://www.codal.ir/Reports/Attachment.aspx?LetterSerial=L3pmVuuRgm42MhLxuM1ElQ%3d%3d" TargetMode="External"/><Relationship Id="rId40" Type="http://schemas.openxmlformats.org/officeDocument/2006/relationships/hyperlink" Target="https://www.codal.ir/Reports/Decision.aspx?LetterSerial=0rlsOOObOOOEFaa9IMoCD90IUbxA%3d%3d&amp;rt=0&amp;let=19&amp;ct=0&amp;ft=-1" TargetMode="External"/><Relationship Id="rId45" Type="http://schemas.openxmlformats.org/officeDocument/2006/relationships/hyperlink" Target="https://www.codal.ir/Reports/Decision.aspx?LetterSerial=pMyRiSQQQaQQQwMIoymmCCqmzwtg%3d%3d&amp;rt=3&amp;let=19&amp;ct=0&amp;ft=-1" TargetMode="External"/><Relationship Id="rId5" Type="http://schemas.openxmlformats.org/officeDocument/2006/relationships/hyperlink" Target="https://www.codal.ir/Reports/Attachment.aspx?LetterSerial=W3P2HVjIaDXFbdMemqSeUA%3d%3d" TargetMode="External"/><Relationship Id="rId15" Type="http://schemas.openxmlformats.org/officeDocument/2006/relationships/hyperlink" Target="https://www.codal.ir/Reports/Decision.aspx?LetterSerial=ytYjZCpQQQaQQQ34BFQkm8DLxX9A%3d%3d&amp;rt=2&amp;let=19&amp;ct=0&amp;ft=-1" TargetMode="External"/><Relationship Id="rId23" Type="http://schemas.openxmlformats.org/officeDocument/2006/relationships/hyperlink" Target="https://www.codal.ir/Reports/Decision.aspx?LetterSerial=IYIOOObOOO6mh6t3bHqdV5BigMrg%3d%3d&amp;rt=0&amp;let=19&amp;ct=0&amp;ft=-1" TargetMode="External"/><Relationship Id="rId28" Type="http://schemas.openxmlformats.org/officeDocument/2006/relationships/hyperlink" Target="https://www.codal.ir/Reports/Decision.aspx?LetterSerial=iXcFNxwCjn4aV4ptXi6QQQaQQQjA%3d%3d&amp;rt=5&amp;let=19&amp;ct=0&amp;ft=-1" TargetMode="External"/><Relationship Id="rId36" Type="http://schemas.openxmlformats.org/officeDocument/2006/relationships/hyperlink" Target="https://www.codal.ir/Reports/Attachment.aspx?LetterSerial=CM4mqa3Wz2h9LMqk4uVACQ%3d%3d" TargetMode="External"/><Relationship Id="rId49" Type="http://schemas.openxmlformats.org/officeDocument/2006/relationships/hyperlink" Target="https://www.codal.ir/Reports/Attachment.aspx?LetterSerial=Cxkdj8wztt52xU9MoBXp2w%3d%3d" TargetMode="External"/><Relationship Id="rId10" Type="http://schemas.openxmlformats.org/officeDocument/2006/relationships/hyperlink" Target="https://www.codal.ir/Reports/Decision.aspx?LetterSerial=b8oxHadTuSstqVNc5Bqzjw%3d%3d&amp;rt=2&amp;let=19&amp;ct=0&amp;ft=-1" TargetMode="External"/><Relationship Id="rId19" Type="http://schemas.openxmlformats.org/officeDocument/2006/relationships/hyperlink" Target="https://www.codal.ir/Reports/Attachment.aspx?LetterSerial=DjTPnm9Pa79X4Gv1Zp8FQQQaQQQQ%3d%3d" TargetMode="External"/><Relationship Id="rId31" Type="http://schemas.openxmlformats.org/officeDocument/2006/relationships/hyperlink" Target="https://www.codal.ir/Reports/Decision.aspx?LetterSerial=zrRXQNzllX2hozqxWf2Nng%3d%3d&amp;rt=0&amp;let=19&amp;ct=0&amp;ft=-1" TargetMode="External"/><Relationship Id="rId44" Type="http://schemas.openxmlformats.org/officeDocument/2006/relationships/hyperlink" Target="https://www.codal.ir/Reports/Decision.aspx?LetterSerial=EkFsjyhmhfXBQoQQQaQQQTg7cqCw%3d%3d&amp;rt=5&amp;let=19&amp;ct=0&amp;ft=-1" TargetMode="External"/><Relationship Id="rId4" Type="http://schemas.openxmlformats.org/officeDocument/2006/relationships/hyperlink" Target="https://www.codal.ir/Reports/Decision.aspx?LetterSerial=1kqm2T6e5zV5EQQQaQQQKdlIj9HA%3d%3d&amp;rt=0&amp;let=19&amp;ct=0&amp;ft=-1" TargetMode="External"/><Relationship Id="rId9" Type="http://schemas.openxmlformats.org/officeDocument/2006/relationships/hyperlink" Target="https://www.codal.ir/Reports/Attachment.aspx?LetterSerial=Cxkdj8wztt52xU9MoBXp2w%3d%3d" TargetMode="External"/><Relationship Id="rId14" Type="http://schemas.openxmlformats.org/officeDocument/2006/relationships/hyperlink" Target="https://www.codal.ir/Reports/Decision.aspx?LetterSerial=b9uqvOIQIMvyGYAfsuoWUg%3d%3d&amp;rt=2&amp;let=19&amp;ct=0&amp;ft=-1" TargetMode="External"/><Relationship Id="rId22" Type="http://schemas.openxmlformats.org/officeDocument/2006/relationships/hyperlink" Target="https://www.codal.ir/Reports/Decision.aspx?LetterSerial=V8TQGa6IRAmh3pwzvDL0KQ%3d%3d&amp;rt=0&amp;let=19&amp;ct=0&amp;ft=-1" TargetMode="External"/><Relationship Id="rId27" Type="http://schemas.openxmlformats.org/officeDocument/2006/relationships/hyperlink" Target="https://www.codal.ir/Reports/Decision.aspx?LetterSerial=GSIO5iJOn2Ini6eniOOOObOOOopw%3d%3d&amp;rt=5&amp;let=19&amp;ct=0&amp;ft=-1" TargetMode="External"/><Relationship Id="rId30" Type="http://schemas.openxmlformats.org/officeDocument/2006/relationships/hyperlink" Target="https://www.codal.ir/Reports/Decision.aspx?LetterSerial=BY8YXlJLNgWdHoQQQaQQQN2kMTZQ%3d%3d&amp;rt=0&amp;let=19&amp;ct=0&amp;ft=-1" TargetMode="External"/><Relationship Id="rId35" Type="http://schemas.openxmlformats.org/officeDocument/2006/relationships/hyperlink" Target="https://www.codal.ir/Reports/Decision.aspx?LetterSerial=AHwQQQaQQQkHcUkc0pfBa2dXOOObOOOE3Q%3d%3d&amp;rt=2&amp;let=19&amp;ct=0&amp;ft=-1" TargetMode="External"/><Relationship Id="rId43" Type="http://schemas.openxmlformats.org/officeDocument/2006/relationships/hyperlink" Target="https://www.codal.ir/Reports/Attachment.aspx?LetterSerial=Ln6R9zsWXNJqeuz97OOObOOOaACw%3d%3d" TargetMode="External"/><Relationship Id="rId48" Type="http://schemas.openxmlformats.org/officeDocument/2006/relationships/hyperlink" Target="https://www.codal.ir/Reports/Attachment.aspx?LetterSerial=p0cfFj1rDsXiFZsu35tCWw%3d%3d" TargetMode="External"/><Relationship Id="rId8" Type="http://schemas.openxmlformats.org/officeDocument/2006/relationships/hyperlink" Target="https://www.codal.ir/Reports/Decision.aspx?LetterSerial=4P4QQQaQQQssbMX9ZMuZVciqBKOOObOOOg%3d%3d&amp;rt=5&amp;let=19&amp;ct=0&amp;ft=-1" TargetMode="External"/><Relationship Id="rId3" Type="http://schemas.openxmlformats.org/officeDocument/2006/relationships/hyperlink" Target="https://www.codal.ir/Reports/Decision.aspx?LetterSerial=sjHofZygVLXICVj8iXL3Aw%3d%3d&amp;rt=0&amp;let=19&amp;ct=0&amp;ft=-1" TargetMode="External"/><Relationship Id="rId12" Type="http://schemas.openxmlformats.org/officeDocument/2006/relationships/hyperlink" Target="https://www.codal.ir/Reports/Decision.aspx?LetterSerial=BgB1TPEYicGYh74gmrG9mA%3d%3d&amp;rt=0&amp;let=19&amp;ct=0&amp;ft=-1" TargetMode="External"/><Relationship Id="rId17" Type="http://schemas.openxmlformats.org/officeDocument/2006/relationships/hyperlink" Target="https://www.codal.ir/Reports/Attachment.aspx?LetterSerial=lWuukNFzDitnWL7VD4weCA%3d%3d" TargetMode="External"/><Relationship Id="rId25" Type="http://schemas.openxmlformats.org/officeDocument/2006/relationships/hyperlink" Target="https://www.codal.ir/Reports/Attachment.aspx?LetterSerial=L6jPydiKkSCQR9kVCKMgkg%3d%3d" TargetMode="External"/><Relationship Id="rId33" Type="http://schemas.openxmlformats.org/officeDocument/2006/relationships/hyperlink" Target="https://www.codal.ir/Reports/Attachment.aspx?LetterSerial=bRnwYafN0uOG5s7eZOOObOOObCPw%3d%3d" TargetMode="External"/><Relationship Id="rId38" Type="http://schemas.openxmlformats.org/officeDocument/2006/relationships/hyperlink" Target="https://www.codal.ir/Reports/Decision.aspx?LetterSerial=1UEyCQ9gyduKzNiiDDNXUA%3d%3d&amp;rt=2&amp;let=19&amp;ct=0&amp;ft=-1" TargetMode="External"/><Relationship Id="rId46" Type="http://schemas.openxmlformats.org/officeDocument/2006/relationships/hyperlink" Target="https://www.codal.ir/Reports/Decision.aspx?LetterSerial=jqQzOOObOOOZ5mOOObOOO0IdbSC6088ERA%3d%3d&amp;rt=3&amp;let=19&amp;ct=0&amp;ft=-1" TargetMode="External"/><Relationship Id="rId20" Type="http://schemas.openxmlformats.org/officeDocument/2006/relationships/hyperlink" Target="https://www.codal.ir/Reports/Attachment.aspx?LetterSerial=RjOGt7pH1eRnl2ioIPNqDg%3d%3d" TargetMode="External"/><Relationship Id="rId41" Type="http://schemas.openxmlformats.org/officeDocument/2006/relationships/hyperlink" Target="https://www.codal.ir/Reports/Decision.aspx?LetterSerial=UJ1so0i61H6WpTMWJ3OsCA%3d%3d&amp;rt=0&amp;let=19&amp;ct=0&amp;ft=-1" TargetMode="External"/><Relationship Id="rId1" Type="http://schemas.openxmlformats.org/officeDocument/2006/relationships/hyperlink" Target="https://www.codal.ir/Reports/Decision.aspx?LetterSerial=ULk65ZOHpAkFOOObOOOb3pLpblJQ%3d%3d&amp;rt=0&amp;let=19&amp;ct=0&amp;ft=-1" TargetMode="External"/><Relationship Id="rId6" Type="http://schemas.openxmlformats.org/officeDocument/2006/relationships/hyperlink" Target="https://www.codal.ir/Reports/Attachment.aspx?LetterSerial=F0veQQQaQQQX4tai7nAftHYyrDhg%3d%3d" TargetMode="External"/></Relationships>
</file>

<file path=xl/worksheets/_rels/sheet23.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28.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32.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33.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42.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43.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48.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64.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17"/>
  <sheetViews>
    <sheetView showGridLines="0" rightToLeft="1" tabSelected="1" zoomScale="85" workbookViewId="0">
      <pane xSplit="1" ySplit="3" topLeftCell="B4" activePane="bottomRight" state="frozen"/>
      <selection pane="topRight"/>
      <selection pane="bottomLeft"/>
      <selection pane="bottomRight" sqref="A1:D1"/>
    </sheetView>
  </sheetViews>
  <sheetFormatPr baseColWidth="10" defaultColWidth="8.83203125" defaultRowHeight="15" x14ac:dyDescent="0.2"/>
  <cols>
    <col min="1" max="1" width="30" customWidth="1"/>
    <col min="2" max="2" width="31" customWidth="1"/>
    <col min="3" max="3" width="91" customWidth="1"/>
    <col min="4" max="4" width="45" customWidth="1"/>
  </cols>
  <sheetData>
    <row r="1" spans="1:4" ht="38" customHeight="1" x14ac:dyDescent="0.2">
      <c r="A1" s="75" t="s">
        <v>0</v>
      </c>
      <c r="B1" s="76"/>
      <c r="C1" s="76"/>
      <c r="D1" s="76"/>
    </row>
    <row r="2" spans="1:4" ht="44" customHeight="1" x14ac:dyDescent="0.2">
      <c r="A2" s="77" t="s">
        <v>1</v>
      </c>
      <c r="B2" s="76"/>
      <c r="C2" s="76"/>
      <c r="D2" s="76"/>
    </row>
    <row r="3" spans="1:4" ht="36" customHeight="1" x14ac:dyDescent="0.2">
      <c r="A3" s="55" t="s">
        <v>2</v>
      </c>
      <c r="B3" s="55" t="s">
        <v>3</v>
      </c>
      <c r="C3" s="55" t="s">
        <v>4</v>
      </c>
      <c r="D3" s="55" t="s">
        <v>5</v>
      </c>
    </row>
    <row r="4" spans="1:4" ht="79" customHeight="1" x14ac:dyDescent="0.2">
      <c r="A4" s="56" t="s">
        <v>6</v>
      </c>
      <c r="B4" s="56" t="s">
        <v>7</v>
      </c>
      <c r="C4" s="56" t="s">
        <v>8</v>
      </c>
      <c r="D4" s="56" t="s">
        <v>9</v>
      </c>
    </row>
    <row r="5" spans="1:4" ht="79" customHeight="1" x14ac:dyDescent="0.2">
      <c r="A5" s="57" t="s">
        <v>10</v>
      </c>
      <c r="B5" s="58" t="str">
        <f>'CR1A v39'!B38&amp;" از "&amp;'CR1A v39'!B44</f>
        <v>27 از 30</v>
      </c>
      <c r="C5" s="57" t="s">
        <v>11</v>
      </c>
      <c r="D5" s="57" t="s">
        <v>12</v>
      </c>
    </row>
    <row r="6" spans="1:4" ht="79" customHeight="1" x14ac:dyDescent="0.2">
      <c r="A6" s="56" t="s">
        <v>13</v>
      </c>
      <c r="B6" s="59" t="str">
        <f>'CR1A v39'!B39&amp;" از "&amp;'CR1A v39'!B44</f>
        <v>26 از 30</v>
      </c>
      <c r="C6" s="56" t="s">
        <v>14</v>
      </c>
      <c r="D6" s="56" t="s">
        <v>15</v>
      </c>
    </row>
    <row r="7" spans="1:4" ht="79" customHeight="1" x14ac:dyDescent="0.2">
      <c r="A7" s="57" t="s">
        <v>16</v>
      </c>
      <c r="B7" s="57" t="s">
        <v>17</v>
      </c>
      <c r="C7" s="57" t="s">
        <v>18</v>
      </c>
      <c r="D7" s="57" t="s">
        <v>19</v>
      </c>
    </row>
    <row r="8" spans="1:4" ht="79" customHeight="1" x14ac:dyDescent="0.2">
      <c r="A8" s="56" t="s">
        <v>20</v>
      </c>
      <c r="B8" s="56" t="s">
        <v>21</v>
      </c>
      <c r="C8" s="56" t="s">
        <v>22</v>
      </c>
      <c r="D8" s="56" t="s">
        <v>23</v>
      </c>
    </row>
    <row r="9" spans="1:4" ht="79" customHeight="1" x14ac:dyDescent="0.2">
      <c r="A9" s="57" t="s">
        <v>24</v>
      </c>
      <c r="B9" s="57" t="s">
        <v>25</v>
      </c>
      <c r="C9" s="57" t="s">
        <v>26</v>
      </c>
      <c r="D9" s="57" t="s">
        <v>27</v>
      </c>
    </row>
    <row r="10" spans="1:4" ht="79" customHeight="1" x14ac:dyDescent="0.2">
      <c r="A10" s="56" t="s">
        <v>28</v>
      </c>
      <c r="B10" s="56" t="s">
        <v>29</v>
      </c>
      <c r="C10" s="56" t="s">
        <v>30</v>
      </c>
      <c r="D10" s="56" t="s">
        <v>31</v>
      </c>
    </row>
    <row r="11" spans="1:4" ht="79" customHeight="1" x14ac:dyDescent="0.2">
      <c r="A11" s="57" t="s">
        <v>32</v>
      </c>
      <c r="B11" s="57" t="s">
        <v>33</v>
      </c>
      <c r="C11" s="57" t="s">
        <v>34</v>
      </c>
      <c r="D11" s="57" t="s">
        <v>35</v>
      </c>
    </row>
    <row r="12" spans="1:4" ht="79" customHeight="1" x14ac:dyDescent="0.2">
      <c r="A12" s="56" t="s">
        <v>36</v>
      </c>
      <c r="B12" s="56" t="s">
        <v>37</v>
      </c>
      <c r="C12" s="56" t="s">
        <v>38</v>
      </c>
      <c r="D12" s="56" t="s">
        <v>39</v>
      </c>
    </row>
    <row r="13" spans="1:4" ht="79" customHeight="1" x14ac:dyDescent="0.2">
      <c r="A13" s="57" t="s">
        <v>40</v>
      </c>
      <c r="B13" s="57" t="s">
        <v>41</v>
      </c>
      <c r="C13" s="57" t="s">
        <v>42</v>
      </c>
      <c r="D13" s="57" t="s">
        <v>43</v>
      </c>
    </row>
    <row r="14" spans="1:4" ht="79" customHeight="1" x14ac:dyDescent="0.2">
      <c r="A14" s="56" t="s">
        <v>44</v>
      </c>
      <c r="B14" s="56" t="s">
        <v>45</v>
      </c>
      <c r="C14" s="56" t="s">
        <v>46</v>
      </c>
      <c r="D14" s="56" t="s">
        <v>47</v>
      </c>
    </row>
    <row r="15" spans="1:4" ht="79" customHeight="1" x14ac:dyDescent="0.2">
      <c r="A15" s="57" t="s">
        <v>48</v>
      </c>
      <c r="B15" s="57" t="s">
        <v>49</v>
      </c>
      <c r="C15" s="57" t="s">
        <v>50</v>
      </c>
      <c r="D15" s="57" t="s">
        <v>51</v>
      </c>
    </row>
    <row r="16" spans="1:4" ht="79" customHeight="1" x14ac:dyDescent="0.2">
      <c r="A16" s="56" t="s">
        <v>52</v>
      </c>
      <c r="B16" s="56" t="s">
        <v>53</v>
      </c>
      <c r="C16" s="56" t="s">
        <v>54</v>
      </c>
      <c r="D16" s="56" t="s">
        <v>55</v>
      </c>
    </row>
    <row r="17" spans="1:4" ht="79" customHeight="1" x14ac:dyDescent="0.2">
      <c r="A17" s="57" t="s">
        <v>56</v>
      </c>
      <c r="B17" s="57" t="s">
        <v>57</v>
      </c>
      <c r="C17" s="57" t="s">
        <v>58</v>
      </c>
      <c r="D17" s="57" t="s">
        <v>59</v>
      </c>
    </row>
  </sheetData>
  <autoFilter ref="A3:D17" xr:uid="{00000000-0009-0000-0000-000000000000}"/>
  <mergeCells count="2">
    <mergeCell ref="A1:D1"/>
    <mergeCell ref="A2:D2"/>
  </mergeCells>
  <printOptions horizontalCentered="1"/>
  <pageMargins left="0.75" right="0.75" top="1" bottom="1" header="0.5" footer="0.5"/>
  <pageSetup paperSize="8"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7"/>
  <sheetViews>
    <sheetView showGridLines="0" rightToLeft="1" zoomScale="85" workbookViewId="0">
      <pane xSplit="1" ySplit="3" topLeftCell="B4" activePane="bottomRight" state="frozen"/>
      <selection pane="topRight"/>
      <selection pane="bottomLeft"/>
      <selection pane="bottomRight"/>
    </sheetView>
  </sheetViews>
  <sheetFormatPr baseColWidth="10" defaultColWidth="8.83203125" defaultRowHeight="15" x14ac:dyDescent="0.2"/>
  <cols>
    <col min="1" max="1" width="20" customWidth="1"/>
    <col min="2" max="2" width="25" customWidth="1"/>
    <col min="3" max="3" width="64" customWidth="1"/>
    <col min="4" max="4" width="45" customWidth="1"/>
    <col min="5" max="5" width="65" customWidth="1"/>
    <col min="6" max="6" width="60" customWidth="1"/>
    <col min="7" max="7" width="25" customWidth="1"/>
  </cols>
  <sheetData>
    <row r="1" spans="1:7" ht="38" customHeight="1" x14ac:dyDescent="0.2">
      <c r="A1" s="75" t="s">
        <v>60</v>
      </c>
      <c r="B1" s="76"/>
      <c r="C1" s="76"/>
      <c r="D1" s="76"/>
      <c r="E1" s="76"/>
      <c r="F1" s="76"/>
      <c r="G1" s="76"/>
    </row>
    <row r="2" spans="1:7" ht="44" customHeight="1" x14ac:dyDescent="0.2">
      <c r="A2" s="77" t="s">
        <v>61</v>
      </c>
      <c r="B2" s="76"/>
      <c r="C2" s="76"/>
      <c r="D2" s="76"/>
      <c r="E2" s="76"/>
      <c r="F2" s="76"/>
      <c r="G2" s="76"/>
    </row>
    <row r="3" spans="1:7" ht="36" customHeight="1" x14ac:dyDescent="0.2">
      <c r="A3" s="55" t="s">
        <v>2</v>
      </c>
      <c r="B3" s="55" t="s">
        <v>3</v>
      </c>
      <c r="C3" s="55" t="s">
        <v>62</v>
      </c>
      <c r="D3" s="55" t="s">
        <v>63</v>
      </c>
      <c r="E3" s="55" t="s">
        <v>64</v>
      </c>
      <c r="F3" s="55" t="s">
        <v>65</v>
      </c>
      <c r="G3" s="55" t="s">
        <v>66</v>
      </c>
    </row>
    <row r="4" spans="1:7" ht="145" customHeight="1" x14ac:dyDescent="0.2">
      <c r="A4" s="56" t="s">
        <v>67</v>
      </c>
      <c r="B4" s="56" t="s">
        <v>68</v>
      </c>
      <c r="C4" s="56" t="s">
        <v>69</v>
      </c>
      <c r="D4" s="56" t="s">
        <v>70</v>
      </c>
      <c r="E4" s="56" t="s">
        <v>71</v>
      </c>
      <c r="F4" s="56" t="s">
        <v>72</v>
      </c>
      <c r="G4" s="56" t="s">
        <v>73</v>
      </c>
    </row>
    <row r="5" spans="1:7" ht="145" customHeight="1" x14ac:dyDescent="0.2">
      <c r="A5" s="60" t="s">
        <v>20</v>
      </c>
      <c r="B5" s="60" t="s">
        <v>74</v>
      </c>
      <c r="C5" s="60" t="s">
        <v>75</v>
      </c>
      <c r="D5" s="60" t="s">
        <v>76</v>
      </c>
      <c r="E5" s="60" t="s">
        <v>77</v>
      </c>
      <c r="F5" s="60" t="s">
        <v>78</v>
      </c>
      <c r="G5" s="60" t="s">
        <v>79</v>
      </c>
    </row>
    <row r="6" spans="1:7" ht="145" customHeight="1" x14ac:dyDescent="0.2">
      <c r="A6" s="60" t="s">
        <v>24</v>
      </c>
      <c r="B6" s="60" t="s">
        <v>80</v>
      </c>
      <c r="C6" s="60" t="s">
        <v>81</v>
      </c>
      <c r="D6" s="60" t="s">
        <v>82</v>
      </c>
      <c r="E6" s="60" t="s">
        <v>83</v>
      </c>
      <c r="F6" s="60" t="s">
        <v>84</v>
      </c>
      <c r="G6" s="60" t="s">
        <v>85</v>
      </c>
    </row>
    <row r="7" spans="1:7" ht="145" customHeight="1" x14ac:dyDescent="0.2">
      <c r="A7" s="60" t="s">
        <v>28</v>
      </c>
      <c r="B7" s="60" t="s">
        <v>86</v>
      </c>
      <c r="C7" s="60" t="s">
        <v>87</v>
      </c>
      <c r="D7" s="60" t="s">
        <v>88</v>
      </c>
      <c r="E7" s="60" t="s">
        <v>89</v>
      </c>
      <c r="F7" s="60" t="s">
        <v>90</v>
      </c>
      <c r="G7" s="60" t="s">
        <v>91</v>
      </c>
    </row>
  </sheetData>
  <autoFilter ref="A3:G7" xr:uid="{00000000-0009-0000-0000-000001000000}"/>
  <mergeCells count="2">
    <mergeCell ref="A2:G2"/>
    <mergeCell ref="A1:G1"/>
  </mergeCells>
  <printOptions horizontalCentered="1"/>
  <pageMargins left="0.75" right="0.75" top="1" bottom="1" header="0.5" footer="0.5"/>
  <pageSetup paperSize="8"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50"/>
  <sheetViews>
    <sheetView showGridLines="0" rightToLeft="1" zoomScale="85" workbookViewId="0">
      <pane xSplit="1" ySplit="3" topLeftCell="B4" activePane="bottomRight" state="frozen"/>
      <selection pane="topRight"/>
      <selection pane="bottomLeft"/>
      <selection pane="bottomRight"/>
    </sheetView>
  </sheetViews>
  <sheetFormatPr baseColWidth="10" defaultColWidth="8.83203125" defaultRowHeight="15" x14ac:dyDescent="0.2"/>
  <cols>
    <col min="1" max="1" width="15" customWidth="1"/>
    <col min="2" max="2" width="17" customWidth="1"/>
    <col min="3" max="3" width="15" customWidth="1"/>
    <col min="4" max="4" width="28" customWidth="1"/>
    <col min="5" max="5" width="24" customWidth="1"/>
    <col min="6" max="6" width="23" customWidth="1"/>
    <col min="7" max="8" width="26" customWidth="1"/>
    <col min="9" max="9" width="45" customWidth="1"/>
    <col min="10" max="10" width="42" customWidth="1"/>
    <col min="11" max="11" width="70" customWidth="1"/>
    <col min="12" max="12" width="45" customWidth="1"/>
    <col min="13" max="13" width="27" customWidth="1"/>
    <col min="14" max="14" width="61" customWidth="1"/>
    <col min="15" max="15" width="14" hidden="1" customWidth="1"/>
  </cols>
  <sheetData>
    <row r="1" spans="1:15" ht="38" customHeight="1" x14ac:dyDescent="0.2">
      <c r="A1" s="75" t="s">
        <v>92</v>
      </c>
      <c r="B1" s="76"/>
      <c r="C1" s="76"/>
      <c r="D1" s="76"/>
      <c r="E1" s="76"/>
      <c r="F1" s="76"/>
      <c r="G1" s="76"/>
      <c r="H1" s="76"/>
      <c r="I1" s="76"/>
      <c r="J1" s="76"/>
      <c r="K1" s="76"/>
      <c r="L1" s="76"/>
      <c r="M1" s="76"/>
      <c r="N1" s="76"/>
      <c r="O1" s="76"/>
    </row>
    <row r="2" spans="1:15" ht="44" customHeight="1" x14ac:dyDescent="0.2">
      <c r="A2" s="77" t="s">
        <v>93</v>
      </c>
      <c r="B2" s="76"/>
      <c r="C2" s="76"/>
      <c r="D2" s="76"/>
      <c r="E2" s="76"/>
      <c r="F2" s="76"/>
      <c r="G2" s="76"/>
      <c r="H2" s="76"/>
      <c r="I2" s="76"/>
      <c r="J2" s="76"/>
      <c r="K2" s="76"/>
      <c r="L2" s="76"/>
      <c r="M2" s="76"/>
      <c r="N2" s="76"/>
      <c r="O2" s="76"/>
    </row>
    <row r="3" spans="1:15" ht="36" customHeight="1" x14ac:dyDescent="0.2">
      <c r="A3" s="55" t="s">
        <v>94</v>
      </c>
      <c r="B3" s="55" t="s">
        <v>95</v>
      </c>
      <c r="C3" s="55" t="s">
        <v>96</v>
      </c>
      <c r="D3" s="55" t="s">
        <v>97</v>
      </c>
      <c r="E3" s="55" t="s">
        <v>98</v>
      </c>
      <c r="F3" s="55" t="s">
        <v>99</v>
      </c>
      <c r="G3" s="55" t="s">
        <v>100</v>
      </c>
      <c r="H3" s="55" t="s">
        <v>101</v>
      </c>
      <c r="I3" s="55" t="s">
        <v>102</v>
      </c>
      <c r="J3" s="55" t="s">
        <v>103</v>
      </c>
      <c r="K3" s="55" t="s">
        <v>104</v>
      </c>
      <c r="L3" s="55" t="s">
        <v>105</v>
      </c>
      <c r="M3" s="55" t="s">
        <v>106</v>
      </c>
      <c r="N3" s="55" t="s">
        <v>107</v>
      </c>
      <c r="O3" s="55" t="s">
        <v>108</v>
      </c>
    </row>
    <row r="4" spans="1:15" ht="110" customHeight="1" x14ac:dyDescent="0.2">
      <c r="A4" s="60" t="s">
        <v>109</v>
      </c>
      <c r="B4" s="61" t="str">
        <f>'Turnover نهایی'!V4</f>
        <v>خیر</v>
      </c>
      <c r="C4" s="61">
        <f t="shared" ref="C4:C33" si="0">IF(B4="بله",1,IF(B4="خیر",0,""))</f>
        <v>0</v>
      </c>
      <c r="D4" s="60" t="s">
        <v>110</v>
      </c>
      <c r="E4" s="60" t="s">
        <v>111</v>
      </c>
      <c r="F4" s="61" t="str">
        <f t="shared" ref="F4:F33" si="1">IF(AND(E4="بله",ISNUMBER(C4)),C4,"")</f>
        <v/>
      </c>
      <c r="G4" s="60"/>
      <c r="H4" s="60"/>
      <c r="I4" s="60" t="s">
        <v>112</v>
      </c>
      <c r="J4" s="60" t="s">
        <v>113</v>
      </c>
      <c r="K4" s="60" t="s">
        <v>114</v>
      </c>
      <c r="L4" s="60"/>
      <c r="M4" s="60" t="s">
        <v>115</v>
      </c>
      <c r="N4" s="60" t="s">
        <v>116</v>
      </c>
      <c r="O4" s="61">
        <f>IF(COUNTIF($A$4:A4,A4)=1,1,0)</f>
        <v>1</v>
      </c>
    </row>
    <row r="5" spans="1:15" ht="110" customHeight="1" x14ac:dyDescent="0.2">
      <c r="A5" s="57" t="s">
        <v>117</v>
      </c>
      <c r="B5" s="58" t="str">
        <f>'Turnover نهایی'!V5</f>
        <v>بله</v>
      </c>
      <c r="C5" s="58">
        <f t="shared" si="0"/>
        <v>1</v>
      </c>
      <c r="D5" s="57" t="s">
        <v>118</v>
      </c>
      <c r="E5" s="57" t="s">
        <v>119</v>
      </c>
      <c r="F5" s="58">
        <f t="shared" si="1"/>
        <v>1</v>
      </c>
      <c r="G5" s="57" t="s">
        <v>120</v>
      </c>
      <c r="H5" s="57" t="s">
        <v>121</v>
      </c>
      <c r="I5" s="57" t="s">
        <v>122</v>
      </c>
      <c r="J5" s="57" t="s">
        <v>123</v>
      </c>
      <c r="K5" s="57" t="s">
        <v>124</v>
      </c>
      <c r="L5" s="57"/>
      <c r="M5" s="57"/>
      <c r="N5" s="57" t="s">
        <v>125</v>
      </c>
      <c r="O5" s="58">
        <f>IF(COUNTIF($A$4:A5,A5)=1,1,0)</f>
        <v>1</v>
      </c>
    </row>
    <row r="6" spans="1:15" ht="110" customHeight="1" x14ac:dyDescent="0.2">
      <c r="A6" s="56" t="s">
        <v>126</v>
      </c>
      <c r="B6" s="59" t="str">
        <f>'Turnover نهایی'!V6</f>
        <v>بله</v>
      </c>
      <c r="C6" s="59">
        <f t="shared" si="0"/>
        <v>1</v>
      </c>
      <c r="D6" s="56" t="s">
        <v>127</v>
      </c>
      <c r="E6" s="56" t="s">
        <v>119</v>
      </c>
      <c r="F6" s="59">
        <f t="shared" si="1"/>
        <v>1</v>
      </c>
      <c r="G6" s="56"/>
      <c r="H6" s="56"/>
      <c r="I6" s="56" t="s">
        <v>128</v>
      </c>
      <c r="J6" s="56" t="s">
        <v>129</v>
      </c>
      <c r="K6" s="56" t="s">
        <v>114</v>
      </c>
      <c r="L6" s="56"/>
      <c r="M6" s="56"/>
      <c r="N6" s="56" t="s">
        <v>130</v>
      </c>
      <c r="O6" s="59">
        <f>IF(COUNTIF($A$4:A6,A6)=1,1,0)</f>
        <v>1</v>
      </c>
    </row>
    <row r="7" spans="1:15" ht="110" customHeight="1" x14ac:dyDescent="0.2">
      <c r="A7" s="57" t="s">
        <v>131</v>
      </c>
      <c r="B7" s="58" t="str">
        <f>'Turnover نهایی'!V7</f>
        <v>خیر</v>
      </c>
      <c r="C7" s="58">
        <f t="shared" si="0"/>
        <v>0</v>
      </c>
      <c r="D7" s="57" t="s">
        <v>118</v>
      </c>
      <c r="E7" s="57" t="s">
        <v>119</v>
      </c>
      <c r="F7" s="58">
        <f t="shared" si="1"/>
        <v>0</v>
      </c>
      <c r="G7" s="57" t="s">
        <v>132</v>
      </c>
      <c r="H7" s="57" t="s">
        <v>132</v>
      </c>
      <c r="I7" s="57" t="s">
        <v>122</v>
      </c>
      <c r="J7" s="57" t="s">
        <v>133</v>
      </c>
      <c r="K7" s="57" t="s">
        <v>134</v>
      </c>
      <c r="L7" s="57"/>
      <c r="M7" s="57"/>
      <c r="N7" s="57" t="s">
        <v>125</v>
      </c>
      <c r="O7" s="58">
        <f>IF(COUNTIF($A$4:A7,A7)=1,1,0)</f>
        <v>1</v>
      </c>
    </row>
    <row r="8" spans="1:15" ht="110" customHeight="1" x14ac:dyDescent="0.2">
      <c r="A8" s="56" t="s">
        <v>135</v>
      </c>
      <c r="B8" s="59" t="str">
        <f>'Turnover نهایی'!V8</f>
        <v>بله</v>
      </c>
      <c r="C8" s="59">
        <f t="shared" si="0"/>
        <v>1</v>
      </c>
      <c r="D8" s="56" t="s">
        <v>127</v>
      </c>
      <c r="E8" s="56" t="s">
        <v>119</v>
      </c>
      <c r="F8" s="59">
        <f t="shared" si="1"/>
        <v>1</v>
      </c>
      <c r="G8" s="56"/>
      <c r="H8" s="56"/>
      <c r="I8" s="56" t="s">
        <v>128</v>
      </c>
      <c r="J8" s="56" t="s">
        <v>136</v>
      </c>
      <c r="K8" s="56" t="s">
        <v>114</v>
      </c>
      <c r="L8" s="56"/>
      <c r="M8" s="56"/>
      <c r="N8" s="56" t="s">
        <v>130</v>
      </c>
      <c r="O8" s="59">
        <f>IF(COUNTIF($A$4:A8,A8)=1,1,0)</f>
        <v>1</v>
      </c>
    </row>
    <row r="9" spans="1:15" ht="110" customHeight="1" x14ac:dyDescent="0.2">
      <c r="A9" s="57" t="s">
        <v>137</v>
      </c>
      <c r="B9" s="58" t="str">
        <f>'Turnover نهایی'!V9</f>
        <v>بله</v>
      </c>
      <c r="C9" s="58">
        <f t="shared" si="0"/>
        <v>1</v>
      </c>
      <c r="D9" s="57" t="s">
        <v>127</v>
      </c>
      <c r="E9" s="57" t="s">
        <v>119</v>
      </c>
      <c r="F9" s="58">
        <f t="shared" si="1"/>
        <v>1</v>
      </c>
      <c r="G9" s="57"/>
      <c r="H9" s="57"/>
      <c r="I9" s="57" t="s">
        <v>128</v>
      </c>
      <c r="J9" s="57" t="s">
        <v>138</v>
      </c>
      <c r="K9" s="57" t="s">
        <v>139</v>
      </c>
      <c r="L9" s="57"/>
      <c r="M9" s="57"/>
      <c r="N9" s="57" t="s">
        <v>130</v>
      </c>
      <c r="O9" s="58">
        <f>IF(COUNTIF($A$4:A9,A9)=1,1,0)</f>
        <v>1</v>
      </c>
    </row>
    <row r="10" spans="1:15" ht="110" customHeight="1" x14ac:dyDescent="0.2">
      <c r="A10" s="56" t="s">
        <v>140</v>
      </c>
      <c r="B10" s="59" t="str">
        <f>'Turnover نهایی'!V10</f>
        <v>بله</v>
      </c>
      <c r="C10" s="59">
        <f t="shared" si="0"/>
        <v>1</v>
      </c>
      <c r="D10" s="56" t="s">
        <v>127</v>
      </c>
      <c r="E10" s="56" t="s">
        <v>119</v>
      </c>
      <c r="F10" s="59">
        <f t="shared" si="1"/>
        <v>1</v>
      </c>
      <c r="G10" s="56"/>
      <c r="H10" s="56"/>
      <c r="I10" s="56" t="s">
        <v>128</v>
      </c>
      <c r="J10" s="56" t="s">
        <v>141</v>
      </c>
      <c r="K10" s="56" t="s">
        <v>142</v>
      </c>
      <c r="L10" s="56"/>
      <c r="M10" s="56"/>
      <c r="N10" s="56" t="s">
        <v>130</v>
      </c>
      <c r="O10" s="59">
        <f>IF(COUNTIF($A$4:A10,A10)=1,1,0)</f>
        <v>1</v>
      </c>
    </row>
    <row r="11" spans="1:15" ht="110" customHeight="1" x14ac:dyDescent="0.2">
      <c r="A11" s="57" t="s">
        <v>143</v>
      </c>
      <c r="B11" s="58" t="str">
        <f>'Turnover نهایی'!V11</f>
        <v>خیر</v>
      </c>
      <c r="C11" s="58">
        <f t="shared" si="0"/>
        <v>0</v>
      </c>
      <c r="D11" s="57" t="s">
        <v>127</v>
      </c>
      <c r="E11" s="57" t="s">
        <v>119</v>
      </c>
      <c r="F11" s="58">
        <f t="shared" si="1"/>
        <v>0</v>
      </c>
      <c r="G11" s="57"/>
      <c r="H11" s="57"/>
      <c r="I11" s="57" t="s">
        <v>128</v>
      </c>
      <c r="J11" s="57" t="s">
        <v>144</v>
      </c>
      <c r="K11" s="57" t="s">
        <v>145</v>
      </c>
      <c r="L11" s="57"/>
      <c r="M11" s="57"/>
      <c r="N11" s="57" t="s">
        <v>130</v>
      </c>
      <c r="O11" s="58">
        <f>IF(COUNTIF($A$4:A11,A11)=1,1,0)</f>
        <v>1</v>
      </c>
    </row>
    <row r="12" spans="1:15" ht="110" customHeight="1" x14ac:dyDescent="0.2">
      <c r="A12" s="56" t="s">
        <v>20</v>
      </c>
      <c r="B12" s="59" t="str">
        <f>'Turnover نهایی'!V12</f>
        <v>خیر</v>
      </c>
      <c r="C12" s="59">
        <f t="shared" si="0"/>
        <v>0</v>
      </c>
      <c r="D12" s="56" t="s">
        <v>146</v>
      </c>
      <c r="E12" s="56" t="s">
        <v>119</v>
      </c>
      <c r="F12" s="59">
        <f t="shared" si="1"/>
        <v>0</v>
      </c>
      <c r="G12" s="56" t="s">
        <v>147</v>
      </c>
      <c r="H12" s="56" t="s">
        <v>147</v>
      </c>
      <c r="I12" s="56" t="s">
        <v>122</v>
      </c>
      <c r="J12" s="56" t="s">
        <v>148</v>
      </c>
      <c r="K12" s="56" t="s">
        <v>149</v>
      </c>
      <c r="L12" s="56"/>
      <c r="M12" s="56"/>
      <c r="N12" s="56" t="s">
        <v>150</v>
      </c>
      <c r="O12" s="59">
        <f>IF(COUNTIF($A$4:A12,A12)=1,1,0)</f>
        <v>1</v>
      </c>
    </row>
    <row r="13" spans="1:15" ht="110" customHeight="1" x14ac:dyDescent="0.2">
      <c r="A13" s="60" t="s">
        <v>151</v>
      </c>
      <c r="B13" s="61" t="str">
        <f>'Turnover نهایی'!V13</f>
        <v>نامشخص</v>
      </c>
      <c r="C13" s="61" t="str">
        <f t="shared" si="0"/>
        <v/>
      </c>
      <c r="D13" s="60" t="s">
        <v>152</v>
      </c>
      <c r="E13" s="60" t="s">
        <v>111</v>
      </c>
      <c r="F13" s="61" t="str">
        <f t="shared" si="1"/>
        <v/>
      </c>
      <c r="G13" s="60"/>
      <c r="H13" s="60"/>
      <c r="I13" s="60" t="s">
        <v>128</v>
      </c>
      <c r="J13" s="60" t="s">
        <v>153</v>
      </c>
      <c r="K13" s="60" t="s">
        <v>154</v>
      </c>
      <c r="L13" s="60"/>
      <c r="M13" s="60" t="s">
        <v>155</v>
      </c>
      <c r="N13" s="60" t="s">
        <v>156</v>
      </c>
      <c r="O13" s="61">
        <f>IF(COUNTIF($A$4:A13,A13)=1,1,0)</f>
        <v>1</v>
      </c>
    </row>
    <row r="14" spans="1:15" ht="110" customHeight="1" x14ac:dyDescent="0.2">
      <c r="A14" s="56" t="s">
        <v>157</v>
      </c>
      <c r="B14" s="59" t="str">
        <f>'Turnover نهایی'!V14</f>
        <v>بله</v>
      </c>
      <c r="C14" s="59">
        <f t="shared" si="0"/>
        <v>1</v>
      </c>
      <c r="D14" s="56" t="s">
        <v>127</v>
      </c>
      <c r="E14" s="56" t="s">
        <v>119</v>
      </c>
      <c r="F14" s="59">
        <f t="shared" si="1"/>
        <v>1</v>
      </c>
      <c r="G14" s="56"/>
      <c r="H14" s="56"/>
      <c r="I14" s="56" t="s">
        <v>128</v>
      </c>
      <c r="J14" s="56" t="s">
        <v>158</v>
      </c>
      <c r="K14" s="56" t="s">
        <v>114</v>
      </c>
      <c r="L14" s="56"/>
      <c r="M14" s="56"/>
      <c r="N14" s="56" t="s">
        <v>130</v>
      </c>
      <c r="O14" s="59">
        <f>IF(COUNTIF($A$4:A14,A14)=1,1,0)</f>
        <v>1</v>
      </c>
    </row>
    <row r="15" spans="1:15" ht="110" customHeight="1" x14ac:dyDescent="0.2">
      <c r="A15" s="57" t="s">
        <v>159</v>
      </c>
      <c r="B15" s="58" t="str">
        <f>'Turnover نهایی'!V15</f>
        <v>بله</v>
      </c>
      <c r="C15" s="58">
        <f t="shared" si="0"/>
        <v>1</v>
      </c>
      <c r="D15" s="57" t="s">
        <v>127</v>
      </c>
      <c r="E15" s="57" t="s">
        <v>119</v>
      </c>
      <c r="F15" s="58">
        <f t="shared" si="1"/>
        <v>1</v>
      </c>
      <c r="G15" s="57"/>
      <c r="H15" s="57"/>
      <c r="I15" s="57" t="s">
        <v>128</v>
      </c>
      <c r="J15" s="57" t="s">
        <v>160</v>
      </c>
      <c r="K15" s="57" t="s">
        <v>161</v>
      </c>
      <c r="L15" s="57"/>
      <c r="M15" s="57"/>
      <c r="N15" s="57" t="s">
        <v>130</v>
      </c>
      <c r="O15" s="58">
        <f>IF(COUNTIF($A$4:A15,A15)=1,1,0)</f>
        <v>1</v>
      </c>
    </row>
    <row r="16" spans="1:15" ht="110" customHeight="1" x14ac:dyDescent="0.2">
      <c r="A16" s="56" t="s">
        <v>162</v>
      </c>
      <c r="B16" s="59" t="str">
        <f>'Turnover نهایی'!V16</f>
        <v>خیر</v>
      </c>
      <c r="C16" s="59">
        <f t="shared" si="0"/>
        <v>0</v>
      </c>
      <c r="D16" s="56" t="s">
        <v>127</v>
      </c>
      <c r="E16" s="56" t="s">
        <v>119</v>
      </c>
      <c r="F16" s="59">
        <f t="shared" si="1"/>
        <v>0</v>
      </c>
      <c r="G16" s="56"/>
      <c r="H16" s="56"/>
      <c r="I16" s="56" t="s">
        <v>128</v>
      </c>
      <c r="J16" s="56" t="s">
        <v>163</v>
      </c>
      <c r="K16" s="56" t="s">
        <v>164</v>
      </c>
      <c r="L16" s="56"/>
      <c r="M16" s="56"/>
      <c r="N16" s="56" t="s">
        <v>130</v>
      </c>
      <c r="O16" s="59">
        <f>IF(COUNTIF($A$4:A16,A16)=1,1,0)</f>
        <v>1</v>
      </c>
    </row>
    <row r="17" spans="1:15" ht="110" customHeight="1" x14ac:dyDescent="0.2">
      <c r="A17" s="57" t="s">
        <v>165</v>
      </c>
      <c r="B17" s="58" t="str">
        <f>'Turnover نهایی'!V17</f>
        <v>خیر</v>
      </c>
      <c r="C17" s="58">
        <f t="shared" si="0"/>
        <v>0</v>
      </c>
      <c r="D17" s="57" t="s">
        <v>127</v>
      </c>
      <c r="E17" s="57" t="s">
        <v>119</v>
      </c>
      <c r="F17" s="58">
        <f t="shared" si="1"/>
        <v>0</v>
      </c>
      <c r="G17" s="57"/>
      <c r="H17" s="57"/>
      <c r="I17" s="57" t="s">
        <v>128</v>
      </c>
      <c r="J17" s="57" t="s">
        <v>166</v>
      </c>
      <c r="K17" s="57" t="s">
        <v>167</v>
      </c>
      <c r="L17" s="57"/>
      <c r="M17" s="57"/>
      <c r="N17" s="57" t="s">
        <v>130</v>
      </c>
      <c r="O17" s="58">
        <f>IF(COUNTIF($A$4:A17,A17)=1,1,0)</f>
        <v>1</v>
      </c>
    </row>
    <row r="18" spans="1:15" ht="110" customHeight="1" x14ac:dyDescent="0.2">
      <c r="A18" s="56" t="s">
        <v>168</v>
      </c>
      <c r="B18" s="59" t="str">
        <f>'Turnover نهایی'!V18</f>
        <v>بله</v>
      </c>
      <c r="C18" s="59">
        <f t="shared" si="0"/>
        <v>1</v>
      </c>
      <c r="D18" s="56" t="s">
        <v>127</v>
      </c>
      <c r="E18" s="56" t="s">
        <v>119</v>
      </c>
      <c r="F18" s="59">
        <f t="shared" si="1"/>
        <v>1</v>
      </c>
      <c r="G18" s="56"/>
      <c r="H18" s="56"/>
      <c r="I18" s="56" t="s">
        <v>128</v>
      </c>
      <c r="J18" s="56" t="s">
        <v>169</v>
      </c>
      <c r="K18" s="56" t="s">
        <v>170</v>
      </c>
      <c r="L18" s="56"/>
      <c r="M18" s="56"/>
      <c r="N18" s="56" t="s">
        <v>130</v>
      </c>
      <c r="O18" s="59">
        <f>IF(COUNTIF($A$4:A18,A18)=1,1,0)</f>
        <v>1</v>
      </c>
    </row>
    <row r="19" spans="1:15" ht="110" customHeight="1" x14ac:dyDescent="0.2">
      <c r="A19" s="57" t="s">
        <v>171</v>
      </c>
      <c r="B19" s="58" t="str">
        <f>'Turnover نهایی'!V19</f>
        <v>بله</v>
      </c>
      <c r="C19" s="58">
        <f t="shared" si="0"/>
        <v>1</v>
      </c>
      <c r="D19" s="57" t="s">
        <v>127</v>
      </c>
      <c r="E19" s="57" t="s">
        <v>119</v>
      </c>
      <c r="F19" s="58">
        <f t="shared" si="1"/>
        <v>1</v>
      </c>
      <c r="G19" s="57"/>
      <c r="H19" s="57"/>
      <c r="I19" s="57" t="s">
        <v>128</v>
      </c>
      <c r="J19" s="57" t="s">
        <v>172</v>
      </c>
      <c r="K19" s="57" t="s">
        <v>173</v>
      </c>
      <c r="L19" s="57"/>
      <c r="M19" s="57"/>
      <c r="N19" s="57" t="s">
        <v>130</v>
      </c>
      <c r="O19" s="58">
        <f>IF(COUNTIF($A$4:A19,A19)=1,1,0)</f>
        <v>1</v>
      </c>
    </row>
    <row r="20" spans="1:15" ht="110" customHeight="1" x14ac:dyDescent="0.2">
      <c r="A20" s="56" t="s">
        <v>174</v>
      </c>
      <c r="B20" s="59" t="str">
        <f>'Turnover نهایی'!V20</f>
        <v>بله</v>
      </c>
      <c r="C20" s="59">
        <f t="shared" si="0"/>
        <v>1</v>
      </c>
      <c r="D20" s="56" t="s">
        <v>118</v>
      </c>
      <c r="E20" s="56" t="s">
        <v>119</v>
      </c>
      <c r="F20" s="59">
        <f t="shared" si="1"/>
        <v>1</v>
      </c>
      <c r="G20" s="56" t="s">
        <v>175</v>
      </c>
      <c r="H20" s="56" t="s">
        <v>176</v>
      </c>
      <c r="I20" s="56" t="s">
        <v>122</v>
      </c>
      <c r="J20" s="56" t="s">
        <v>177</v>
      </c>
      <c r="K20" s="56" t="s">
        <v>178</v>
      </c>
      <c r="L20" s="56"/>
      <c r="M20" s="56"/>
      <c r="N20" s="56" t="s">
        <v>125</v>
      </c>
      <c r="O20" s="59">
        <f>IF(COUNTIF($A$4:A20,A20)=1,1,0)</f>
        <v>1</v>
      </c>
    </row>
    <row r="21" spans="1:15" ht="110" customHeight="1" x14ac:dyDescent="0.2">
      <c r="A21" s="57" t="s">
        <v>179</v>
      </c>
      <c r="B21" s="58" t="str">
        <f>'Turnover نهایی'!V21</f>
        <v>بله</v>
      </c>
      <c r="C21" s="58">
        <f t="shared" si="0"/>
        <v>1</v>
      </c>
      <c r="D21" s="57" t="s">
        <v>127</v>
      </c>
      <c r="E21" s="57" t="s">
        <v>119</v>
      </c>
      <c r="F21" s="58">
        <f t="shared" si="1"/>
        <v>1</v>
      </c>
      <c r="G21" s="57"/>
      <c r="H21" s="57"/>
      <c r="I21" s="57" t="s">
        <v>128</v>
      </c>
      <c r="J21" s="57" t="s">
        <v>180</v>
      </c>
      <c r="K21" s="57" t="s">
        <v>181</v>
      </c>
      <c r="L21" s="57"/>
      <c r="M21" s="57"/>
      <c r="N21" s="57" t="s">
        <v>130</v>
      </c>
      <c r="O21" s="58">
        <f>IF(COUNTIF($A$4:A21,A21)=1,1,0)</f>
        <v>1</v>
      </c>
    </row>
    <row r="22" spans="1:15" ht="110" customHeight="1" x14ac:dyDescent="0.2">
      <c r="A22" s="56" t="s">
        <v>182</v>
      </c>
      <c r="B22" s="59" t="str">
        <f>'Turnover نهایی'!V22</f>
        <v>خیر</v>
      </c>
      <c r="C22" s="59">
        <f t="shared" si="0"/>
        <v>0</v>
      </c>
      <c r="D22" s="56" t="s">
        <v>183</v>
      </c>
      <c r="E22" s="56" t="s">
        <v>119</v>
      </c>
      <c r="F22" s="59">
        <f t="shared" si="1"/>
        <v>0</v>
      </c>
      <c r="G22" s="56" t="s">
        <v>184</v>
      </c>
      <c r="H22" s="56" t="s">
        <v>184</v>
      </c>
      <c r="I22" s="56" t="s">
        <v>122</v>
      </c>
      <c r="J22" s="56" t="s">
        <v>185</v>
      </c>
      <c r="K22" s="56" t="s">
        <v>186</v>
      </c>
      <c r="L22" s="56"/>
      <c r="M22" s="56"/>
      <c r="N22" s="56" t="s">
        <v>125</v>
      </c>
      <c r="O22" s="59">
        <f>IF(COUNTIF($A$4:A22,A22)=1,1,0)</f>
        <v>1</v>
      </c>
    </row>
    <row r="23" spans="1:15" ht="110" customHeight="1" x14ac:dyDescent="0.2">
      <c r="A23" s="57" t="s">
        <v>187</v>
      </c>
      <c r="B23" s="58" t="str">
        <f>'Turnover نهایی'!V23</f>
        <v>خیر</v>
      </c>
      <c r="C23" s="58">
        <f t="shared" si="0"/>
        <v>0</v>
      </c>
      <c r="D23" s="57" t="s">
        <v>127</v>
      </c>
      <c r="E23" s="57" t="s">
        <v>119</v>
      </c>
      <c r="F23" s="58">
        <f t="shared" si="1"/>
        <v>0</v>
      </c>
      <c r="G23" s="57"/>
      <c r="H23" s="57"/>
      <c r="I23" s="57" t="s">
        <v>128</v>
      </c>
      <c r="J23" s="57" t="s">
        <v>188</v>
      </c>
      <c r="K23" s="57" t="s">
        <v>189</v>
      </c>
      <c r="L23" s="57"/>
      <c r="M23" s="57"/>
      <c r="N23" s="57" t="s">
        <v>130</v>
      </c>
      <c r="O23" s="58">
        <f>IF(COUNTIF($A$4:A23,A23)=1,1,0)</f>
        <v>1</v>
      </c>
    </row>
    <row r="24" spans="1:15" ht="110" customHeight="1" x14ac:dyDescent="0.2">
      <c r="A24" s="56" t="s">
        <v>190</v>
      </c>
      <c r="B24" s="59" t="str">
        <f>'Turnover نهایی'!V24</f>
        <v>بله</v>
      </c>
      <c r="C24" s="59">
        <f t="shared" si="0"/>
        <v>1</v>
      </c>
      <c r="D24" s="56" t="s">
        <v>183</v>
      </c>
      <c r="E24" s="56" t="s">
        <v>119</v>
      </c>
      <c r="F24" s="59">
        <f t="shared" si="1"/>
        <v>1</v>
      </c>
      <c r="G24" s="56" t="s">
        <v>191</v>
      </c>
      <c r="H24" s="56" t="s">
        <v>192</v>
      </c>
      <c r="I24" s="56" t="s">
        <v>122</v>
      </c>
      <c r="J24" s="56" t="s">
        <v>193</v>
      </c>
      <c r="K24" s="56" t="s">
        <v>194</v>
      </c>
      <c r="L24" s="56" t="s">
        <v>195</v>
      </c>
      <c r="M24" s="56"/>
      <c r="N24" s="56" t="s">
        <v>125</v>
      </c>
      <c r="O24" s="59">
        <f>IF(COUNTIF($A$4:A24,A24)=1,1,0)</f>
        <v>1</v>
      </c>
    </row>
    <row r="25" spans="1:15" ht="110" customHeight="1" x14ac:dyDescent="0.2">
      <c r="A25" s="57" t="s">
        <v>196</v>
      </c>
      <c r="B25" s="58" t="str">
        <f>'Turnover نهایی'!V25</f>
        <v>بله</v>
      </c>
      <c r="C25" s="58">
        <f t="shared" si="0"/>
        <v>1</v>
      </c>
      <c r="D25" s="57" t="s">
        <v>127</v>
      </c>
      <c r="E25" s="57" t="s">
        <v>119</v>
      </c>
      <c r="F25" s="58">
        <f t="shared" si="1"/>
        <v>1</v>
      </c>
      <c r="G25" s="57"/>
      <c r="H25" s="57"/>
      <c r="I25" s="57" t="s">
        <v>128</v>
      </c>
      <c r="J25" s="57" t="s">
        <v>197</v>
      </c>
      <c r="K25" s="57" t="s">
        <v>198</v>
      </c>
      <c r="L25" s="57"/>
      <c r="M25" s="57"/>
      <c r="N25" s="57" t="s">
        <v>130</v>
      </c>
      <c r="O25" s="58">
        <f>IF(COUNTIF($A$4:A25,A25)=1,1,0)</f>
        <v>1</v>
      </c>
    </row>
    <row r="26" spans="1:15" ht="110" customHeight="1" x14ac:dyDescent="0.2">
      <c r="A26" s="56" t="s">
        <v>199</v>
      </c>
      <c r="B26" s="59" t="str">
        <f>'Turnover نهایی'!V26</f>
        <v>خیر</v>
      </c>
      <c r="C26" s="59">
        <f t="shared" si="0"/>
        <v>0</v>
      </c>
      <c r="D26" s="56" t="s">
        <v>127</v>
      </c>
      <c r="E26" s="56" t="s">
        <v>119</v>
      </c>
      <c r="F26" s="59">
        <f t="shared" si="1"/>
        <v>0</v>
      </c>
      <c r="G26" s="56"/>
      <c r="H26" s="56"/>
      <c r="I26" s="56" t="s">
        <v>128</v>
      </c>
      <c r="J26" s="56" t="s">
        <v>200</v>
      </c>
      <c r="K26" s="56" t="s">
        <v>201</v>
      </c>
      <c r="L26" s="56"/>
      <c r="M26" s="56"/>
      <c r="N26" s="56" t="s">
        <v>130</v>
      </c>
      <c r="O26" s="59">
        <f>IF(COUNTIF($A$4:A26,A26)=1,1,0)</f>
        <v>1</v>
      </c>
    </row>
    <row r="27" spans="1:15" ht="110" customHeight="1" x14ac:dyDescent="0.2">
      <c r="A27" s="57" t="s">
        <v>202</v>
      </c>
      <c r="B27" s="58" t="str">
        <f>'Turnover نهایی'!V27</f>
        <v>خیر</v>
      </c>
      <c r="C27" s="58">
        <f t="shared" si="0"/>
        <v>0</v>
      </c>
      <c r="D27" s="57" t="s">
        <v>118</v>
      </c>
      <c r="E27" s="57" t="s">
        <v>119</v>
      </c>
      <c r="F27" s="58">
        <f t="shared" si="1"/>
        <v>0</v>
      </c>
      <c r="G27" s="57" t="s">
        <v>203</v>
      </c>
      <c r="H27" s="57" t="s">
        <v>203</v>
      </c>
      <c r="I27" s="57" t="s">
        <v>122</v>
      </c>
      <c r="J27" s="57" t="s">
        <v>204</v>
      </c>
      <c r="K27" s="57" t="s">
        <v>205</v>
      </c>
      <c r="L27" s="57"/>
      <c r="M27" s="57"/>
      <c r="N27" s="57" t="s">
        <v>125</v>
      </c>
      <c r="O27" s="58">
        <f>IF(COUNTIF($A$4:A27,A27)=1,1,0)</f>
        <v>1</v>
      </c>
    </row>
    <row r="28" spans="1:15" ht="110" customHeight="1" x14ac:dyDescent="0.2">
      <c r="A28" s="56" t="s">
        <v>206</v>
      </c>
      <c r="B28" s="59" t="str">
        <f>'Turnover نهایی'!V28</f>
        <v>خیر</v>
      </c>
      <c r="C28" s="59">
        <f t="shared" si="0"/>
        <v>0</v>
      </c>
      <c r="D28" s="56" t="s">
        <v>127</v>
      </c>
      <c r="E28" s="56" t="s">
        <v>119</v>
      </c>
      <c r="F28" s="59">
        <f t="shared" si="1"/>
        <v>0</v>
      </c>
      <c r="G28" s="56"/>
      <c r="H28" s="56"/>
      <c r="I28" s="56" t="s">
        <v>128</v>
      </c>
      <c r="J28" s="56" t="s">
        <v>207</v>
      </c>
      <c r="K28" s="56" t="s">
        <v>208</v>
      </c>
      <c r="L28" s="56"/>
      <c r="M28" s="56"/>
      <c r="N28" s="56" t="s">
        <v>130</v>
      </c>
      <c r="O28" s="59">
        <f>IF(COUNTIF($A$4:A28,A28)=1,1,0)</f>
        <v>1</v>
      </c>
    </row>
    <row r="29" spans="1:15" ht="110" customHeight="1" x14ac:dyDescent="0.2">
      <c r="A29" s="57" t="s">
        <v>209</v>
      </c>
      <c r="B29" s="58" t="str">
        <f>'Turnover نهایی'!V29</f>
        <v>خیر</v>
      </c>
      <c r="C29" s="58">
        <f t="shared" si="0"/>
        <v>0</v>
      </c>
      <c r="D29" s="57" t="s">
        <v>127</v>
      </c>
      <c r="E29" s="57" t="s">
        <v>119</v>
      </c>
      <c r="F29" s="58">
        <f t="shared" si="1"/>
        <v>0</v>
      </c>
      <c r="G29" s="57"/>
      <c r="H29" s="57"/>
      <c r="I29" s="57" t="s">
        <v>128</v>
      </c>
      <c r="J29" s="57" t="s">
        <v>210</v>
      </c>
      <c r="K29" s="57" t="s">
        <v>211</v>
      </c>
      <c r="L29" s="57"/>
      <c r="M29" s="57"/>
      <c r="N29" s="57" t="s">
        <v>130</v>
      </c>
      <c r="O29" s="58">
        <f>IF(COUNTIF($A$4:A29,A29)=1,1,0)</f>
        <v>1</v>
      </c>
    </row>
    <row r="30" spans="1:15" ht="110" customHeight="1" x14ac:dyDescent="0.2">
      <c r="A30" s="56" t="s">
        <v>212</v>
      </c>
      <c r="B30" s="59" t="str">
        <f>'Turnover نهایی'!V30</f>
        <v>خیر</v>
      </c>
      <c r="C30" s="59">
        <f t="shared" si="0"/>
        <v>0</v>
      </c>
      <c r="D30" s="56" t="s">
        <v>127</v>
      </c>
      <c r="E30" s="56" t="s">
        <v>119</v>
      </c>
      <c r="F30" s="59">
        <f t="shared" si="1"/>
        <v>0</v>
      </c>
      <c r="G30" s="56"/>
      <c r="H30" s="56"/>
      <c r="I30" s="56" t="s">
        <v>128</v>
      </c>
      <c r="J30" s="56" t="s">
        <v>213</v>
      </c>
      <c r="K30" s="56" t="s">
        <v>214</v>
      </c>
      <c r="L30" s="56"/>
      <c r="M30" s="56"/>
      <c r="N30" s="56" t="s">
        <v>130</v>
      </c>
      <c r="O30" s="59">
        <f>IF(COUNTIF($A$4:A30,A30)=1,1,0)</f>
        <v>1</v>
      </c>
    </row>
    <row r="31" spans="1:15" ht="110" customHeight="1" x14ac:dyDescent="0.2">
      <c r="A31" s="60" t="s">
        <v>24</v>
      </c>
      <c r="B31" s="61" t="str">
        <f>'Turnover نهایی'!V31</f>
        <v>نامشخص</v>
      </c>
      <c r="C31" s="61" t="str">
        <f t="shared" si="0"/>
        <v/>
      </c>
      <c r="D31" s="60" t="s">
        <v>152</v>
      </c>
      <c r="E31" s="60" t="s">
        <v>111</v>
      </c>
      <c r="F31" s="61" t="str">
        <f t="shared" si="1"/>
        <v/>
      </c>
      <c r="G31" s="60"/>
      <c r="H31" s="60"/>
      <c r="I31" s="60" t="s">
        <v>128</v>
      </c>
      <c r="J31" s="60" t="s">
        <v>215</v>
      </c>
      <c r="K31" s="62" t="s">
        <v>216</v>
      </c>
      <c r="L31" s="60"/>
      <c r="M31" s="60" t="s">
        <v>217</v>
      </c>
      <c r="N31" s="60" t="s">
        <v>218</v>
      </c>
      <c r="O31" s="61">
        <f>IF(COUNTIF($A$4:A31,A31)=1,1,0)</f>
        <v>1</v>
      </c>
    </row>
    <row r="32" spans="1:15" ht="110" customHeight="1" x14ac:dyDescent="0.2">
      <c r="A32" s="60" t="s">
        <v>28</v>
      </c>
      <c r="B32" s="61" t="str">
        <f>'Turnover نهایی'!V32</f>
        <v>نامشخص</v>
      </c>
      <c r="C32" s="61" t="str">
        <f t="shared" si="0"/>
        <v/>
      </c>
      <c r="D32" s="60" t="s">
        <v>152</v>
      </c>
      <c r="E32" s="60" t="s">
        <v>111</v>
      </c>
      <c r="F32" s="61" t="str">
        <f t="shared" si="1"/>
        <v/>
      </c>
      <c r="G32" s="60"/>
      <c r="H32" s="60"/>
      <c r="I32" s="60" t="s">
        <v>128</v>
      </c>
      <c r="J32" s="60" t="s">
        <v>219</v>
      </c>
      <c r="K32" s="60" t="s">
        <v>114</v>
      </c>
      <c r="L32" s="60"/>
      <c r="M32" s="60" t="s">
        <v>220</v>
      </c>
      <c r="N32" s="60" t="s">
        <v>221</v>
      </c>
      <c r="O32" s="61">
        <f>IF(COUNTIF($A$4:A32,A32)=1,1,0)</f>
        <v>1</v>
      </c>
    </row>
    <row r="33" spans="1:15" ht="110" customHeight="1" x14ac:dyDescent="0.2">
      <c r="A33" s="57" t="s">
        <v>222</v>
      </c>
      <c r="B33" s="58" t="str">
        <f>'Turnover نهایی'!V33</f>
        <v>بله</v>
      </c>
      <c r="C33" s="58">
        <f t="shared" si="0"/>
        <v>1</v>
      </c>
      <c r="D33" s="57" t="s">
        <v>118</v>
      </c>
      <c r="E33" s="57" t="s">
        <v>119</v>
      </c>
      <c r="F33" s="58">
        <f t="shared" si="1"/>
        <v>1</v>
      </c>
      <c r="G33" s="57" t="s">
        <v>223</v>
      </c>
      <c r="H33" s="57" t="s">
        <v>224</v>
      </c>
      <c r="I33" s="57" t="s">
        <v>122</v>
      </c>
      <c r="J33" s="57" t="s">
        <v>225</v>
      </c>
      <c r="K33" s="57" t="s">
        <v>226</v>
      </c>
      <c r="L33" s="57"/>
      <c r="M33" s="57"/>
      <c r="N33" s="57" t="s">
        <v>125</v>
      </c>
      <c r="O33" s="58">
        <f>IF(COUNTIF($A$4:A33,A33)=1,1,0)</f>
        <v>1</v>
      </c>
    </row>
    <row r="37" spans="1:15" ht="35" customHeight="1" x14ac:dyDescent="0.2">
      <c r="A37" s="57" t="s">
        <v>227</v>
      </c>
      <c r="B37" s="57" t="s">
        <v>228</v>
      </c>
      <c r="C37" s="57" t="s">
        <v>4</v>
      </c>
    </row>
    <row r="38" spans="1:15" ht="62" customHeight="1" x14ac:dyDescent="0.2">
      <c r="A38" s="56" t="s">
        <v>229</v>
      </c>
      <c r="B38" s="59">
        <f>COUNT(C4:C33)</f>
        <v>27</v>
      </c>
      <c r="C38" s="56" t="s">
        <v>230</v>
      </c>
    </row>
    <row r="39" spans="1:15" ht="62" customHeight="1" x14ac:dyDescent="0.2">
      <c r="A39" s="57" t="s">
        <v>231</v>
      </c>
      <c r="B39" s="58">
        <f>COUNT(F4:F33)</f>
        <v>26</v>
      </c>
      <c r="C39" s="57" t="s">
        <v>232</v>
      </c>
    </row>
    <row r="40" spans="1:15" ht="62" customHeight="1" x14ac:dyDescent="0.2">
      <c r="A40" s="56" t="s">
        <v>233</v>
      </c>
      <c r="B40" s="59">
        <f>COUNTIF(D4:D33,"MISSING")</f>
        <v>3</v>
      </c>
      <c r="C40" s="56" t="s">
        <v>234</v>
      </c>
    </row>
    <row r="41" spans="1:15" ht="62" customHeight="1" x14ac:dyDescent="0.2">
      <c r="A41" s="57" t="s">
        <v>235</v>
      </c>
      <c r="B41" s="58">
        <f>COUNTIF(D4:D33,"NEEDS_REVIEW")</f>
        <v>1</v>
      </c>
      <c r="C41" s="57" t="s">
        <v>236</v>
      </c>
    </row>
    <row r="42" spans="1:15" ht="62" customHeight="1" x14ac:dyDescent="0.2">
      <c r="A42" s="56" t="s">
        <v>237</v>
      </c>
      <c r="B42" s="59">
        <f>COUNTIFS(E4:E33,"بله",F4:F33,1)</f>
        <v>14</v>
      </c>
      <c r="C42" s="56" t="s">
        <v>238</v>
      </c>
    </row>
    <row r="43" spans="1:15" ht="62" customHeight="1" x14ac:dyDescent="0.2">
      <c r="A43" s="57" t="s">
        <v>239</v>
      </c>
      <c r="B43" s="58">
        <f>COUNTIFS(E4:E33,"بله",F4:F33,0)</f>
        <v>12</v>
      </c>
      <c r="C43" s="57" t="s">
        <v>240</v>
      </c>
    </row>
    <row r="44" spans="1:15" ht="62" customHeight="1" x14ac:dyDescent="0.2">
      <c r="A44" s="56" t="s">
        <v>241</v>
      </c>
      <c r="B44" s="59">
        <f>COUNTA(A4:A33)</f>
        <v>30</v>
      </c>
      <c r="C44" s="56" t="s">
        <v>242</v>
      </c>
    </row>
    <row r="45" spans="1:15" ht="62" customHeight="1" x14ac:dyDescent="0.2">
      <c r="A45" s="57" t="s">
        <v>243</v>
      </c>
      <c r="B45" s="63">
        <f>IF(B44&gt;0,B38/B44,"")</f>
        <v>0.9</v>
      </c>
      <c r="C45" s="57" t="s">
        <v>244</v>
      </c>
    </row>
    <row r="46" spans="1:15" ht="62" customHeight="1" x14ac:dyDescent="0.2">
      <c r="A46" s="56" t="s">
        <v>245</v>
      </c>
      <c r="B46" s="64">
        <f>IF(B44&gt;0,B39/B44,"")</f>
        <v>0.8666666666666667</v>
      </c>
      <c r="C46" s="56" t="s">
        <v>246</v>
      </c>
    </row>
    <row r="47" spans="1:15" ht="62" customHeight="1" x14ac:dyDescent="0.2">
      <c r="A47" s="57" t="s">
        <v>247</v>
      </c>
      <c r="B47" s="57">
        <v>23</v>
      </c>
      <c r="C47" s="57" t="s">
        <v>248</v>
      </c>
    </row>
    <row r="48" spans="1:15" ht="62" customHeight="1" x14ac:dyDescent="0.2">
      <c r="A48" s="56" t="s">
        <v>249</v>
      </c>
      <c r="B48" s="59">
        <f>B39-B47</f>
        <v>3</v>
      </c>
      <c r="C48" s="56" t="s">
        <v>250</v>
      </c>
    </row>
    <row r="49" spans="1:3" ht="62" customHeight="1" x14ac:dyDescent="0.2">
      <c r="A49" s="57" t="s">
        <v>251</v>
      </c>
      <c r="B49" s="58">
        <f>SUM(O4:O33)</f>
        <v>30</v>
      </c>
      <c r="C49" s="57" t="s">
        <v>252</v>
      </c>
    </row>
    <row r="50" spans="1:3" ht="62" customHeight="1" x14ac:dyDescent="0.2">
      <c r="A50" s="56" t="s">
        <v>253</v>
      </c>
      <c r="B50" s="59">
        <f>B40+B41</f>
        <v>4</v>
      </c>
      <c r="C50" s="56" t="s">
        <v>254</v>
      </c>
    </row>
  </sheetData>
  <autoFilter ref="A3:N33" xr:uid="{00000000-0009-0000-0000-000002000000}"/>
  <mergeCells count="2">
    <mergeCell ref="A1:O1"/>
    <mergeCell ref="A2:O2"/>
  </mergeCells>
  <hyperlinks>
    <hyperlink ref="K31" r:id="rId1" xr:uid="{00000000-0004-0000-0200-000000000000}"/>
  </hyperlinks>
  <printOptions horizontalCentered="1"/>
  <pageMargins left="0.75" right="0.75" top="1" bottom="1" header="0.5" footer="0.5"/>
  <pageSetup paperSize="8"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13"/>
  <sheetViews>
    <sheetView showGridLines="0" rightToLeft="1" zoomScale="85" workbookViewId="0">
      <pane xSplit="1" ySplit="3" topLeftCell="B4" activePane="bottomRight" state="frozen"/>
      <selection pane="topRight"/>
      <selection pane="bottomLeft"/>
      <selection pane="bottomRight"/>
    </sheetView>
  </sheetViews>
  <sheetFormatPr baseColWidth="10" defaultColWidth="8.83203125" defaultRowHeight="15" x14ac:dyDescent="0.2"/>
  <cols>
    <col min="1" max="2" width="14" customWidth="1"/>
    <col min="3" max="3" width="37" customWidth="1"/>
    <col min="4" max="5" width="28" customWidth="1"/>
    <col min="6" max="6" width="62" customWidth="1"/>
    <col min="7" max="7" width="36" customWidth="1"/>
    <col min="8" max="8" width="53" customWidth="1"/>
    <col min="9" max="9" width="63" customWidth="1"/>
  </cols>
  <sheetData>
    <row r="1" spans="1:9" ht="38" customHeight="1" x14ac:dyDescent="0.2">
      <c r="A1" s="75" t="s">
        <v>255</v>
      </c>
      <c r="B1" s="76"/>
      <c r="C1" s="76"/>
      <c r="D1" s="76"/>
      <c r="E1" s="76"/>
      <c r="F1" s="76"/>
      <c r="G1" s="76"/>
      <c r="H1" s="76"/>
      <c r="I1" s="76"/>
    </row>
    <row r="2" spans="1:9" ht="44" customHeight="1" x14ac:dyDescent="0.2">
      <c r="A2" s="77" t="s">
        <v>256</v>
      </c>
      <c r="B2" s="76"/>
      <c r="C2" s="76"/>
      <c r="D2" s="76"/>
      <c r="E2" s="76"/>
      <c r="F2" s="76"/>
      <c r="G2" s="76"/>
      <c r="H2" s="76"/>
      <c r="I2" s="76"/>
    </row>
    <row r="3" spans="1:9" ht="36" customHeight="1" x14ac:dyDescent="0.2">
      <c r="A3" s="55" t="s">
        <v>257</v>
      </c>
      <c r="B3" s="55" t="s">
        <v>94</v>
      </c>
      <c r="C3" s="55" t="s">
        <v>258</v>
      </c>
      <c r="D3" s="55" t="s">
        <v>259</v>
      </c>
      <c r="E3" s="55" t="s">
        <v>260</v>
      </c>
      <c r="F3" s="55" t="s">
        <v>261</v>
      </c>
      <c r="G3" s="55" t="s">
        <v>262</v>
      </c>
      <c r="H3" s="55" t="s">
        <v>263</v>
      </c>
      <c r="I3" s="55" t="s">
        <v>264</v>
      </c>
    </row>
    <row r="4" spans="1:9" ht="94" customHeight="1" x14ac:dyDescent="0.2">
      <c r="A4" s="56" t="s">
        <v>265</v>
      </c>
      <c r="B4" s="56" t="s">
        <v>20</v>
      </c>
      <c r="C4" s="56" t="s">
        <v>266</v>
      </c>
      <c r="D4" s="56" t="s">
        <v>267</v>
      </c>
      <c r="E4" s="56" t="s">
        <v>268</v>
      </c>
      <c r="F4" s="65" t="s">
        <v>269</v>
      </c>
      <c r="G4" s="56" t="s">
        <v>270</v>
      </c>
      <c r="H4" s="56" t="s">
        <v>271</v>
      </c>
      <c r="I4" s="56" t="s">
        <v>272</v>
      </c>
    </row>
    <row r="5" spans="1:9" ht="94" customHeight="1" x14ac:dyDescent="0.2">
      <c r="A5" s="57" t="s">
        <v>273</v>
      </c>
      <c r="B5" s="57" t="s">
        <v>20</v>
      </c>
      <c r="C5" s="57" t="s">
        <v>274</v>
      </c>
      <c r="D5" s="57" t="s">
        <v>267</v>
      </c>
      <c r="E5" s="57" t="s">
        <v>268</v>
      </c>
      <c r="F5" s="66" t="s">
        <v>275</v>
      </c>
      <c r="G5" s="57" t="s">
        <v>270</v>
      </c>
      <c r="H5" s="57" t="s">
        <v>276</v>
      </c>
      <c r="I5" s="57" t="s">
        <v>277</v>
      </c>
    </row>
    <row r="6" spans="1:9" ht="94" customHeight="1" x14ac:dyDescent="0.2">
      <c r="A6" s="56" t="s">
        <v>278</v>
      </c>
      <c r="B6" s="56" t="s">
        <v>20</v>
      </c>
      <c r="C6" s="56" t="s">
        <v>279</v>
      </c>
      <c r="D6" s="56" t="s">
        <v>280</v>
      </c>
      <c r="E6" s="56" t="s">
        <v>281</v>
      </c>
      <c r="F6" s="65" t="s">
        <v>282</v>
      </c>
      <c r="G6" s="56" t="s">
        <v>270</v>
      </c>
      <c r="H6" s="56" t="s">
        <v>283</v>
      </c>
      <c r="I6" s="56" t="s">
        <v>284</v>
      </c>
    </row>
    <row r="7" spans="1:9" ht="94" customHeight="1" x14ac:dyDescent="0.2">
      <c r="A7" s="57" t="s">
        <v>285</v>
      </c>
      <c r="B7" s="57" t="s">
        <v>24</v>
      </c>
      <c r="C7" s="57" t="s">
        <v>286</v>
      </c>
      <c r="D7" s="57" t="s">
        <v>287</v>
      </c>
      <c r="E7" s="57" t="s">
        <v>288</v>
      </c>
      <c r="F7" s="66" t="s">
        <v>289</v>
      </c>
      <c r="G7" s="57" t="s">
        <v>290</v>
      </c>
      <c r="H7" s="57" t="s">
        <v>291</v>
      </c>
      <c r="I7" s="57" t="s">
        <v>292</v>
      </c>
    </row>
    <row r="8" spans="1:9" ht="94" customHeight="1" x14ac:dyDescent="0.2">
      <c r="A8" s="56" t="s">
        <v>31</v>
      </c>
      <c r="B8" s="56" t="s">
        <v>28</v>
      </c>
      <c r="C8" s="56" t="s">
        <v>293</v>
      </c>
      <c r="D8" s="56" t="s">
        <v>294</v>
      </c>
      <c r="E8" s="56" t="s">
        <v>295</v>
      </c>
      <c r="F8" s="65" t="s">
        <v>296</v>
      </c>
      <c r="G8" s="56" t="s">
        <v>270</v>
      </c>
      <c r="H8" s="56" t="s">
        <v>297</v>
      </c>
      <c r="I8" s="56" t="s">
        <v>298</v>
      </c>
    </row>
    <row r="9" spans="1:9" ht="94" customHeight="1" x14ac:dyDescent="0.2">
      <c r="A9" s="57" t="s">
        <v>299</v>
      </c>
      <c r="B9" s="57" t="s">
        <v>20</v>
      </c>
      <c r="C9" s="57" t="s">
        <v>300</v>
      </c>
      <c r="D9" s="57" t="s">
        <v>301</v>
      </c>
      <c r="E9" s="57" t="s">
        <v>302</v>
      </c>
      <c r="F9" s="66" t="s">
        <v>303</v>
      </c>
      <c r="G9" s="57" t="s">
        <v>304</v>
      </c>
      <c r="H9" s="57" t="s">
        <v>305</v>
      </c>
      <c r="I9" s="57" t="s">
        <v>306</v>
      </c>
    </row>
    <row r="10" spans="1:9" ht="94" customHeight="1" x14ac:dyDescent="0.2">
      <c r="A10" s="56" t="s">
        <v>307</v>
      </c>
      <c r="B10" s="56" t="s">
        <v>28</v>
      </c>
      <c r="C10" s="56" t="s">
        <v>308</v>
      </c>
      <c r="D10" s="56" t="s">
        <v>309</v>
      </c>
      <c r="E10" s="56" t="s">
        <v>302</v>
      </c>
      <c r="F10" s="65" t="s">
        <v>310</v>
      </c>
      <c r="G10" s="56" t="s">
        <v>311</v>
      </c>
      <c r="H10" s="56" t="s">
        <v>312</v>
      </c>
      <c r="I10" s="56" t="s">
        <v>313</v>
      </c>
    </row>
    <row r="11" spans="1:9" ht="94" customHeight="1" x14ac:dyDescent="0.2">
      <c r="A11" s="57" t="s">
        <v>314</v>
      </c>
      <c r="B11" s="57" t="s">
        <v>24</v>
      </c>
      <c r="C11" s="57" t="s">
        <v>315</v>
      </c>
      <c r="D11" s="57" t="s">
        <v>316</v>
      </c>
      <c r="E11" s="57" t="s">
        <v>302</v>
      </c>
      <c r="F11" s="66" t="s">
        <v>216</v>
      </c>
      <c r="G11" s="57" t="s">
        <v>311</v>
      </c>
      <c r="H11" s="57" t="s">
        <v>317</v>
      </c>
      <c r="I11" s="57" t="s">
        <v>318</v>
      </c>
    </row>
    <row r="12" spans="1:9" ht="94" customHeight="1" x14ac:dyDescent="0.2">
      <c r="A12" s="56" t="s">
        <v>319</v>
      </c>
      <c r="B12" s="56" t="s">
        <v>320</v>
      </c>
      <c r="C12" s="56" t="s">
        <v>321</v>
      </c>
      <c r="D12" s="56" t="s">
        <v>322</v>
      </c>
      <c r="E12" s="56" t="s">
        <v>323</v>
      </c>
      <c r="F12" s="56" t="s">
        <v>324</v>
      </c>
      <c r="G12" s="56" t="s">
        <v>325</v>
      </c>
      <c r="H12" s="56" t="s">
        <v>326</v>
      </c>
      <c r="I12" s="56" t="s">
        <v>327</v>
      </c>
    </row>
    <row r="13" spans="1:9" ht="94" customHeight="1" x14ac:dyDescent="0.2">
      <c r="A13" s="57" t="s">
        <v>328</v>
      </c>
      <c r="B13" s="57" t="s">
        <v>329</v>
      </c>
      <c r="C13" s="57" t="s">
        <v>330</v>
      </c>
      <c r="D13" s="57" t="s">
        <v>331</v>
      </c>
      <c r="E13" s="57" t="s">
        <v>332</v>
      </c>
      <c r="F13" s="57" t="s">
        <v>333</v>
      </c>
      <c r="G13" s="57" t="s">
        <v>334</v>
      </c>
      <c r="H13" s="57" t="s">
        <v>335</v>
      </c>
      <c r="I13" s="57" t="s">
        <v>336</v>
      </c>
    </row>
  </sheetData>
  <autoFilter ref="A3:I13" xr:uid="{00000000-0009-0000-0000-000003000000}"/>
  <mergeCells count="2">
    <mergeCell ref="A1:I1"/>
    <mergeCell ref="A2:I2"/>
  </mergeCells>
  <hyperlinks>
    <hyperlink ref="F4" r:id="rId1" xr:uid="{00000000-0004-0000-0300-000000000000}"/>
    <hyperlink ref="F5" r:id="rId2" xr:uid="{00000000-0004-0000-0300-000001000000}"/>
    <hyperlink ref="F6" r:id="rId3" xr:uid="{00000000-0004-0000-0300-000002000000}"/>
    <hyperlink ref="F7" r:id="rId4" xr:uid="{00000000-0004-0000-0300-000003000000}"/>
    <hyperlink ref="F8" r:id="rId5" xr:uid="{00000000-0004-0000-0300-000004000000}"/>
    <hyperlink ref="F9" r:id="rId6" xr:uid="{00000000-0004-0000-0300-000005000000}"/>
    <hyperlink ref="F10" r:id="rId7" xr:uid="{00000000-0004-0000-0300-000006000000}"/>
    <hyperlink ref="F11" r:id="rId8" xr:uid="{00000000-0004-0000-0300-000007000000}"/>
  </hyperlinks>
  <printOptions horizontalCentered="1"/>
  <pageMargins left="0.75" right="0.75" top="1" bottom="1" header="0.5" footer="0.5"/>
  <pageSetup paperSize="8"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C18"/>
  <sheetViews>
    <sheetView showGridLines="0" rightToLeft="1" zoomScale="85" workbookViewId="0">
      <pane xSplit="1" ySplit="3" topLeftCell="B4" activePane="bottomRight" state="frozen"/>
      <selection pane="topRight"/>
      <selection pane="bottomLeft"/>
      <selection pane="bottomRight"/>
    </sheetView>
  </sheetViews>
  <sheetFormatPr baseColWidth="10" defaultColWidth="8.83203125" defaultRowHeight="15" x14ac:dyDescent="0.2"/>
  <cols>
    <col min="1" max="1" width="48" customWidth="1"/>
    <col min="2" max="2" width="32" customWidth="1"/>
    <col min="3" max="3" width="102" customWidth="1"/>
  </cols>
  <sheetData>
    <row r="1" spans="1:3" ht="38" customHeight="1" x14ac:dyDescent="0.2">
      <c r="A1" s="75" t="s">
        <v>337</v>
      </c>
      <c r="B1" s="76"/>
      <c r="C1" s="76"/>
    </row>
    <row r="2" spans="1:3" ht="44" customHeight="1" x14ac:dyDescent="0.2">
      <c r="A2" s="77" t="s">
        <v>338</v>
      </c>
      <c r="B2" s="76"/>
      <c r="C2" s="76"/>
    </row>
    <row r="3" spans="1:3" ht="36" customHeight="1" x14ac:dyDescent="0.2">
      <c r="A3" s="55" t="s">
        <v>339</v>
      </c>
      <c r="B3" s="55" t="s">
        <v>3</v>
      </c>
      <c r="C3" s="55" t="s">
        <v>340</v>
      </c>
    </row>
    <row r="4" spans="1:3" ht="67" customHeight="1" x14ac:dyDescent="0.2">
      <c r="A4" s="56" t="s">
        <v>341</v>
      </c>
      <c r="B4" s="59">
        <f>'CR1A v39'!B44</f>
        <v>30</v>
      </c>
      <c r="C4" s="56" t="s">
        <v>342</v>
      </c>
    </row>
    <row r="5" spans="1:3" ht="67" customHeight="1" x14ac:dyDescent="0.2">
      <c r="A5" s="57" t="s">
        <v>343</v>
      </c>
      <c r="B5" s="58">
        <f>'CR1A v39'!B49</f>
        <v>30</v>
      </c>
      <c r="C5" s="57" t="s">
        <v>344</v>
      </c>
    </row>
    <row r="6" spans="1:3" ht="67" customHeight="1" x14ac:dyDescent="0.2">
      <c r="A6" s="56" t="s">
        <v>345</v>
      </c>
      <c r="B6" s="59">
        <f>'CR1A v39'!B38</f>
        <v>27</v>
      </c>
      <c r="C6" s="56" t="s">
        <v>346</v>
      </c>
    </row>
    <row r="7" spans="1:3" ht="67" customHeight="1" x14ac:dyDescent="0.2">
      <c r="A7" s="57" t="s">
        <v>13</v>
      </c>
      <c r="B7" s="58">
        <f>'CR1A v39'!B39</f>
        <v>26</v>
      </c>
      <c r="C7" s="57" t="s">
        <v>347</v>
      </c>
    </row>
    <row r="8" spans="1:3" ht="67" customHeight="1" x14ac:dyDescent="0.2">
      <c r="A8" s="56" t="s">
        <v>348</v>
      </c>
      <c r="B8" s="59">
        <f>'CR1A v39'!B42+'CR1A v39'!B43</f>
        <v>26</v>
      </c>
      <c r="C8" s="56" t="s">
        <v>349</v>
      </c>
    </row>
    <row r="9" spans="1:3" ht="67" customHeight="1" x14ac:dyDescent="0.2">
      <c r="A9" s="57" t="s">
        <v>350</v>
      </c>
      <c r="B9" s="58">
        <f>'CR1A v39'!B39+'CR1A v39'!B40+'CR1A v39'!B41</f>
        <v>30</v>
      </c>
      <c r="C9" s="57" t="s">
        <v>351</v>
      </c>
    </row>
    <row r="10" spans="1:3" ht="67" customHeight="1" x14ac:dyDescent="0.2">
      <c r="A10" s="56" t="s">
        <v>352</v>
      </c>
      <c r="B10" s="56">
        <v>0</v>
      </c>
      <c r="C10" s="56" t="s">
        <v>353</v>
      </c>
    </row>
    <row r="11" spans="1:3" ht="67" customHeight="1" x14ac:dyDescent="0.2">
      <c r="A11" s="57" t="s">
        <v>354</v>
      </c>
      <c r="B11" s="57">
        <v>8</v>
      </c>
      <c r="C11" s="57" t="s">
        <v>355</v>
      </c>
    </row>
    <row r="12" spans="1:3" ht="67" customHeight="1" x14ac:dyDescent="0.2">
      <c r="A12" s="56" t="s">
        <v>356</v>
      </c>
      <c r="B12" s="56">
        <v>36</v>
      </c>
      <c r="C12" s="56" t="s">
        <v>357</v>
      </c>
    </row>
    <row r="13" spans="1:3" ht="67" customHeight="1" x14ac:dyDescent="0.2">
      <c r="A13" s="57" t="s">
        <v>358</v>
      </c>
      <c r="B13" s="57">
        <v>1</v>
      </c>
      <c r="C13" s="57" t="s">
        <v>359</v>
      </c>
    </row>
    <row r="14" spans="1:3" ht="67" customHeight="1" x14ac:dyDescent="0.2">
      <c r="A14" s="56" t="s">
        <v>360</v>
      </c>
      <c r="B14" s="56">
        <v>0</v>
      </c>
      <c r="C14" s="56" t="s">
        <v>361</v>
      </c>
    </row>
    <row r="15" spans="1:3" ht="67" customHeight="1" x14ac:dyDescent="0.2">
      <c r="A15" s="57" t="s">
        <v>362</v>
      </c>
      <c r="B15" s="57">
        <v>926</v>
      </c>
      <c r="C15" s="57" t="s">
        <v>363</v>
      </c>
    </row>
    <row r="16" spans="1:3" ht="67" customHeight="1" x14ac:dyDescent="0.2">
      <c r="A16" s="56" t="s">
        <v>364</v>
      </c>
      <c r="B16" s="56">
        <v>156</v>
      </c>
      <c r="C16" s="56" t="s">
        <v>365</v>
      </c>
    </row>
    <row r="17" spans="1:3" ht="67" customHeight="1" x14ac:dyDescent="0.2">
      <c r="A17" s="57" t="s">
        <v>366</v>
      </c>
      <c r="B17" s="57" t="s">
        <v>367</v>
      </c>
      <c r="C17" s="57" t="s">
        <v>368</v>
      </c>
    </row>
    <row r="18" spans="1:3" ht="67" customHeight="1" x14ac:dyDescent="0.2">
      <c r="A18" s="56" t="s">
        <v>369</v>
      </c>
      <c r="B18" s="56" t="s">
        <v>370</v>
      </c>
      <c r="C18" s="56" t="s">
        <v>371</v>
      </c>
    </row>
  </sheetData>
  <mergeCells count="2">
    <mergeCell ref="A1:C1"/>
    <mergeCell ref="A2:C2"/>
  </mergeCells>
  <printOptions horizontalCentered="1"/>
  <pageMargins left="0.75" right="0.75" top="1" bottom="1" header="0.5" footer="0.5"/>
  <pageSetup paperSize="8"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2"/>
  <sheetViews>
    <sheetView showGridLines="0" rightToLeft="1" workbookViewId="0">
      <pane ySplit="3" topLeftCell="A4" activePane="bottomLeft" state="frozen"/>
      <selection pane="bottomLeft"/>
    </sheetView>
  </sheetViews>
  <sheetFormatPr baseColWidth="10" defaultColWidth="8.83203125" defaultRowHeight="15" x14ac:dyDescent="0.2"/>
  <cols>
    <col min="1" max="1" width="42" customWidth="1"/>
    <col min="2" max="2" width="25.83203125" customWidth="1"/>
    <col min="3" max="3" width="12.5" customWidth="1"/>
    <col min="4" max="5" width="42" customWidth="1"/>
    <col min="6" max="6" width="20.1640625" customWidth="1"/>
    <col min="7" max="7" width="37.1640625" customWidth="1"/>
    <col min="8" max="8" width="39.1640625" customWidth="1"/>
  </cols>
  <sheetData>
    <row r="1" spans="1:8" ht="34" customHeight="1" x14ac:dyDescent="0.2">
      <c r="A1" s="79" t="s">
        <v>372</v>
      </c>
      <c r="B1" s="76"/>
      <c r="C1" s="76"/>
      <c r="D1" s="76"/>
      <c r="E1" s="76"/>
      <c r="F1" s="76"/>
      <c r="G1" s="76"/>
      <c r="H1" s="76"/>
    </row>
    <row r="2" spans="1:8" ht="28" customHeight="1" x14ac:dyDescent="0.2">
      <c r="A2" s="78" t="s">
        <v>373</v>
      </c>
      <c r="B2" s="76"/>
      <c r="C2" s="76"/>
      <c r="D2" s="76"/>
      <c r="E2" s="76"/>
      <c r="F2" s="76"/>
      <c r="G2" s="76"/>
      <c r="H2" s="76"/>
    </row>
    <row r="3" spans="1:8" ht="24" customHeight="1" x14ac:dyDescent="0.2"/>
    <row r="4" spans="1:8" ht="24" customHeight="1" x14ac:dyDescent="0.2">
      <c r="A4" s="27" t="s">
        <v>374</v>
      </c>
      <c r="B4" s="27" t="s">
        <v>375</v>
      </c>
      <c r="C4" s="27" t="s">
        <v>376</v>
      </c>
      <c r="D4" s="27" t="s">
        <v>377</v>
      </c>
      <c r="E4" s="27" t="s">
        <v>378</v>
      </c>
      <c r="F4" s="27" t="s">
        <v>379</v>
      </c>
      <c r="G4" s="27" t="s">
        <v>264</v>
      </c>
      <c r="H4" s="27" t="s">
        <v>107</v>
      </c>
    </row>
    <row r="5" spans="1:8" ht="24" customHeight="1" x14ac:dyDescent="0.2">
      <c r="A5" s="26" t="s">
        <v>380</v>
      </c>
      <c r="B5" s="26" t="s">
        <v>381</v>
      </c>
      <c r="C5" s="26" t="s">
        <v>382</v>
      </c>
      <c r="D5" s="26" t="s">
        <v>383</v>
      </c>
      <c r="E5" s="26" t="s">
        <v>384</v>
      </c>
      <c r="F5" s="26" t="s">
        <v>385</v>
      </c>
      <c r="G5" s="26" t="s">
        <v>386</v>
      </c>
      <c r="H5" s="26" t="s">
        <v>387</v>
      </c>
    </row>
    <row r="6" spans="1:8" ht="24" customHeight="1" x14ac:dyDescent="0.2">
      <c r="A6" s="26" t="s">
        <v>388</v>
      </c>
      <c r="B6" s="26" t="s">
        <v>389</v>
      </c>
      <c r="C6" s="26" t="s">
        <v>382</v>
      </c>
      <c r="D6" s="26" t="s">
        <v>390</v>
      </c>
      <c r="E6" s="26" t="s">
        <v>391</v>
      </c>
      <c r="F6" s="26" t="s">
        <v>392</v>
      </c>
      <c r="G6" s="26" t="s">
        <v>393</v>
      </c>
      <c r="H6" s="26" t="s">
        <v>394</v>
      </c>
    </row>
    <row r="7" spans="1:8" ht="24" customHeight="1" x14ac:dyDescent="0.2">
      <c r="A7" s="26" t="s">
        <v>395</v>
      </c>
      <c r="B7" s="26" t="s">
        <v>396</v>
      </c>
      <c r="C7" s="26" t="s">
        <v>382</v>
      </c>
      <c r="D7" s="26" t="s">
        <v>397</v>
      </c>
      <c r="E7" s="26" t="s">
        <v>398</v>
      </c>
      <c r="F7" s="26" t="s">
        <v>399</v>
      </c>
      <c r="G7" s="26" t="s">
        <v>400</v>
      </c>
      <c r="H7" s="26" t="s">
        <v>401</v>
      </c>
    </row>
    <row r="8" spans="1:8" ht="24" customHeight="1" x14ac:dyDescent="0.2">
      <c r="A8" s="26" t="s">
        <v>402</v>
      </c>
      <c r="B8" s="26" t="s">
        <v>403</v>
      </c>
      <c r="C8" s="26" t="s">
        <v>382</v>
      </c>
      <c r="D8" s="26" t="s">
        <v>404</v>
      </c>
      <c r="E8" s="26" t="s">
        <v>405</v>
      </c>
      <c r="F8" s="26" t="s">
        <v>406</v>
      </c>
      <c r="G8" s="26" t="s">
        <v>407</v>
      </c>
      <c r="H8" s="26" t="s">
        <v>408</v>
      </c>
    </row>
    <row r="9" spans="1:8" ht="24" customHeight="1" x14ac:dyDescent="0.2">
      <c r="A9" s="26" t="s">
        <v>409</v>
      </c>
      <c r="B9" s="26" t="s">
        <v>410</v>
      </c>
      <c r="C9" s="26" t="s">
        <v>411</v>
      </c>
      <c r="D9" s="26" t="s">
        <v>412</v>
      </c>
      <c r="E9" s="26" t="s">
        <v>413</v>
      </c>
      <c r="F9" s="26" t="s">
        <v>414</v>
      </c>
      <c r="G9" s="26" t="s">
        <v>415</v>
      </c>
      <c r="H9" s="26" t="s">
        <v>416</v>
      </c>
    </row>
    <row r="10" spans="1:8" ht="24" customHeight="1" x14ac:dyDescent="0.2">
      <c r="A10" s="26" t="s">
        <v>417</v>
      </c>
      <c r="B10" s="26" t="s">
        <v>418</v>
      </c>
      <c r="C10" s="26" t="s">
        <v>419</v>
      </c>
      <c r="D10" s="26" t="s">
        <v>420</v>
      </c>
      <c r="E10" s="26" t="s">
        <v>421</v>
      </c>
      <c r="F10" s="26" t="s">
        <v>422</v>
      </c>
      <c r="G10" s="26" t="s">
        <v>423</v>
      </c>
      <c r="H10" s="26" t="s">
        <v>424</v>
      </c>
    </row>
    <row r="11" spans="1:8" ht="24" customHeight="1" x14ac:dyDescent="0.2">
      <c r="A11" s="26" t="s">
        <v>425</v>
      </c>
      <c r="B11" s="26" t="s">
        <v>426</v>
      </c>
      <c r="C11" s="26" t="s">
        <v>419</v>
      </c>
      <c r="D11" s="26" t="s">
        <v>427</v>
      </c>
      <c r="E11" s="26" t="s">
        <v>428</v>
      </c>
      <c r="F11" s="26" t="s">
        <v>429</v>
      </c>
      <c r="G11" s="26" t="s">
        <v>430</v>
      </c>
      <c r="H11" s="26" t="s">
        <v>431</v>
      </c>
    </row>
    <row r="12" spans="1:8" ht="60" customHeight="1" x14ac:dyDescent="0.2">
      <c r="A12" s="26" t="s">
        <v>432</v>
      </c>
      <c r="B12" s="26" t="s">
        <v>433</v>
      </c>
      <c r="C12" s="26" t="s">
        <v>434</v>
      </c>
      <c r="D12" s="26" t="s">
        <v>435</v>
      </c>
      <c r="E12" s="26" t="s">
        <v>436</v>
      </c>
      <c r="F12" s="26" t="s">
        <v>437</v>
      </c>
      <c r="G12" s="26" t="s">
        <v>438</v>
      </c>
      <c r="H12" s="26" t="s">
        <v>439</v>
      </c>
    </row>
  </sheetData>
  <mergeCells count="2">
    <mergeCell ref="A2:H2"/>
    <mergeCell ref="A1:H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9"/>
  <sheetViews>
    <sheetView showGridLines="0" rightToLeft="1" workbookViewId="0">
      <pane ySplit="4" topLeftCell="A24" activePane="bottomLeft" state="frozen"/>
      <selection pane="bottomLeft" sqref="A1:H1"/>
    </sheetView>
  </sheetViews>
  <sheetFormatPr baseColWidth="10" defaultColWidth="8.83203125" defaultRowHeight="15" x14ac:dyDescent="0.2"/>
  <cols>
    <col min="1" max="5" width="42" customWidth="1"/>
    <col min="6" max="6" width="20.1640625" customWidth="1"/>
    <col min="7" max="8" width="42" customWidth="1"/>
  </cols>
  <sheetData>
    <row r="1" spans="1:8" ht="34" customHeight="1" x14ac:dyDescent="0.2">
      <c r="A1" s="79" t="s">
        <v>440</v>
      </c>
      <c r="B1" s="76"/>
      <c r="C1" s="76"/>
      <c r="D1" s="76"/>
      <c r="E1" s="76"/>
      <c r="F1" s="76"/>
      <c r="G1" s="76"/>
      <c r="H1" s="76"/>
    </row>
    <row r="2" spans="1:8" ht="28" customHeight="1" x14ac:dyDescent="0.2">
      <c r="A2" s="82" t="s">
        <v>441</v>
      </c>
      <c r="B2" s="76"/>
      <c r="C2" s="76"/>
      <c r="D2" s="76"/>
      <c r="E2" s="76"/>
      <c r="F2" s="76"/>
      <c r="G2" s="76"/>
      <c r="H2" s="76"/>
    </row>
    <row r="3" spans="1:8" ht="24" customHeight="1" x14ac:dyDescent="0.2"/>
    <row r="4" spans="1:8" ht="34" customHeight="1" x14ac:dyDescent="0.2">
      <c r="A4" s="28" t="s">
        <v>442</v>
      </c>
      <c r="B4" s="28" t="s">
        <v>227</v>
      </c>
      <c r="C4" s="28" t="s">
        <v>443</v>
      </c>
      <c r="D4" s="28" t="s">
        <v>444</v>
      </c>
      <c r="E4" s="28" t="s">
        <v>445</v>
      </c>
      <c r="F4" s="28" t="s">
        <v>446</v>
      </c>
      <c r="G4" s="28" t="s">
        <v>447</v>
      </c>
      <c r="H4" s="28" t="s">
        <v>448</v>
      </c>
    </row>
    <row r="5" spans="1:8" ht="56" customHeight="1" x14ac:dyDescent="0.2">
      <c r="A5" s="3" t="s">
        <v>449</v>
      </c>
      <c r="B5" s="3" t="s">
        <v>450</v>
      </c>
      <c r="C5" s="4" t="s">
        <v>451</v>
      </c>
      <c r="D5" s="3" t="s">
        <v>452</v>
      </c>
      <c r="E5" s="5" t="s">
        <v>453</v>
      </c>
      <c r="F5" s="3" t="s">
        <v>454</v>
      </c>
      <c r="G5" s="3" t="s">
        <v>455</v>
      </c>
      <c r="H5" s="3" t="s">
        <v>456</v>
      </c>
    </row>
    <row r="6" spans="1:8" ht="56" customHeight="1" x14ac:dyDescent="0.2">
      <c r="A6" s="6" t="s">
        <v>457</v>
      </c>
      <c r="B6" s="6" t="s">
        <v>458</v>
      </c>
      <c r="C6" s="4" t="s">
        <v>459</v>
      </c>
      <c r="D6" s="6" t="s">
        <v>460</v>
      </c>
      <c r="E6" s="5" t="s">
        <v>461</v>
      </c>
      <c r="F6" s="6" t="s">
        <v>454</v>
      </c>
      <c r="G6" s="6" t="s">
        <v>455</v>
      </c>
      <c r="H6" s="6" t="s">
        <v>456</v>
      </c>
    </row>
    <row r="7" spans="1:8" ht="72" customHeight="1" x14ac:dyDescent="0.2">
      <c r="A7" s="3" t="s">
        <v>462</v>
      </c>
      <c r="B7" s="3" t="s">
        <v>463</v>
      </c>
      <c r="C7" s="4" t="s">
        <v>464</v>
      </c>
      <c r="D7" s="3" t="s">
        <v>465</v>
      </c>
      <c r="E7" s="5" t="s">
        <v>466</v>
      </c>
      <c r="F7" s="3" t="s">
        <v>454</v>
      </c>
      <c r="G7" s="3" t="s">
        <v>455</v>
      </c>
      <c r="H7" s="3" t="s">
        <v>456</v>
      </c>
    </row>
    <row r="8" spans="1:8" ht="56" customHeight="1" x14ac:dyDescent="0.2">
      <c r="A8" s="6" t="s">
        <v>467</v>
      </c>
      <c r="B8" s="6" t="s">
        <v>468</v>
      </c>
      <c r="C8" s="4" t="s">
        <v>469</v>
      </c>
      <c r="D8" s="6" t="s">
        <v>470</v>
      </c>
      <c r="E8" s="5" t="s">
        <v>471</v>
      </c>
      <c r="F8" s="6" t="s">
        <v>454</v>
      </c>
      <c r="G8" s="6" t="s">
        <v>455</v>
      </c>
      <c r="H8" s="6" t="s">
        <v>456</v>
      </c>
    </row>
    <row r="9" spans="1:8" ht="72" customHeight="1" x14ac:dyDescent="0.2">
      <c r="A9" s="3" t="s">
        <v>67</v>
      </c>
      <c r="B9" s="3" t="s">
        <v>472</v>
      </c>
      <c r="C9" s="4" t="s">
        <v>473</v>
      </c>
      <c r="D9" s="3" t="s">
        <v>474</v>
      </c>
      <c r="E9" s="5" t="s">
        <v>475</v>
      </c>
      <c r="F9" s="3" t="s">
        <v>476</v>
      </c>
      <c r="G9" s="3" t="s">
        <v>477</v>
      </c>
      <c r="H9" s="3" t="s">
        <v>456</v>
      </c>
    </row>
    <row r="10" spans="1:8" ht="56" customHeight="1" x14ac:dyDescent="0.2">
      <c r="A10" s="6" t="s">
        <v>478</v>
      </c>
      <c r="B10" s="6" t="s">
        <v>479</v>
      </c>
      <c r="C10" s="4" t="s">
        <v>480</v>
      </c>
      <c r="D10" s="6" t="s">
        <v>481</v>
      </c>
      <c r="E10" s="5" t="s">
        <v>482</v>
      </c>
      <c r="F10" s="6" t="s">
        <v>476</v>
      </c>
      <c r="G10" s="6" t="s">
        <v>455</v>
      </c>
      <c r="H10" s="6" t="s">
        <v>456</v>
      </c>
    </row>
    <row r="11" spans="1:8" ht="44" customHeight="1" x14ac:dyDescent="0.2">
      <c r="A11" s="3" t="s">
        <v>483</v>
      </c>
      <c r="B11" s="3" t="s">
        <v>484</v>
      </c>
      <c r="C11" s="4" t="s">
        <v>485</v>
      </c>
      <c r="D11" s="3" t="s">
        <v>486</v>
      </c>
      <c r="E11" s="5" t="s">
        <v>487</v>
      </c>
      <c r="F11" s="3" t="s">
        <v>454</v>
      </c>
      <c r="G11" s="3" t="s">
        <v>455</v>
      </c>
      <c r="H11" s="3" t="s">
        <v>456</v>
      </c>
    </row>
    <row r="12" spans="1:8" ht="56" customHeight="1" x14ac:dyDescent="0.2">
      <c r="A12" s="6" t="s">
        <v>488</v>
      </c>
      <c r="B12" s="6" t="s">
        <v>489</v>
      </c>
      <c r="C12" s="4" t="s">
        <v>490</v>
      </c>
      <c r="D12" s="6" t="s">
        <v>491</v>
      </c>
      <c r="E12" s="5" t="s">
        <v>492</v>
      </c>
      <c r="F12" s="6" t="s">
        <v>454</v>
      </c>
      <c r="G12" s="6" t="s">
        <v>455</v>
      </c>
      <c r="H12" s="6" t="s">
        <v>456</v>
      </c>
    </row>
    <row r="13" spans="1:8" ht="56" customHeight="1" x14ac:dyDescent="0.2">
      <c r="A13" s="3" t="s">
        <v>493</v>
      </c>
      <c r="B13" s="3" t="s">
        <v>494</v>
      </c>
      <c r="C13" s="4" t="s">
        <v>495</v>
      </c>
      <c r="D13" s="3" t="s">
        <v>491</v>
      </c>
      <c r="E13" s="5" t="s">
        <v>492</v>
      </c>
      <c r="F13" s="3" t="s">
        <v>454</v>
      </c>
      <c r="G13" s="3" t="s">
        <v>455</v>
      </c>
      <c r="H13" s="3" t="s">
        <v>456</v>
      </c>
    </row>
    <row r="14" spans="1:8" ht="56" customHeight="1" x14ac:dyDescent="0.2">
      <c r="A14" s="6" t="s">
        <v>496</v>
      </c>
      <c r="B14" s="6" t="s">
        <v>497</v>
      </c>
      <c r="C14" s="4" t="s">
        <v>498</v>
      </c>
      <c r="D14" s="6" t="s">
        <v>499</v>
      </c>
      <c r="E14" s="5" t="s">
        <v>500</v>
      </c>
      <c r="F14" s="6" t="s">
        <v>476</v>
      </c>
      <c r="G14" s="6" t="s">
        <v>455</v>
      </c>
      <c r="H14" s="6" t="s">
        <v>456</v>
      </c>
    </row>
    <row r="15" spans="1:8" ht="72" customHeight="1" x14ac:dyDescent="0.2">
      <c r="A15" s="3" t="s">
        <v>501</v>
      </c>
      <c r="B15" s="3" t="s">
        <v>502</v>
      </c>
      <c r="C15" s="4" t="s">
        <v>503</v>
      </c>
      <c r="D15" s="3" t="s">
        <v>504</v>
      </c>
      <c r="E15" s="5" t="s">
        <v>505</v>
      </c>
      <c r="F15" s="3" t="s">
        <v>454</v>
      </c>
      <c r="G15" s="3" t="s">
        <v>455</v>
      </c>
      <c r="H15" s="3" t="s">
        <v>456</v>
      </c>
    </row>
    <row r="16" spans="1:8" ht="56" customHeight="1" x14ac:dyDescent="0.2">
      <c r="A16" s="6" t="s">
        <v>506</v>
      </c>
      <c r="B16" s="6" t="s">
        <v>507</v>
      </c>
      <c r="C16" s="4" t="s">
        <v>508</v>
      </c>
      <c r="D16" s="6" t="s">
        <v>509</v>
      </c>
      <c r="E16" s="5" t="s">
        <v>505</v>
      </c>
      <c r="F16" s="6" t="s">
        <v>454</v>
      </c>
      <c r="G16" s="6" t="s">
        <v>455</v>
      </c>
      <c r="H16" s="6" t="s">
        <v>456</v>
      </c>
    </row>
    <row r="17" spans="1:8" ht="44" customHeight="1" x14ac:dyDescent="0.2">
      <c r="A17" s="3" t="s">
        <v>510</v>
      </c>
      <c r="B17" s="3" t="s">
        <v>511</v>
      </c>
      <c r="C17" s="4" t="s">
        <v>512</v>
      </c>
      <c r="D17" s="3" t="s">
        <v>513</v>
      </c>
      <c r="E17" s="5" t="s">
        <v>514</v>
      </c>
      <c r="F17" s="3" t="s">
        <v>454</v>
      </c>
      <c r="G17" s="3" t="s">
        <v>455</v>
      </c>
      <c r="H17" s="3" t="s">
        <v>456</v>
      </c>
    </row>
    <row r="18" spans="1:8" ht="56" customHeight="1" x14ac:dyDescent="0.2">
      <c r="A18" s="6" t="s">
        <v>515</v>
      </c>
      <c r="B18" s="6" t="s">
        <v>516</v>
      </c>
      <c r="C18" s="4" t="s">
        <v>517</v>
      </c>
      <c r="D18" s="6" t="s">
        <v>518</v>
      </c>
      <c r="E18" s="5" t="s">
        <v>519</v>
      </c>
      <c r="F18" s="6" t="s">
        <v>454</v>
      </c>
      <c r="G18" s="6" t="s">
        <v>455</v>
      </c>
      <c r="H18" s="6" t="s">
        <v>456</v>
      </c>
    </row>
    <row r="19" spans="1:8" ht="56" customHeight="1" x14ac:dyDescent="0.2">
      <c r="A19" s="3" t="s">
        <v>520</v>
      </c>
      <c r="B19" s="3" t="s">
        <v>521</v>
      </c>
      <c r="C19" s="4" t="s">
        <v>522</v>
      </c>
      <c r="D19" s="3" t="s">
        <v>523</v>
      </c>
      <c r="E19" s="5" t="s">
        <v>519</v>
      </c>
      <c r="F19" s="3" t="s">
        <v>454</v>
      </c>
      <c r="G19" s="3" t="s">
        <v>455</v>
      </c>
      <c r="H19" s="3" t="s">
        <v>456</v>
      </c>
    </row>
    <row r="20" spans="1:8" ht="56" customHeight="1" x14ac:dyDescent="0.2">
      <c r="A20" s="6" t="s">
        <v>524</v>
      </c>
      <c r="B20" s="6" t="s">
        <v>525</v>
      </c>
      <c r="C20" s="4" t="s">
        <v>526</v>
      </c>
      <c r="D20" s="6" t="s">
        <v>527</v>
      </c>
      <c r="E20" s="5" t="s">
        <v>528</v>
      </c>
      <c r="F20" s="6" t="s">
        <v>454</v>
      </c>
      <c r="G20" s="6" t="s">
        <v>455</v>
      </c>
      <c r="H20" s="6" t="s">
        <v>456</v>
      </c>
    </row>
    <row r="21" spans="1:8" ht="56" customHeight="1" x14ac:dyDescent="0.2">
      <c r="A21" s="3" t="s">
        <v>529</v>
      </c>
      <c r="B21" s="3" t="s">
        <v>530</v>
      </c>
      <c r="C21" s="4" t="s">
        <v>531</v>
      </c>
      <c r="D21" s="3" t="s">
        <v>532</v>
      </c>
      <c r="E21" s="5" t="s">
        <v>533</v>
      </c>
      <c r="F21" s="3" t="s">
        <v>454</v>
      </c>
      <c r="G21" s="3" t="s">
        <v>455</v>
      </c>
      <c r="H21" s="3" t="s">
        <v>456</v>
      </c>
    </row>
    <row r="22" spans="1:8" ht="24" customHeight="1" x14ac:dyDescent="0.2"/>
    <row r="23" spans="1:8" ht="24" customHeight="1" x14ac:dyDescent="0.2"/>
    <row r="24" spans="1:8" ht="24" customHeight="1" x14ac:dyDescent="0.2">
      <c r="A24" s="80" t="s">
        <v>534</v>
      </c>
      <c r="B24" s="81"/>
      <c r="C24" s="81"/>
      <c r="D24" s="81"/>
      <c r="E24" s="81"/>
      <c r="F24" s="81"/>
      <c r="G24" s="81"/>
      <c r="H24" s="81"/>
    </row>
    <row r="25" spans="1:8" ht="34" customHeight="1" x14ac:dyDescent="0.2">
      <c r="A25" s="7" t="s">
        <v>535</v>
      </c>
      <c r="B25" s="7" t="s">
        <v>375</v>
      </c>
      <c r="C25" s="7" t="s">
        <v>536</v>
      </c>
      <c r="D25" s="7" t="s">
        <v>537</v>
      </c>
      <c r="E25" s="7" t="s">
        <v>538</v>
      </c>
      <c r="F25" s="7" t="s">
        <v>539</v>
      </c>
      <c r="G25" s="7" t="s">
        <v>540</v>
      </c>
      <c r="H25" s="7" t="s">
        <v>107</v>
      </c>
    </row>
    <row r="26" spans="1:8" ht="34" customHeight="1" x14ac:dyDescent="0.2">
      <c r="A26" s="6" t="s">
        <v>380</v>
      </c>
      <c r="B26" s="6" t="s">
        <v>541</v>
      </c>
      <c r="C26" s="4" t="s">
        <v>542</v>
      </c>
      <c r="D26" s="6" t="s">
        <v>543</v>
      </c>
      <c r="E26" s="5" t="s">
        <v>544</v>
      </c>
      <c r="F26" s="6" t="s">
        <v>111</v>
      </c>
      <c r="G26" s="6" t="s">
        <v>545</v>
      </c>
      <c r="H26" s="6" t="s">
        <v>546</v>
      </c>
    </row>
    <row r="27" spans="1:8" ht="34" customHeight="1" x14ac:dyDescent="0.2">
      <c r="A27" s="3" t="s">
        <v>388</v>
      </c>
      <c r="B27" s="3" t="s">
        <v>547</v>
      </c>
      <c r="C27" s="4" t="s">
        <v>548</v>
      </c>
      <c r="D27" s="3" t="s">
        <v>549</v>
      </c>
      <c r="E27" s="5" t="s">
        <v>550</v>
      </c>
      <c r="F27" s="3" t="s">
        <v>111</v>
      </c>
      <c r="G27" s="3" t="s">
        <v>551</v>
      </c>
      <c r="H27" s="3" t="s">
        <v>546</v>
      </c>
    </row>
    <row r="28" spans="1:8" ht="44" customHeight="1" x14ac:dyDescent="0.2">
      <c r="A28" s="6" t="s">
        <v>395</v>
      </c>
      <c r="B28" s="6" t="s">
        <v>552</v>
      </c>
      <c r="C28" s="4" t="s">
        <v>553</v>
      </c>
      <c r="D28" s="6" t="s">
        <v>554</v>
      </c>
      <c r="E28" s="5" t="s">
        <v>555</v>
      </c>
      <c r="F28" s="6" t="s">
        <v>111</v>
      </c>
      <c r="G28" s="6" t="s">
        <v>556</v>
      </c>
      <c r="H28" s="6"/>
    </row>
    <row r="29" spans="1:8" ht="44" customHeight="1" x14ac:dyDescent="0.2">
      <c r="A29" s="3" t="s">
        <v>402</v>
      </c>
      <c r="B29" s="3" t="s">
        <v>401</v>
      </c>
      <c r="C29" s="4" t="s">
        <v>557</v>
      </c>
      <c r="D29" s="3" t="s">
        <v>395</v>
      </c>
      <c r="E29" s="5" t="s">
        <v>558</v>
      </c>
      <c r="F29" s="3" t="s">
        <v>111</v>
      </c>
      <c r="G29" s="3" t="s">
        <v>559</v>
      </c>
      <c r="H29" s="3"/>
    </row>
    <row r="30" spans="1:8" ht="34" customHeight="1" x14ac:dyDescent="0.2">
      <c r="A30" s="6" t="s">
        <v>560</v>
      </c>
      <c r="B30" s="6" t="s">
        <v>561</v>
      </c>
      <c r="C30" s="4" t="s">
        <v>562</v>
      </c>
      <c r="D30" s="6" t="s">
        <v>563</v>
      </c>
      <c r="E30" s="5" t="s">
        <v>564</v>
      </c>
      <c r="F30" s="6" t="s">
        <v>119</v>
      </c>
      <c r="G30" s="6" t="s">
        <v>565</v>
      </c>
      <c r="H30" s="6"/>
    </row>
    <row r="31" spans="1:8" ht="34" customHeight="1" x14ac:dyDescent="0.2">
      <c r="A31" s="3" t="s">
        <v>409</v>
      </c>
      <c r="B31" s="3" t="s">
        <v>566</v>
      </c>
      <c r="C31" s="4" t="s">
        <v>567</v>
      </c>
      <c r="D31" s="3" t="s">
        <v>568</v>
      </c>
      <c r="E31" s="5" t="s">
        <v>569</v>
      </c>
      <c r="F31" s="3" t="s">
        <v>119</v>
      </c>
      <c r="G31" s="3" t="s">
        <v>570</v>
      </c>
      <c r="H31" s="3" t="s">
        <v>571</v>
      </c>
    </row>
    <row r="32" spans="1:8" ht="24" customHeight="1" x14ac:dyDescent="0.2">
      <c r="A32" s="6" t="s">
        <v>572</v>
      </c>
      <c r="B32" s="6" t="s">
        <v>573</v>
      </c>
      <c r="C32" s="4" t="s">
        <v>574</v>
      </c>
      <c r="D32" s="6" t="s">
        <v>409</v>
      </c>
      <c r="E32" s="5" t="s">
        <v>575</v>
      </c>
      <c r="F32" s="6" t="s">
        <v>111</v>
      </c>
      <c r="G32" s="6" t="s">
        <v>576</v>
      </c>
      <c r="H32" s="6"/>
    </row>
    <row r="33" spans="1:8" ht="34" customHeight="1" x14ac:dyDescent="0.2">
      <c r="A33" s="3" t="s">
        <v>577</v>
      </c>
      <c r="B33" s="3" t="s">
        <v>578</v>
      </c>
      <c r="C33" s="4" t="s">
        <v>579</v>
      </c>
      <c r="D33" s="3" t="s">
        <v>409</v>
      </c>
      <c r="E33" s="5" t="s">
        <v>580</v>
      </c>
      <c r="F33" s="3" t="s">
        <v>111</v>
      </c>
      <c r="G33" s="3" t="s">
        <v>581</v>
      </c>
      <c r="H33" s="3"/>
    </row>
    <row r="34" spans="1:8" ht="24" customHeight="1" x14ac:dyDescent="0.2">
      <c r="A34" s="6" t="s">
        <v>582</v>
      </c>
      <c r="B34" s="6" t="s">
        <v>583</v>
      </c>
      <c r="C34" s="4" t="s">
        <v>584</v>
      </c>
      <c r="D34" s="6" t="s">
        <v>409</v>
      </c>
      <c r="E34" s="5" t="s">
        <v>585</v>
      </c>
      <c r="F34" s="6" t="s">
        <v>111</v>
      </c>
      <c r="G34" s="6" t="s">
        <v>586</v>
      </c>
      <c r="H34" s="6"/>
    </row>
    <row r="35" spans="1:8" ht="34" customHeight="1" x14ac:dyDescent="0.2">
      <c r="A35" s="3" t="s">
        <v>587</v>
      </c>
      <c r="B35" s="3" t="s">
        <v>588</v>
      </c>
      <c r="C35" s="4" t="s">
        <v>589</v>
      </c>
      <c r="D35" s="3" t="s">
        <v>409</v>
      </c>
      <c r="E35" s="5" t="s">
        <v>590</v>
      </c>
      <c r="F35" s="3" t="s">
        <v>111</v>
      </c>
      <c r="G35" s="3" t="s">
        <v>591</v>
      </c>
      <c r="H35" s="3"/>
    </row>
    <row r="36" spans="1:8" ht="34" customHeight="1" x14ac:dyDescent="0.2">
      <c r="A36" s="6" t="s">
        <v>592</v>
      </c>
      <c r="B36" s="6" t="s">
        <v>593</v>
      </c>
      <c r="C36" s="4" t="s">
        <v>594</v>
      </c>
      <c r="D36" s="6" t="s">
        <v>595</v>
      </c>
      <c r="E36" s="5" t="s">
        <v>596</v>
      </c>
      <c r="F36" s="6" t="s">
        <v>111</v>
      </c>
      <c r="G36" s="6" t="s">
        <v>597</v>
      </c>
      <c r="H36" s="6"/>
    </row>
    <row r="37" spans="1:8" ht="34" customHeight="1" x14ac:dyDescent="0.2">
      <c r="A37" s="3" t="s">
        <v>598</v>
      </c>
      <c r="B37" s="3" t="s">
        <v>599</v>
      </c>
      <c r="C37" s="4" t="s">
        <v>600</v>
      </c>
      <c r="D37" s="3" t="s">
        <v>601</v>
      </c>
      <c r="E37" s="5" t="s">
        <v>602</v>
      </c>
      <c r="F37" s="3" t="s">
        <v>119</v>
      </c>
      <c r="G37" s="3" t="s">
        <v>603</v>
      </c>
      <c r="H37" s="3" t="s">
        <v>604</v>
      </c>
    </row>
    <row r="38" spans="1:8" ht="24" customHeight="1" x14ac:dyDescent="0.2">
      <c r="A38" s="6" t="s">
        <v>605</v>
      </c>
      <c r="B38" s="6" t="s">
        <v>606</v>
      </c>
      <c r="C38" s="4" t="s">
        <v>607</v>
      </c>
      <c r="D38" s="6" t="s">
        <v>608</v>
      </c>
      <c r="E38" s="5" t="s">
        <v>602</v>
      </c>
      <c r="F38" s="6" t="s">
        <v>111</v>
      </c>
      <c r="G38" s="6" t="s">
        <v>609</v>
      </c>
      <c r="H38" s="6"/>
    </row>
    <row r="39" spans="1:8" ht="34" customHeight="1" x14ac:dyDescent="0.2">
      <c r="A39" s="3" t="s">
        <v>610</v>
      </c>
      <c r="B39" s="3" t="s">
        <v>611</v>
      </c>
      <c r="C39" s="4" t="s">
        <v>612</v>
      </c>
      <c r="D39" s="3" t="s">
        <v>613</v>
      </c>
      <c r="E39" s="5" t="s">
        <v>614</v>
      </c>
      <c r="F39" s="3" t="s">
        <v>111</v>
      </c>
      <c r="G39" s="3" t="s">
        <v>615</v>
      </c>
      <c r="H39" s="3"/>
    </row>
  </sheetData>
  <autoFilter ref="A4:H39" xr:uid="{00000000-0009-0000-0000-000006000000}"/>
  <mergeCells count="3">
    <mergeCell ref="A24:H24"/>
    <mergeCell ref="A2:H2"/>
    <mergeCell ref="A1:H1"/>
  </mergeCells>
  <pageMargins left="0.75" right="0.75" top="1" bottom="1" header="0.5" footer="0.5"/>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6"/>
  <sheetViews>
    <sheetView showGridLines="0" rightToLeft="1" workbookViewId="0">
      <pane ySplit="3" topLeftCell="A4" activePane="bottomLeft" state="frozen"/>
      <selection pane="bottomLeft"/>
    </sheetView>
  </sheetViews>
  <sheetFormatPr baseColWidth="10" defaultColWidth="8.83203125" defaultRowHeight="15" x14ac:dyDescent="0.2"/>
  <cols>
    <col min="1" max="1" width="27.6640625" customWidth="1"/>
    <col min="2" max="2" width="19.1640625" customWidth="1"/>
    <col min="3" max="3" width="20.1640625" customWidth="1"/>
    <col min="4" max="4" width="42" customWidth="1"/>
    <col min="5" max="5" width="32.5" customWidth="1"/>
    <col min="6" max="6" width="10" customWidth="1"/>
    <col min="7" max="7" width="37.1640625" customWidth="1"/>
    <col min="8" max="8" width="42" customWidth="1"/>
  </cols>
  <sheetData>
    <row r="1" spans="1:8" ht="34" customHeight="1" x14ac:dyDescent="0.2">
      <c r="A1" s="79" t="s">
        <v>616</v>
      </c>
      <c r="B1" s="76"/>
      <c r="C1" s="76"/>
      <c r="D1" s="76"/>
      <c r="E1" s="76"/>
      <c r="F1" s="76"/>
      <c r="G1" s="76"/>
      <c r="H1" s="76"/>
    </row>
    <row r="2" spans="1:8" ht="28" customHeight="1" x14ac:dyDescent="0.2"/>
    <row r="3" spans="1:8" ht="24" customHeight="1" x14ac:dyDescent="0.2">
      <c r="A3" s="27" t="s">
        <v>617</v>
      </c>
      <c r="B3" s="27" t="s">
        <v>2</v>
      </c>
      <c r="C3" s="27" t="s">
        <v>618</v>
      </c>
      <c r="D3" s="27" t="s">
        <v>619</v>
      </c>
      <c r="E3" s="27" t="s">
        <v>620</v>
      </c>
      <c r="F3" s="27" t="s">
        <v>376</v>
      </c>
      <c r="G3" s="27" t="s">
        <v>621</v>
      </c>
      <c r="H3" s="27" t="s">
        <v>622</v>
      </c>
    </row>
    <row r="4" spans="1:8" ht="24" customHeight="1" x14ac:dyDescent="0.2">
      <c r="A4" s="26" t="s">
        <v>623</v>
      </c>
      <c r="B4" s="26" t="s">
        <v>624</v>
      </c>
      <c r="C4" s="26" t="s">
        <v>117</v>
      </c>
      <c r="D4" s="26" t="s">
        <v>625</v>
      </c>
      <c r="E4" s="26" t="s">
        <v>626</v>
      </c>
      <c r="F4" s="26" t="s">
        <v>627</v>
      </c>
      <c r="G4" s="26" t="s">
        <v>628</v>
      </c>
      <c r="H4" s="26" t="s">
        <v>629</v>
      </c>
    </row>
    <row r="5" spans="1:8" ht="24" customHeight="1" x14ac:dyDescent="0.2">
      <c r="A5" s="26" t="s">
        <v>630</v>
      </c>
      <c r="B5" s="26" t="s">
        <v>624</v>
      </c>
      <c r="C5" s="26" t="s">
        <v>174</v>
      </c>
      <c r="D5" s="26" t="s">
        <v>631</v>
      </c>
      <c r="E5" s="26" t="s">
        <v>632</v>
      </c>
      <c r="F5" s="26" t="s">
        <v>627</v>
      </c>
      <c r="G5" s="26" t="s">
        <v>633</v>
      </c>
      <c r="H5" s="26" t="s">
        <v>634</v>
      </c>
    </row>
    <row r="6" spans="1:8" ht="24" customHeight="1" x14ac:dyDescent="0.2">
      <c r="A6" s="26" t="s">
        <v>635</v>
      </c>
      <c r="B6" s="26" t="s">
        <v>624</v>
      </c>
      <c r="C6" s="26" t="s">
        <v>182</v>
      </c>
      <c r="D6" s="26" t="s">
        <v>636</v>
      </c>
      <c r="E6" s="26" t="s">
        <v>637</v>
      </c>
      <c r="F6" s="26" t="s">
        <v>627</v>
      </c>
      <c r="G6" s="26" t="s">
        <v>638</v>
      </c>
      <c r="H6" s="26" t="s">
        <v>639</v>
      </c>
    </row>
    <row r="7" spans="1:8" ht="24" customHeight="1" x14ac:dyDescent="0.2">
      <c r="A7" s="26" t="s">
        <v>640</v>
      </c>
      <c r="B7" s="26" t="s">
        <v>624</v>
      </c>
      <c r="C7" s="26" t="s">
        <v>20</v>
      </c>
      <c r="D7" s="26" t="s">
        <v>641</v>
      </c>
      <c r="E7" s="26" t="s">
        <v>642</v>
      </c>
      <c r="F7" s="26" t="s">
        <v>643</v>
      </c>
      <c r="G7" s="26" t="s">
        <v>644</v>
      </c>
      <c r="H7" s="26" t="s">
        <v>645</v>
      </c>
    </row>
    <row r="8" spans="1:8" ht="24" customHeight="1" x14ac:dyDescent="0.2">
      <c r="A8" s="26" t="s">
        <v>646</v>
      </c>
      <c r="B8" s="26" t="s">
        <v>624</v>
      </c>
      <c r="C8" s="26" t="s">
        <v>190</v>
      </c>
      <c r="D8" s="26" t="s">
        <v>647</v>
      </c>
      <c r="E8" s="26" t="s">
        <v>648</v>
      </c>
      <c r="F8" s="26" t="s">
        <v>627</v>
      </c>
      <c r="G8" s="26" t="s">
        <v>649</v>
      </c>
      <c r="H8" s="26" t="s">
        <v>650</v>
      </c>
    </row>
    <row r="9" spans="1:8" ht="24" customHeight="1" x14ac:dyDescent="0.2">
      <c r="A9" s="26" t="s">
        <v>651</v>
      </c>
      <c r="B9" s="26" t="s">
        <v>624</v>
      </c>
      <c r="C9" s="26" t="s">
        <v>202</v>
      </c>
      <c r="D9" s="26" t="s">
        <v>647</v>
      </c>
      <c r="E9" s="26" t="s">
        <v>648</v>
      </c>
      <c r="F9" s="26" t="s">
        <v>627</v>
      </c>
      <c r="G9" s="26" t="s">
        <v>652</v>
      </c>
      <c r="H9" s="26" t="s">
        <v>653</v>
      </c>
    </row>
    <row r="10" spans="1:8" ht="24" customHeight="1" x14ac:dyDescent="0.2">
      <c r="A10" s="26" t="s">
        <v>654</v>
      </c>
      <c r="B10" s="26" t="s">
        <v>655</v>
      </c>
      <c r="C10" s="26" t="s">
        <v>656</v>
      </c>
      <c r="D10" s="26" t="s">
        <v>657</v>
      </c>
      <c r="E10" s="26" t="s">
        <v>658</v>
      </c>
      <c r="F10" s="26" t="s">
        <v>659</v>
      </c>
      <c r="G10" s="26" t="s">
        <v>660</v>
      </c>
      <c r="H10" s="26" t="s">
        <v>661</v>
      </c>
    </row>
    <row r="11" spans="1:8" ht="24" customHeight="1" x14ac:dyDescent="0.2">
      <c r="A11" s="26" t="s">
        <v>662</v>
      </c>
      <c r="B11" s="26" t="s">
        <v>663</v>
      </c>
      <c r="C11" s="26" t="s">
        <v>664</v>
      </c>
      <c r="D11" s="26" t="s">
        <v>665</v>
      </c>
      <c r="E11" s="26" t="s">
        <v>666</v>
      </c>
      <c r="F11" s="26" t="s">
        <v>667</v>
      </c>
      <c r="G11" s="26" t="s">
        <v>668</v>
      </c>
      <c r="H11" s="26" t="s">
        <v>669</v>
      </c>
    </row>
    <row r="12" spans="1:8" ht="24" customHeight="1" x14ac:dyDescent="0.2">
      <c r="A12" s="26" t="s">
        <v>670</v>
      </c>
      <c r="B12" s="26" t="s">
        <v>671</v>
      </c>
      <c r="C12" s="26" t="s">
        <v>672</v>
      </c>
      <c r="D12" s="26" t="s">
        <v>673</v>
      </c>
      <c r="E12" s="26" t="s">
        <v>666</v>
      </c>
      <c r="F12" s="26" t="s">
        <v>667</v>
      </c>
      <c r="G12" s="26" t="s">
        <v>674</v>
      </c>
      <c r="H12" s="26" t="s">
        <v>675</v>
      </c>
    </row>
    <row r="13" spans="1:8" ht="24" customHeight="1" x14ac:dyDescent="0.2">
      <c r="A13" s="26" t="s">
        <v>676</v>
      </c>
      <c r="B13" s="26" t="s">
        <v>506</v>
      </c>
      <c r="C13" s="26" t="s">
        <v>131</v>
      </c>
      <c r="D13" s="26" t="s">
        <v>677</v>
      </c>
      <c r="E13" s="26" t="s">
        <v>678</v>
      </c>
      <c r="F13" s="26" t="s">
        <v>627</v>
      </c>
      <c r="G13" s="26" t="s">
        <v>679</v>
      </c>
      <c r="H13" s="26" t="s">
        <v>680</v>
      </c>
    </row>
    <row r="14" spans="1:8" ht="76" customHeight="1" x14ac:dyDescent="0.2">
      <c r="A14" s="26" t="s">
        <v>681</v>
      </c>
      <c r="B14" s="26" t="s">
        <v>682</v>
      </c>
      <c r="C14" s="26" t="s">
        <v>24</v>
      </c>
      <c r="D14" s="26" t="s">
        <v>683</v>
      </c>
      <c r="E14" s="26" t="s">
        <v>684</v>
      </c>
      <c r="F14" s="26" t="s">
        <v>685</v>
      </c>
      <c r="G14" s="26" t="s">
        <v>686</v>
      </c>
      <c r="H14" s="26" t="s">
        <v>687</v>
      </c>
    </row>
    <row r="15" spans="1:8" ht="76" customHeight="1" x14ac:dyDescent="0.2">
      <c r="A15" s="26" t="s">
        <v>688</v>
      </c>
      <c r="B15" s="26" t="s">
        <v>689</v>
      </c>
      <c r="C15" s="26" t="s">
        <v>28</v>
      </c>
      <c r="D15" s="26" t="s">
        <v>690</v>
      </c>
      <c r="E15" s="26" t="s">
        <v>691</v>
      </c>
      <c r="F15" s="26" t="s">
        <v>685</v>
      </c>
      <c r="G15" s="26" t="s">
        <v>692</v>
      </c>
      <c r="H15" s="26" t="s">
        <v>693</v>
      </c>
    </row>
    <row r="16" spans="1:8" ht="76" customHeight="1" x14ac:dyDescent="0.2">
      <c r="A16" s="26" t="s">
        <v>694</v>
      </c>
      <c r="B16" s="26" t="s">
        <v>695</v>
      </c>
      <c r="C16" s="26" t="s">
        <v>109</v>
      </c>
      <c r="D16" s="26" t="s">
        <v>696</v>
      </c>
      <c r="E16" s="26" t="s">
        <v>697</v>
      </c>
      <c r="F16" s="26" t="s">
        <v>685</v>
      </c>
      <c r="G16" s="26" t="s">
        <v>698</v>
      </c>
      <c r="H16" s="26" t="s">
        <v>699</v>
      </c>
    </row>
  </sheetData>
  <mergeCells count="1">
    <mergeCell ref="A1:H1"/>
  </mergeCells>
  <pageMargins left="0.75" right="0.75" top="1" bottom="1" header="0.5" footer="0.5"/>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31"/>
  <sheetViews>
    <sheetView showGridLines="0" rightToLeft="1" workbookViewId="0">
      <pane ySplit="3" topLeftCell="A4" activePane="bottomLeft" state="frozen"/>
      <selection pane="bottomLeft"/>
    </sheetView>
  </sheetViews>
  <sheetFormatPr baseColWidth="10" defaultColWidth="8.83203125" defaultRowHeight="15" x14ac:dyDescent="0.2"/>
  <cols>
    <col min="1" max="1" width="42" customWidth="1"/>
    <col min="2" max="2" width="30.5" customWidth="1"/>
    <col min="3" max="4" width="42" customWidth="1"/>
    <col min="5" max="5" width="33.33203125" customWidth="1"/>
    <col min="6" max="6" width="42" customWidth="1"/>
    <col min="7" max="7" width="25.83203125" customWidth="1"/>
    <col min="8" max="8" width="42" customWidth="1"/>
  </cols>
  <sheetData>
    <row r="1" spans="1:8" ht="34" customHeight="1" x14ac:dyDescent="0.2">
      <c r="A1" s="79" t="s">
        <v>700</v>
      </c>
      <c r="B1" s="76"/>
      <c r="C1" s="76"/>
      <c r="D1" s="76"/>
      <c r="E1" s="76"/>
      <c r="F1" s="76"/>
      <c r="G1" s="76"/>
      <c r="H1" s="76"/>
    </row>
    <row r="2" spans="1:8" ht="28" customHeight="1" x14ac:dyDescent="0.2">
      <c r="A2" s="78" t="s">
        <v>701</v>
      </c>
      <c r="B2" s="76"/>
      <c r="C2" s="76"/>
      <c r="D2" s="76"/>
      <c r="E2" s="76"/>
      <c r="F2" s="76"/>
      <c r="G2" s="76"/>
      <c r="H2" s="76"/>
    </row>
    <row r="3" spans="1:8" ht="24" customHeight="1" x14ac:dyDescent="0.2"/>
    <row r="4" spans="1:8" ht="24" customHeight="1" x14ac:dyDescent="0.2">
      <c r="A4" s="27" t="s">
        <v>2</v>
      </c>
      <c r="B4" s="27" t="s">
        <v>702</v>
      </c>
      <c r="C4" s="27" t="s">
        <v>703</v>
      </c>
      <c r="D4" s="27" t="s">
        <v>704</v>
      </c>
      <c r="E4" s="27" t="s">
        <v>377</v>
      </c>
      <c r="F4" s="27" t="s">
        <v>705</v>
      </c>
      <c r="G4" s="27" t="s">
        <v>706</v>
      </c>
      <c r="H4" s="27" t="s">
        <v>707</v>
      </c>
    </row>
    <row r="5" spans="1:8" ht="24" customHeight="1" x14ac:dyDescent="0.2">
      <c r="A5" s="26" t="s">
        <v>708</v>
      </c>
      <c r="B5" s="26" t="s">
        <v>709</v>
      </c>
      <c r="C5" s="26" t="s">
        <v>710</v>
      </c>
      <c r="D5" s="26" t="s">
        <v>711</v>
      </c>
      <c r="E5" s="26" t="s">
        <v>397</v>
      </c>
      <c r="F5" s="26" t="s">
        <v>712</v>
      </c>
      <c r="G5" s="26" t="s">
        <v>713</v>
      </c>
      <c r="H5" s="26" t="s">
        <v>714</v>
      </c>
    </row>
    <row r="6" spans="1:8" ht="24" customHeight="1" x14ac:dyDescent="0.2">
      <c r="A6" s="26" t="s">
        <v>715</v>
      </c>
      <c r="B6" s="26" t="s">
        <v>716</v>
      </c>
      <c r="C6" s="26" t="s">
        <v>717</v>
      </c>
      <c r="D6" s="26" t="s">
        <v>718</v>
      </c>
      <c r="E6" s="26" t="s">
        <v>719</v>
      </c>
      <c r="F6" s="26" t="s">
        <v>720</v>
      </c>
      <c r="G6" s="26" t="s">
        <v>721</v>
      </c>
      <c r="H6" s="26" t="s">
        <v>722</v>
      </c>
    </row>
    <row r="7" spans="1:8" ht="24" customHeight="1" x14ac:dyDescent="0.2">
      <c r="A7" s="26" t="s">
        <v>723</v>
      </c>
      <c r="B7" s="26" t="s">
        <v>724</v>
      </c>
      <c r="C7" s="26" t="s">
        <v>725</v>
      </c>
      <c r="D7" s="26" t="s">
        <v>726</v>
      </c>
      <c r="E7" s="26" t="s">
        <v>727</v>
      </c>
      <c r="F7" s="26" t="s">
        <v>728</v>
      </c>
      <c r="G7" s="26" t="s">
        <v>729</v>
      </c>
      <c r="H7" s="26" t="s">
        <v>730</v>
      </c>
    </row>
    <row r="8" spans="1:8" ht="24" customHeight="1" x14ac:dyDescent="0.2">
      <c r="A8" s="26" t="s">
        <v>731</v>
      </c>
      <c r="B8" s="26" t="s">
        <v>732</v>
      </c>
      <c r="C8" s="26" t="s">
        <v>488</v>
      </c>
      <c r="D8" s="26" t="s">
        <v>733</v>
      </c>
      <c r="E8" s="26" t="s">
        <v>727</v>
      </c>
      <c r="F8" s="26" t="s">
        <v>734</v>
      </c>
      <c r="G8" s="26" t="s">
        <v>729</v>
      </c>
      <c r="H8" s="26" t="s">
        <v>735</v>
      </c>
    </row>
    <row r="9" spans="1:8" ht="24" customHeight="1" x14ac:dyDescent="0.2">
      <c r="A9" s="26" t="s">
        <v>736</v>
      </c>
      <c r="B9" s="26" t="s">
        <v>737</v>
      </c>
      <c r="C9" s="26" t="s">
        <v>738</v>
      </c>
      <c r="D9" s="26" t="s">
        <v>739</v>
      </c>
      <c r="E9" s="26" t="s">
        <v>727</v>
      </c>
      <c r="F9" s="26" t="s">
        <v>740</v>
      </c>
      <c r="G9" s="26" t="s">
        <v>713</v>
      </c>
      <c r="H9" s="26" t="s">
        <v>741</v>
      </c>
    </row>
    <row r="10" spans="1:8" ht="24" customHeight="1" x14ac:dyDescent="0.2">
      <c r="A10" s="26" t="s">
        <v>742</v>
      </c>
      <c r="B10" s="26" t="s">
        <v>737</v>
      </c>
      <c r="C10" s="26" t="s">
        <v>743</v>
      </c>
      <c r="D10" s="26" t="s">
        <v>744</v>
      </c>
      <c r="E10" s="26" t="s">
        <v>404</v>
      </c>
      <c r="F10" s="26" t="s">
        <v>745</v>
      </c>
      <c r="G10" s="26" t="s">
        <v>713</v>
      </c>
      <c r="H10" s="26" t="s">
        <v>746</v>
      </c>
    </row>
    <row r="11" spans="1:8" ht="24" customHeight="1" x14ac:dyDescent="0.2">
      <c r="A11" s="26" t="s">
        <v>506</v>
      </c>
      <c r="B11" s="26" t="s">
        <v>747</v>
      </c>
      <c r="C11" s="26" t="s">
        <v>748</v>
      </c>
      <c r="D11" s="26" t="s">
        <v>749</v>
      </c>
      <c r="E11" s="26" t="s">
        <v>750</v>
      </c>
      <c r="F11" s="26" t="s">
        <v>751</v>
      </c>
      <c r="G11" s="29" t="s">
        <v>752</v>
      </c>
      <c r="H11" s="26" t="s">
        <v>753</v>
      </c>
    </row>
    <row r="12" spans="1:8" ht="24" customHeight="1" x14ac:dyDescent="0.2">
      <c r="A12" s="26" t="s">
        <v>402</v>
      </c>
      <c r="B12" s="26" t="s">
        <v>754</v>
      </c>
      <c r="C12" s="26" t="s">
        <v>755</v>
      </c>
      <c r="D12" s="26" t="s">
        <v>756</v>
      </c>
      <c r="E12" s="26" t="s">
        <v>397</v>
      </c>
      <c r="F12" s="26" t="s">
        <v>757</v>
      </c>
      <c r="G12" s="26" t="s">
        <v>713</v>
      </c>
      <c r="H12" s="26" t="s">
        <v>758</v>
      </c>
    </row>
    <row r="13" spans="1:8" ht="24" customHeight="1" x14ac:dyDescent="0.2">
      <c r="A13" s="26" t="s">
        <v>759</v>
      </c>
      <c r="B13" s="26" t="s">
        <v>760</v>
      </c>
      <c r="C13" s="26" t="s">
        <v>761</v>
      </c>
      <c r="D13" s="26" t="s">
        <v>762</v>
      </c>
      <c r="E13" s="26" t="s">
        <v>763</v>
      </c>
      <c r="F13" s="26" t="s">
        <v>764</v>
      </c>
      <c r="G13" s="30" t="s">
        <v>765</v>
      </c>
      <c r="H13" s="26" t="s">
        <v>766</v>
      </c>
    </row>
    <row r="14" spans="1:8" ht="24" customHeight="1" x14ac:dyDescent="0.2">
      <c r="A14" s="26" t="s">
        <v>767</v>
      </c>
      <c r="B14" s="26" t="s">
        <v>768</v>
      </c>
      <c r="C14" s="26" t="s">
        <v>769</v>
      </c>
      <c r="D14" s="26" t="s">
        <v>770</v>
      </c>
      <c r="E14" s="26" t="s">
        <v>771</v>
      </c>
      <c r="F14" s="26" t="s">
        <v>772</v>
      </c>
      <c r="G14" s="26" t="s">
        <v>773</v>
      </c>
      <c r="H14" s="26" t="s">
        <v>774</v>
      </c>
    </row>
    <row r="15" spans="1:8" ht="24" customHeight="1" x14ac:dyDescent="0.2">
      <c r="A15" s="26" t="s">
        <v>775</v>
      </c>
      <c r="B15" s="26" t="s">
        <v>776</v>
      </c>
      <c r="C15" s="26" t="s">
        <v>777</v>
      </c>
      <c r="D15" s="26" t="s">
        <v>778</v>
      </c>
      <c r="E15" s="26" t="s">
        <v>771</v>
      </c>
      <c r="F15" s="26" t="s">
        <v>779</v>
      </c>
      <c r="G15" s="26" t="s">
        <v>780</v>
      </c>
      <c r="H15" s="26" t="s">
        <v>781</v>
      </c>
    </row>
    <row r="16" spans="1:8" ht="24" customHeight="1" x14ac:dyDescent="0.2">
      <c r="A16" s="26" t="s">
        <v>782</v>
      </c>
      <c r="B16" s="26" t="s">
        <v>679</v>
      </c>
      <c r="C16" s="26" t="s">
        <v>783</v>
      </c>
      <c r="D16" s="26" t="s">
        <v>784</v>
      </c>
      <c r="E16" s="26" t="s">
        <v>785</v>
      </c>
      <c r="F16" s="26" t="s">
        <v>786</v>
      </c>
      <c r="G16" s="26" t="s">
        <v>667</v>
      </c>
      <c r="H16" s="26" t="s">
        <v>787</v>
      </c>
    </row>
    <row r="17" spans="1:8" ht="24" customHeight="1" x14ac:dyDescent="0.2"/>
    <row r="18" spans="1:8" ht="24" customHeight="1" x14ac:dyDescent="0.2"/>
    <row r="19" spans="1:8" ht="24" customHeight="1" x14ac:dyDescent="0.2">
      <c r="A19" s="78" t="s">
        <v>788</v>
      </c>
      <c r="B19" s="76"/>
      <c r="C19" s="76"/>
      <c r="D19" s="76"/>
      <c r="E19" s="76"/>
      <c r="F19" s="76"/>
      <c r="G19" s="76"/>
      <c r="H19" s="76"/>
    </row>
    <row r="20" spans="1:8" ht="24" customHeight="1" x14ac:dyDescent="0.2">
      <c r="A20" s="26" t="s">
        <v>789</v>
      </c>
      <c r="B20" s="26" t="s">
        <v>790</v>
      </c>
    </row>
    <row r="21" spans="1:8" ht="24" customHeight="1" x14ac:dyDescent="0.2">
      <c r="A21" s="26" t="s">
        <v>789</v>
      </c>
      <c r="B21" s="26" t="s">
        <v>791</v>
      </c>
    </row>
    <row r="22" spans="1:8" ht="24" customHeight="1" x14ac:dyDescent="0.2">
      <c r="A22" s="26" t="s">
        <v>789</v>
      </c>
      <c r="B22" s="26" t="s">
        <v>792</v>
      </c>
    </row>
    <row r="23" spans="1:8" ht="24" customHeight="1" x14ac:dyDescent="0.2">
      <c r="A23" s="26" t="s">
        <v>789</v>
      </c>
      <c r="B23" s="26" t="s">
        <v>793</v>
      </c>
    </row>
    <row r="24" spans="1:8" ht="24" customHeight="1" x14ac:dyDescent="0.2">
      <c r="A24" s="26" t="s">
        <v>789</v>
      </c>
      <c r="B24" s="26" t="s">
        <v>794</v>
      </c>
    </row>
    <row r="25" spans="1:8" ht="24" customHeight="1" x14ac:dyDescent="0.2">
      <c r="A25" s="26" t="s">
        <v>795</v>
      </c>
      <c r="B25" s="26" t="s">
        <v>722</v>
      </c>
    </row>
    <row r="26" spans="1:8" ht="24" customHeight="1" x14ac:dyDescent="0.2">
      <c r="A26" s="26" t="s">
        <v>795</v>
      </c>
      <c r="B26" s="26" t="s">
        <v>796</v>
      </c>
    </row>
    <row r="27" spans="1:8" ht="24" customHeight="1" x14ac:dyDescent="0.2">
      <c r="A27" s="26" t="s">
        <v>795</v>
      </c>
      <c r="B27" s="26" t="s">
        <v>797</v>
      </c>
    </row>
    <row r="28" spans="1:8" ht="24" customHeight="1" x14ac:dyDescent="0.2">
      <c r="A28" s="26" t="s">
        <v>795</v>
      </c>
      <c r="B28" s="26" t="s">
        <v>798</v>
      </c>
    </row>
    <row r="29" spans="1:8" ht="24" customHeight="1" x14ac:dyDescent="0.2">
      <c r="A29" s="26" t="s">
        <v>795</v>
      </c>
      <c r="B29" s="26" t="s">
        <v>799</v>
      </c>
    </row>
    <row r="30" spans="1:8" ht="24" customHeight="1" x14ac:dyDescent="0.2">
      <c r="A30" s="26" t="s">
        <v>795</v>
      </c>
      <c r="B30" s="26" t="s">
        <v>800</v>
      </c>
    </row>
    <row r="31" spans="1:8" ht="24" customHeight="1" x14ac:dyDescent="0.2">
      <c r="A31" s="26" t="s">
        <v>795</v>
      </c>
      <c r="B31" s="26" t="s">
        <v>801</v>
      </c>
    </row>
  </sheetData>
  <mergeCells count="3">
    <mergeCell ref="A19:H19"/>
    <mergeCell ref="A2:H2"/>
    <mergeCell ref="A1:H1"/>
  </mergeCells>
  <pageMargins left="0.75" right="0.75" top="1" bottom="1" header="0.5" footer="0.5"/>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16"/>
  <sheetViews>
    <sheetView showGridLines="0" rightToLeft="1" workbookViewId="0">
      <pane ySplit="3" topLeftCell="A4" activePane="bottomLeft" state="frozen"/>
      <selection pane="bottomLeft"/>
    </sheetView>
  </sheetViews>
  <sheetFormatPr baseColWidth="10" defaultColWidth="8.83203125" defaultRowHeight="15" x14ac:dyDescent="0.2"/>
  <cols>
    <col min="1" max="1" width="42" customWidth="1"/>
    <col min="2" max="2" width="38.1640625" customWidth="1"/>
    <col min="3" max="3" width="17.1640625" customWidth="1"/>
    <col min="4" max="5" width="12.5" customWidth="1"/>
    <col min="6" max="6" width="17.1640625" customWidth="1"/>
    <col min="7" max="7" width="12.5" customWidth="1"/>
    <col min="8" max="8" width="11.5" customWidth="1"/>
    <col min="9" max="9" width="18.1640625" customWidth="1"/>
    <col min="10" max="10" width="20.1640625" customWidth="1"/>
    <col min="11" max="11" width="19.1640625" customWidth="1"/>
    <col min="12" max="12" width="30.5" customWidth="1"/>
    <col min="13" max="13" width="36.1640625" customWidth="1"/>
    <col min="14" max="15" width="42" customWidth="1"/>
    <col min="16" max="16" width="25.83203125" customWidth="1"/>
    <col min="17" max="17" width="42" customWidth="1"/>
  </cols>
  <sheetData>
    <row r="1" spans="1:17" ht="34" customHeight="1" x14ac:dyDescent="0.2">
      <c r="A1" s="79" t="s">
        <v>802</v>
      </c>
      <c r="B1" s="76"/>
      <c r="C1" s="76"/>
      <c r="D1" s="76"/>
      <c r="E1" s="76"/>
      <c r="F1" s="76"/>
      <c r="G1" s="76"/>
      <c r="H1" s="76"/>
      <c r="I1" s="76"/>
      <c r="J1" s="76"/>
      <c r="K1" s="76"/>
      <c r="L1" s="76"/>
      <c r="M1" s="76"/>
      <c r="N1" s="76"/>
      <c r="O1" s="76"/>
      <c r="P1" s="76"/>
      <c r="Q1" s="76"/>
    </row>
    <row r="2" spans="1:17" ht="28" customHeight="1" x14ac:dyDescent="0.2">
      <c r="A2" s="78" t="s">
        <v>803</v>
      </c>
      <c r="B2" s="76"/>
      <c r="C2" s="76"/>
      <c r="D2" s="76"/>
      <c r="E2" s="76"/>
      <c r="F2" s="76"/>
      <c r="G2" s="76"/>
      <c r="H2" s="76"/>
      <c r="I2" s="76"/>
      <c r="J2" s="76"/>
      <c r="K2" s="76"/>
      <c r="L2" s="76"/>
      <c r="M2" s="76"/>
      <c r="N2" s="76"/>
      <c r="O2" s="76"/>
      <c r="P2" s="76"/>
      <c r="Q2" s="76"/>
    </row>
    <row r="3" spans="1:17" ht="24" customHeight="1" x14ac:dyDescent="0.2">
      <c r="A3" s="27" t="s">
        <v>442</v>
      </c>
      <c r="B3" s="27" t="s">
        <v>227</v>
      </c>
      <c r="C3" s="27" t="s">
        <v>804</v>
      </c>
      <c r="D3" s="27" t="s">
        <v>805</v>
      </c>
      <c r="E3" s="27" t="s">
        <v>806</v>
      </c>
      <c r="F3" s="27" t="s">
        <v>807</v>
      </c>
      <c r="G3" s="27" t="s">
        <v>808</v>
      </c>
      <c r="H3" s="27" t="s">
        <v>809</v>
      </c>
      <c r="I3" s="27" t="s">
        <v>810</v>
      </c>
      <c r="J3" s="27" t="s">
        <v>811</v>
      </c>
      <c r="K3" s="27" t="s">
        <v>812</v>
      </c>
      <c r="L3" s="27" t="s">
        <v>702</v>
      </c>
      <c r="M3" s="27" t="s">
        <v>813</v>
      </c>
      <c r="N3" s="27" t="s">
        <v>443</v>
      </c>
      <c r="O3" s="27" t="s">
        <v>814</v>
      </c>
      <c r="P3" s="27" t="s">
        <v>706</v>
      </c>
      <c r="Q3" s="27" t="s">
        <v>815</v>
      </c>
    </row>
    <row r="4" spans="1:17" ht="24" customHeight="1" x14ac:dyDescent="0.2">
      <c r="A4" s="26" t="s">
        <v>449</v>
      </c>
      <c r="B4" s="26" t="s">
        <v>450</v>
      </c>
      <c r="C4" s="26" t="s">
        <v>816</v>
      </c>
      <c r="D4" s="26">
        <v>28</v>
      </c>
      <c r="E4" s="26">
        <v>30</v>
      </c>
      <c r="F4" s="31">
        <f t="shared" ref="F4:F16" si="0">D4/E4</f>
        <v>0.93333333333333335</v>
      </c>
      <c r="G4" s="31">
        <f t="shared" ref="G4:G16" si="1">D4/30</f>
        <v>0.93333333333333335</v>
      </c>
      <c r="H4" s="26" t="s">
        <v>119</v>
      </c>
      <c r="I4" s="26" t="s">
        <v>817</v>
      </c>
      <c r="J4" s="26" t="s">
        <v>818</v>
      </c>
      <c r="K4" s="26" t="s">
        <v>819</v>
      </c>
      <c r="L4" s="32" t="s">
        <v>820</v>
      </c>
      <c r="M4" s="26" t="s">
        <v>821</v>
      </c>
      <c r="N4" s="26" t="s">
        <v>822</v>
      </c>
      <c r="O4" s="26" t="s">
        <v>823</v>
      </c>
      <c r="P4" s="32" t="s">
        <v>824</v>
      </c>
      <c r="Q4" s="26" t="s">
        <v>825</v>
      </c>
    </row>
    <row r="5" spans="1:17" ht="24" customHeight="1" x14ac:dyDescent="0.2">
      <c r="A5" s="26" t="s">
        <v>457</v>
      </c>
      <c r="B5" s="26" t="s">
        <v>458</v>
      </c>
      <c r="C5" s="26" t="s">
        <v>826</v>
      </c>
      <c r="D5" s="26">
        <v>28</v>
      </c>
      <c r="E5" s="26">
        <v>30</v>
      </c>
      <c r="F5" s="31">
        <f t="shared" si="0"/>
        <v>0.93333333333333335</v>
      </c>
      <c r="G5" s="31">
        <f t="shared" si="1"/>
        <v>0.93333333333333335</v>
      </c>
      <c r="H5" s="26" t="s">
        <v>119</v>
      </c>
      <c r="I5" s="26" t="s">
        <v>817</v>
      </c>
      <c r="J5" s="26" t="s">
        <v>827</v>
      </c>
      <c r="K5" s="26" t="s">
        <v>819</v>
      </c>
      <c r="L5" s="32" t="s">
        <v>820</v>
      </c>
      <c r="M5" s="26" t="s">
        <v>828</v>
      </c>
      <c r="N5" s="26" t="s">
        <v>829</v>
      </c>
      <c r="O5" s="26" t="s">
        <v>830</v>
      </c>
      <c r="P5" s="32" t="s">
        <v>824</v>
      </c>
      <c r="Q5" s="26" t="s">
        <v>825</v>
      </c>
    </row>
    <row r="6" spans="1:17" ht="24" customHeight="1" x14ac:dyDescent="0.2">
      <c r="A6" s="26" t="s">
        <v>462</v>
      </c>
      <c r="B6" s="26" t="s">
        <v>463</v>
      </c>
      <c r="C6" s="26" t="s">
        <v>831</v>
      </c>
      <c r="D6" s="26">
        <v>27</v>
      </c>
      <c r="E6" s="26">
        <v>28</v>
      </c>
      <c r="F6" s="31">
        <f t="shared" si="0"/>
        <v>0.9642857142857143</v>
      </c>
      <c r="G6" s="31">
        <f t="shared" si="1"/>
        <v>0.9</v>
      </c>
      <c r="H6" s="26" t="s">
        <v>119</v>
      </c>
      <c r="I6" s="26" t="s">
        <v>817</v>
      </c>
      <c r="J6" s="26" t="s">
        <v>827</v>
      </c>
      <c r="K6" s="26" t="s">
        <v>832</v>
      </c>
      <c r="L6" s="30" t="s">
        <v>765</v>
      </c>
      <c r="M6" s="26" t="s">
        <v>833</v>
      </c>
      <c r="N6" s="26" t="s">
        <v>834</v>
      </c>
      <c r="O6" s="26" t="s">
        <v>835</v>
      </c>
      <c r="P6" s="33" t="s">
        <v>836</v>
      </c>
      <c r="Q6" s="26" t="s">
        <v>837</v>
      </c>
    </row>
    <row r="7" spans="1:17" ht="24" customHeight="1" x14ac:dyDescent="0.2">
      <c r="A7" s="26" t="s">
        <v>467</v>
      </c>
      <c r="B7" s="26" t="s">
        <v>468</v>
      </c>
      <c r="C7" s="26" t="s">
        <v>838</v>
      </c>
      <c r="D7" s="26">
        <v>28</v>
      </c>
      <c r="E7" s="26">
        <v>28</v>
      </c>
      <c r="F7" s="31">
        <f t="shared" si="0"/>
        <v>1</v>
      </c>
      <c r="G7" s="31">
        <f t="shared" si="1"/>
        <v>0.93333333333333335</v>
      </c>
      <c r="H7" s="26" t="s">
        <v>119</v>
      </c>
      <c r="I7" s="26" t="s">
        <v>817</v>
      </c>
      <c r="J7" s="26" t="s">
        <v>827</v>
      </c>
      <c r="K7" s="26" t="s">
        <v>832</v>
      </c>
      <c r="L7" s="30" t="s">
        <v>765</v>
      </c>
      <c r="M7" s="26" t="s">
        <v>839</v>
      </c>
      <c r="N7" s="26" t="s">
        <v>840</v>
      </c>
      <c r="O7" s="26" t="s">
        <v>841</v>
      </c>
      <c r="P7" s="32" t="s">
        <v>824</v>
      </c>
      <c r="Q7" s="26" t="s">
        <v>825</v>
      </c>
    </row>
    <row r="8" spans="1:17" ht="24" customHeight="1" x14ac:dyDescent="0.2">
      <c r="A8" s="26" t="s">
        <v>67</v>
      </c>
      <c r="B8" s="26" t="s">
        <v>472</v>
      </c>
      <c r="C8" s="26" t="s">
        <v>842</v>
      </c>
      <c r="D8" s="26">
        <f>'CR1A v39'!B39</f>
        <v>26</v>
      </c>
      <c r="E8" s="26">
        <f>'CR1A v39'!B44</f>
        <v>30</v>
      </c>
      <c r="F8" s="31">
        <f t="shared" si="0"/>
        <v>0.8666666666666667</v>
      </c>
      <c r="G8" s="31">
        <f t="shared" si="1"/>
        <v>0.8666666666666667</v>
      </c>
      <c r="H8" s="26" t="s">
        <v>119</v>
      </c>
      <c r="I8" s="26" t="s">
        <v>843</v>
      </c>
      <c r="J8" s="26" t="s">
        <v>844</v>
      </c>
      <c r="K8" s="26" t="s">
        <v>845</v>
      </c>
      <c r="L8" s="34" t="s">
        <v>846</v>
      </c>
      <c r="M8" s="26" t="s">
        <v>847</v>
      </c>
      <c r="N8" s="26" t="s">
        <v>848</v>
      </c>
      <c r="O8" s="26" t="s">
        <v>849</v>
      </c>
      <c r="P8" s="33" t="s">
        <v>752</v>
      </c>
      <c r="Q8" s="26" t="s">
        <v>850</v>
      </c>
    </row>
    <row r="9" spans="1:17" ht="24" customHeight="1" x14ac:dyDescent="0.2">
      <c r="A9" s="26" t="s">
        <v>478</v>
      </c>
      <c r="B9" s="26" t="s">
        <v>479</v>
      </c>
      <c r="C9" s="26" t="s">
        <v>851</v>
      </c>
      <c r="D9" s="26">
        <v>29</v>
      </c>
      <c r="E9" s="26">
        <v>30</v>
      </c>
      <c r="F9" s="31">
        <f t="shared" si="0"/>
        <v>0.96666666666666667</v>
      </c>
      <c r="G9" s="31">
        <f t="shared" si="1"/>
        <v>0.96666666666666667</v>
      </c>
      <c r="H9" s="26" t="s">
        <v>119</v>
      </c>
      <c r="I9" s="26" t="s">
        <v>817</v>
      </c>
      <c r="J9" s="26" t="s">
        <v>827</v>
      </c>
      <c r="K9" s="26" t="s">
        <v>832</v>
      </c>
      <c r="L9" s="30" t="s">
        <v>765</v>
      </c>
      <c r="M9" s="26" t="s">
        <v>852</v>
      </c>
      <c r="N9" s="26" t="s">
        <v>853</v>
      </c>
      <c r="O9" s="26" t="s">
        <v>854</v>
      </c>
      <c r="P9" s="33" t="s">
        <v>824</v>
      </c>
      <c r="Q9" s="26" t="s">
        <v>855</v>
      </c>
    </row>
    <row r="10" spans="1:17" ht="24" customHeight="1" x14ac:dyDescent="0.2">
      <c r="A10" s="26" t="s">
        <v>483</v>
      </c>
      <c r="B10" s="26" t="s">
        <v>484</v>
      </c>
      <c r="C10" s="26" t="s">
        <v>851</v>
      </c>
      <c r="D10" s="26">
        <v>27</v>
      </c>
      <c r="E10" s="26">
        <v>30</v>
      </c>
      <c r="F10" s="31">
        <f t="shared" si="0"/>
        <v>0.9</v>
      </c>
      <c r="G10" s="31">
        <f t="shared" si="1"/>
        <v>0.9</v>
      </c>
      <c r="H10" s="26" t="s">
        <v>119</v>
      </c>
      <c r="I10" s="26" t="s">
        <v>843</v>
      </c>
      <c r="J10" s="26" t="s">
        <v>856</v>
      </c>
      <c r="K10" s="26" t="s">
        <v>857</v>
      </c>
      <c r="L10" s="34" t="s">
        <v>858</v>
      </c>
      <c r="M10" s="26" t="s">
        <v>859</v>
      </c>
      <c r="N10" s="26" t="s">
        <v>860</v>
      </c>
      <c r="O10" s="26" t="s">
        <v>861</v>
      </c>
      <c r="P10" s="33" t="s">
        <v>824</v>
      </c>
      <c r="Q10" s="26" t="s">
        <v>862</v>
      </c>
    </row>
    <row r="11" spans="1:17" ht="24" customHeight="1" x14ac:dyDescent="0.2">
      <c r="A11" s="26" t="s">
        <v>488</v>
      </c>
      <c r="B11" s="26" t="s">
        <v>489</v>
      </c>
      <c r="C11" s="26" t="s">
        <v>863</v>
      </c>
      <c r="D11" s="26">
        <v>29</v>
      </c>
      <c r="E11" s="26">
        <v>30</v>
      </c>
      <c r="F11" s="31">
        <f t="shared" si="0"/>
        <v>0.96666666666666667</v>
      </c>
      <c r="G11" s="31">
        <f t="shared" si="1"/>
        <v>0.96666666666666667</v>
      </c>
      <c r="H11" s="26" t="s">
        <v>864</v>
      </c>
      <c r="I11" s="26" t="s">
        <v>817</v>
      </c>
      <c r="J11" s="26" t="s">
        <v>844</v>
      </c>
      <c r="K11" s="26" t="s">
        <v>865</v>
      </c>
      <c r="L11" s="35" t="s">
        <v>866</v>
      </c>
      <c r="M11" s="26" t="s">
        <v>867</v>
      </c>
      <c r="N11" s="26" t="s">
        <v>868</v>
      </c>
      <c r="O11" s="26" t="s">
        <v>869</v>
      </c>
      <c r="P11" s="32" t="s">
        <v>824</v>
      </c>
      <c r="Q11" s="26" t="s">
        <v>870</v>
      </c>
    </row>
    <row r="12" spans="1:17" ht="24" customHeight="1" x14ac:dyDescent="0.2">
      <c r="A12" s="26" t="s">
        <v>493</v>
      </c>
      <c r="B12" s="26" t="s">
        <v>494</v>
      </c>
      <c r="C12" s="26" t="s">
        <v>863</v>
      </c>
      <c r="D12" s="26">
        <v>29</v>
      </c>
      <c r="E12" s="26">
        <v>30</v>
      </c>
      <c r="F12" s="31">
        <f t="shared" si="0"/>
        <v>0.96666666666666667</v>
      </c>
      <c r="G12" s="31">
        <f t="shared" si="1"/>
        <v>0.96666666666666667</v>
      </c>
      <c r="H12" s="26" t="s">
        <v>864</v>
      </c>
      <c r="I12" s="26" t="s">
        <v>817</v>
      </c>
      <c r="J12" s="26" t="s">
        <v>844</v>
      </c>
      <c r="K12" s="26" t="s">
        <v>857</v>
      </c>
      <c r="L12" s="34" t="s">
        <v>858</v>
      </c>
      <c r="M12" s="26" t="s">
        <v>871</v>
      </c>
      <c r="N12" s="26" t="s">
        <v>872</v>
      </c>
      <c r="O12" s="26" t="s">
        <v>873</v>
      </c>
      <c r="P12" s="32" t="s">
        <v>824</v>
      </c>
      <c r="Q12" s="26" t="s">
        <v>874</v>
      </c>
    </row>
    <row r="13" spans="1:17" ht="24" customHeight="1" x14ac:dyDescent="0.2">
      <c r="A13" s="26" t="s">
        <v>496</v>
      </c>
      <c r="B13" s="26" t="s">
        <v>497</v>
      </c>
      <c r="C13" s="26" t="s">
        <v>875</v>
      </c>
      <c r="D13" s="26">
        <v>26</v>
      </c>
      <c r="E13" s="26">
        <v>30</v>
      </c>
      <c r="F13" s="31">
        <f t="shared" si="0"/>
        <v>0.8666666666666667</v>
      </c>
      <c r="G13" s="31">
        <f t="shared" si="1"/>
        <v>0.8666666666666667</v>
      </c>
      <c r="H13" s="26" t="s">
        <v>876</v>
      </c>
      <c r="I13" s="26" t="s">
        <v>817</v>
      </c>
      <c r="J13" s="26" t="s">
        <v>827</v>
      </c>
      <c r="K13" s="26" t="s">
        <v>845</v>
      </c>
      <c r="L13" s="34" t="s">
        <v>846</v>
      </c>
      <c r="M13" s="26" t="s">
        <v>877</v>
      </c>
      <c r="N13" s="26" t="s">
        <v>878</v>
      </c>
      <c r="O13" s="26" t="s">
        <v>879</v>
      </c>
      <c r="P13" s="33" t="s">
        <v>836</v>
      </c>
      <c r="Q13" s="26" t="s">
        <v>880</v>
      </c>
    </row>
    <row r="14" spans="1:17" ht="24" customHeight="1" x14ac:dyDescent="0.2">
      <c r="A14" s="26" t="s">
        <v>501</v>
      </c>
      <c r="B14" s="26" t="s">
        <v>502</v>
      </c>
      <c r="C14" s="26" t="s">
        <v>881</v>
      </c>
      <c r="D14" s="26">
        <v>28</v>
      </c>
      <c r="E14" s="26">
        <v>29</v>
      </c>
      <c r="F14" s="31">
        <f t="shared" si="0"/>
        <v>0.96551724137931039</v>
      </c>
      <c r="G14" s="31">
        <f t="shared" si="1"/>
        <v>0.93333333333333335</v>
      </c>
      <c r="H14" s="26" t="s">
        <v>119</v>
      </c>
      <c r="I14" s="26" t="s">
        <v>817</v>
      </c>
      <c r="J14" s="26" t="s">
        <v>818</v>
      </c>
      <c r="K14" s="26" t="s">
        <v>832</v>
      </c>
      <c r="L14" s="30" t="s">
        <v>765</v>
      </c>
      <c r="M14" s="26" t="s">
        <v>882</v>
      </c>
      <c r="N14" s="26" t="s">
        <v>883</v>
      </c>
      <c r="O14" s="26" t="s">
        <v>884</v>
      </c>
      <c r="P14" s="33" t="s">
        <v>836</v>
      </c>
      <c r="Q14" s="26" t="s">
        <v>885</v>
      </c>
    </row>
    <row r="15" spans="1:17" ht="24" customHeight="1" x14ac:dyDescent="0.2">
      <c r="A15" s="26" t="s">
        <v>506</v>
      </c>
      <c r="B15" s="26" t="s">
        <v>886</v>
      </c>
      <c r="C15" s="26" t="s">
        <v>887</v>
      </c>
      <c r="D15" s="26">
        <v>25</v>
      </c>
      <c r="E15" s="26">
        <v>25</v>
      </c>
      <c r="F15" s="31">
        <f t="shared" si="0"/>
        <v>1</v>
      </c>
      <c r="G15" s="31">
        <f t="shared" si="1"/>
        <v>0.83333333333333337</v>
      </c>
      <c r="H15" s="26" t="s">
        <v>119</v>
      </c>
      <c r="I15" s="26" t="s">
        <v>843</v>
      </c>
      <c r="J15" s="26" t="s">
        <v>844</v>
      </c>
      <c r="K15" s="26" t="s">
        <v>888</v>
      </c>
      <c r="L15" s="33" t="s">
        <v>889</v>
      </c>
      <c r="M15" s="26" t="s">
        <v>890</v>
      </c>
      <c r="N15" s="26" t="s">
        <v>891</v>
      </c>
      <c r="O15" s="26" t="s">
        <v>892</v>
      </c>
      <c r="P15" s="29" t="s">
        <v>752</v>
      </c>
      <c r="Q15" s="26" t="s">
        <v>893</v>
      </c>
    </row>
    <row r="16" spans="1:17" ht="24" customHeight="1" x14ac:dyDescent="0.2">
      <c r="A16" s="26" t="s">
        <v>894</v>
      </c>
      <c r="B16" s="26" t="s">
        <v>760</v>
      </c>
      <c r="C16" s="26" t="s">
        <v>895</v>
      </c>
      <c r="D16" s="26">
        <v>30</v>
      </c>
      <c r="E16" s="26">
        <v>30</v>
      </c>
      <c r="F16" s="31">
        <f t="shared" si="0"/>
        <v>1</v>
      </c>
      <c r="G16" s="31">
        <f t="shared" si="1"/>
        <v>1</v>
      </c>
      <c r="H16" s="26" t="s">
        <v>119</v>
      </c>
      <c r="I16" s="26" t="s">
        <v>817</v>
      </c>
      <c r="J16" s="26" t="s">
        <v>818</v>
      </c>
      <c r="K16" s="26" t="s">
        <v>896</v>
      </c>
      <c r="L16" s="30" t="s">
        <v>765</v>
      </c>
      <c r="M16" s="26" t="s">
        <v>897</v>
      </c>
      <c r="N16" s="26" t="s">
        <v>898</v>
      </c>
      <c r="O16" s="26" t="s">
        <v>899</v>
      </c>
      <c r="P16" s="26" t="s">
        <v>900</v>
      </c>
      <c r="Q16" s="26" t="s">
        <v>766</v>
      </c>
    </row>
  </sheetData>
  <mergeCells count="2">
    <mergeCell ref="A2:Q2"/>
    <mergeCell ref="A1:Q1"/>
  </mergeCells>
  <pageMargins left="0.75" right="0.75" top="1" bottom="1" header="0.5" footer="0.5"/>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23"/>
  <sheetViews>
    <sheetView showGridLines="0" rightToLeft="1" workbookViewId="0">
      <pane ySplit="3" topLeftCell="A4" activePane="bottomLeft" state="frozen"/>
      <selection pane="bottomLeft"/>
    </sheetView>
  </sheetViews>
  <sheetFormatPr baseColWidth="10" defaultColWidth="8.83203125" defaultRowHeight="15" x14ac:dyDescent="0.2"/>
  <cols>
    <col min="1" max="2" width="42" customWidth="1"/>
    <col min="3" max="8" width="10" customWidth="1"/>
  </cols>
  <sheetData>
    <row r="1" spans="1:8" ht="34" customHeight="1" x14ac:dyDescent="0.2">
      <c r="A1" s="79" t="s">
        <v>901</v>
      </c>
      <c r="B1" s="76"/>
      <c r="C1" s="76"/>
      <c r="D1" s="76"/>
      <c r="E1" s="76"/>
      <c r="F1" s="76"/>
      <c r="G1" s="76"/>
      <c r="H1" s="76"/>
    </row>
    <row r="2" spans="1:8" ht="28" customHeight="1" x14ac:dyDescent="0.2"/>
    <row r="3" spans="1:8" ht="24" customHeight="1" x14ac:dyDescent="0.2">
      <c r="A3" s="27" t="s">
        <v>902</v>
      </c>
      <c r="B3" s="83" t="s">
        <v>228</v>
      </c>
      <c r="C3" s="76"/>
      <c r="D3" s="76"/>
      <c r="E3" s="76"/>
      <c r="F3" s="76"/>
      <c r="G3" s="76"/>
      <c r="H3" s="76"/>
    </row>
    <row r="4" spans="1:8" ht="24" customHeight="1" x14ac:dyDescent="0.2">
      <c r="A4" s="26" t="s">
        <v>442</v>
      </c>
      <c r="B4" s="78" t="s">
        <v>894</v>
      </c>
      <c r="C4" s="76"/>
      <c r="D4" s="76"/>
      <c r="E4" s="76"/>
      <c r="F4" s="76"/>
      <c r="G4" s="76"/>
      <c r="H4" s="76"/>
    </row>
    <row r="5" spans="1:8" ht="24" customHeight="1" x14ac:dyDescent="0.2">
      <c r="A5" s="26" t="s">
        <v>903</v>
      </c>
      <c r="B5" s="78" t="s">
        <v>760</v>
      </c>
      <c r="C5" s="76"/>
      <c r="D5" s="76"/>
      <c r="E5" s="76"/>
      <c r="F5" s="76"/>
      <c r="G5" s="76"/>
      <c r="H5" s="76"/>
    </row>
    <row r="6" spans="1:8" ht="24" customHeight="1" x14ac:dyDescent="0.2">
      <c r="A6" s="26" t="s">
        <v>904</v>
      </c>
      <c r="B6" s="78" t="s">
        <v>905</v>
      </c>
      <c r="C6" s="76"/>
      <c r="D6" s="76"/>
      <c r="E6" s="76"/>
      <c r="F6" s="76"/>
      <c r="G6" s="76"/>
      <c r="H6" s="76"/>
    </row>
    <row r="7" spans="1:8" ht="24" customHeight="1" x14ac:dyDescent="0.2">
      <c r="A7" s="26" t="s">
        <v>804</v>
      </c>
      <c r="B7" s="78" t="s">
        <v>895</v>
      </c>
      <c r="C7" s="76"/>
      <c r="D7" s="76"/>
      <c r="E7" s="76"/>
      <c r="F7" s="76"/>
      <c r="G7" s="76"/>
      <c r="H7" s="76"/>
    </row>
    <row r="8" spans="1:8" ht="24" customHeight="1" x14ac:dyDescent="0.2">
      <c r="A8" s="26" t="s">
        <v>906</v>
      </c>
      <c r="B8" s="78" t="s">
        <v>907</v>
      </c>
      <c r="C8" s="76"/>
      <c r="D8" s="76"/>
      <c r="E8" s="76"/>
      <c r="F8" s="76"/>
      <c r="G8" s="76"/>
      <c r="H8" s="76"/>
    </row>
    <row r="9" spans="1:8" ht="24" customHeight="1" x14ac:dyDescent="0.2">
      <c r="A9" s="26" t="s">
        <v>908</v>
      </c>
      <c r="B9" s="78" t="s">
        <v>909</v>
      </c>
      <c r="C9" s="76"/>
      <c r="D9" s="76"/>
      <c r="E9" s="76"/>
      <c r="F9" s="76"/>
      <c r="G9" s="76"/>
      <c r="H9" s="76"/>
    </row>
    <row r="10" spans="1:8" ht="24" customHeight="1" x14ac:dyDescent="0.2">
      <c r="A10" s="26" t="s">
        <v>910</v>
      </c>
      <c r="B10" s="78" t="s">
        <v>911</v>
      </c>
      <c r="C10" s="76"/>
      <c r="D10" s="76"/>
      <c r="E10" s="76"/>
      <c r="F10" s="76"/>
      <c r="G10" s="76"/>
      <c r="H10" s="76"/>
    </row>
    <row r="11" spans="1:8" ht="24" customHeight="1" x14ac:dyDescent="0.2">
      <c r="A11" s="26" t="s">
        <v>912</v>
      </c>
      <c r="B11" s="78" t="s">
        <v>913</v>
      </c>
      <c r="C11" s="76"/>
      <c r="D11" s="76"/>
      <c r="E11" s="76"/>
      <c r="F11" s="76"/>
      <c r="G11" s="76"/>
      <c r="H11" s="76"/>
    </row>
    <row r="12" spans="1:8" ht="24" customHeight="1" x14ac:dyDescent="0.2">
      <c r="A12" s="26" t="s">
        <v>377</v>
      </c>
      <c r="B12" s="78" t="s">
        <v>914</v>
      </c>
      <c r="C12" s="76"/>
      <c r="D12" s="76"/>
      <c r="E12" s="76"/>
      <c r="F12" s="76"/>
      <c r="G12" s="76"/>
      <c r="H12" s="76"/>
    </row>
    <row r="13" spans="1:8" ht="24" customHeight="1" x14ac:dyDescent="0.2">
      <c r="A13" s="26" t="s">
        <v>915</v>
      </c>
      <c r="B13" s="78" t="s">
        <v>916</v>
      </c>
      <c r="C13" s="76"/>
      <c r="D13" s="76"/>
      <c r="E13" s="76"/>
      <c r="F13" s="76"/>
      <c r="G13" s="76"/>
      <c r="H13" s="76"/>
    </row>
    <row r="14" spans="1:8" ht="24" customHeight="1" x14ac:dyDescent="0.2">
      <c r="A14" s="26" t="s">
        <v>917</v>
      </c>
      <c r="B14" s="78" t="s">
        <v>918</v>
      </c>
      <c r="C14" s="76"/>
      <c r="D14" s="76"/>
      <c r="E14" s="76"/>
      <c r="F14" s="76"/>
      <c r="G14" s="76"/>
      <c r="H14" s="76"/>
    </row>
    <row r="15" spans="1:8" ht="24" customHeight="1" x14ac:dyDescent="0.2">
      <c r="A15" s="26" t="s">
        <v>809</v>
      </c>
      <c r="B15" s="78" t="s">
        <v>919</v>
      </c>
      <c r="C15" s="76"/>
      <c r="D15" s="76"/>
      <c r="E15" s="76"/>
      <c r="F15" s="76"/>
      <c r="G15" s="76"/>
      <c r="H15" s="76"/>
    </row>
    <row r="16" spans="1:8" ht="24" customHeight="1" x14ac:dyDescent="0.2">
      <c r="A16" s="26" t="s">
        <v>810</v>
      </c>
      <c r="B16" s="78" t="s">
        <v>817</v>
      </c>
      <c r="C16" s="76"/>
      <c r="D16" s="76"/>
      <c r="E16" s="76"/>
      <c r="F16" s="76"/>
      <c r="G16" s="76"/>
      <c r="H16" s="76"/>
    </row>
    <row r="17" spans="1:8" ht="24" customHeight="1" x14ac:dyDescent="0.2">
      <c r="A17" s="26" t="s">
        <v>920</v>
      </c>
      <c r="B17" s="78" t="s">
        <v>921</v>
      </c>
      <c r="C17" s="76"/>
      <c r="D17" s="76"/>
      <c r="E17" s="76"/>
      <c r="F17" s="76"/>
      <c r="G17" s="76"/>
      <c r="H17" s="76"/>
    </row>
    <row r="18" spans="1:8" ht="24" customHeight="1" x14ac:dyDescent="0.2">
      <c r="A18" s="26" t="s">
        <v>922</v>
      </c>
      <c r="B18" s="78" t="s">
        <v>923</v>
      </c>
      <c r="C18" s="76"/>
      <c r="D18" s="76"/>
      <c r="E18" s="76"/>
      <c r="F18" s="76"/>
      <c r="G18" s="76"/>
      <c r="H18" s="76"/>
    </row>
    <row r="19" spans="1:8" ht="24" customHeight="1" x14ac:dyDescent="0.2">
      <c r="A19" s="26" t="s">
        <v>811</v>
      </c>
      <c r="B19" s="78" t="s">
        <v>818</v>
      </c>
      <c r="C19" s="76"/>
      <c r="D19" s="76"/>
      <c r="E19" s="76"/>
      <c r="F19" s="76"/>
      <c r="G19" s="76"/>
      <c r="H19" s="76"/>
    </row>
    <row r="20" spans="1:8" ht="24" customHeight="1" x14ac:dyDescent="0.2">
      <c r="A20" s="26" t="s">
        <v>924</v>
      </c>
      <c r="B20" s="78" t="s">
        <v>925</v>
      </c>
      <c r="C20" s="76"/>
      <c r="D20" s="76"/>
      <c r="E20" s="76"/>
      <c r="F20" s="76"/>
      <c r="G20" s="76"/>
      <c r="H20" s="76"/>
    </row>
    <row r="21" spans="1:8" ht="24" customHeight="1" x14ac:dyDescent="0.2">
      <c r="A21" s="26" t="s">
        <v>376</v>
      </c>
      <c r="B21" s="84" t="s">
        <v>765</v>
      </c>
      <c r="C21" s="76"/>
      <c r="D21" s="76"/>
      <c r="E21" s="76"/>
      <c r="F21" s="76"/>
      <c r="G21" s="76"/>
      <c r="H21" s="76"/>
    </row>
    <row r="22" spans="1:8" ht="24" customHeight="1" x14ac:dyDescent="0.2">
      <c r="A22" s="26" t="s">
        <v>926</v>
      </c>
      <c r="B22" s="78" t="s">
        <v>927</v>
      </c>
      <c r="C22" s="76"/>
      <c r="D22" s="76"/>
      <c r="E22" s="76"/>
      <c r="F22" s="76"/>
      <c r="G22" s="76"/>
      <c r="H22" s="76"/>
    </row>
    <row r="23" spans="1:8" ht="24" customHeight="1" x14ac:dyDescent="0.2">
      <c r="A23" s="26" t="s">
        <v>928</v>
      </c>
      <c r="B23" s="78" t="s">
        <v>929</v>
      </c>
      <c r="C23" s="76"/>
      <c r="D23" s="76"/>
      <c r="E23" s="76"/>
      <c r="F23" s="76"/>
      <c r="G23" s="76"/>
      <c r="H23" s="76"/>
    </row>
  </sheetData>
  <mergeCells count="22">
    <mergeCell ref="B23:H23"/>
    <mergeCell ref="B14:H14"/>
    <mergeCell ref="B8:H8"/>
    <mergeCell ref="B17:H17"/>
    <mergeCell ref="B13:H13"/>
    <mergeCell ref="B10:H10"/>
    <mergeCell ref="B19:H19"/>
    <mergeCell ref="B22:H22"/>
    <mergeCell ref="B18:H18"/>
    <mergeCell ref="B21:H21"/>
    <mergeCell ref="B12:H12"/>
    <mergeCell ref="B11:H11"/>
    <mergeCell ref="B20:H20"/>
    <mergeCell ref="B4:H4"/>
    <mergeCell ref="B16:H16"/>
    <mergeCell ref="B7:H7"/>
    <mergeCell ref="B3:H3"/>
    <mergeCell ref="B9:H9"/>
    <mergeCell ref="B6:H6"/>
    <mergeCell ref="B15:H15"/>
    <mergeCell ref="A1:H1"/>
    <mergeCell ref="B5:H5"/>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27"/>
  <sheetViews>
    <sheetView showGridLines="0" rightToLeft="1" workbookViewId="0">
      <pane ySplit="3" topLeftCell="A4" activePane="bottomLeft" state="frozen"/>
      <selection pane="bottomLeft"/>
    </sheetView>
  </sheetViews>
  <sheetFormatPr baseColWidth="10" defaultColWidth="8.83203125" defaultRowHeight="15" x14ac:dyDescent="0.2"/>
  <cols>
    <col min="1" max="1" width="42" customWidth="1"/>
    <col min="2" max="2" width="32.5" customWidth="1"/>
    <col min="3" max="3" width="36.1640625" customWidth="1"/>
    <col min="4" max="5" width="12.5" customWidth="1"/>
    <col min="6" max="6" width="10.6640625" customWidth="1"/>
    <col min="7" max="7" width="20.1640625" customWidth="1"/>
    <col min="8" max="8" width="18.1640625" customWidth="1"/>
    <col min="9" max="9" width="13.5" customWidth="1"/>
    <col min="10" max="10" width="23" customWidth="1"/>
    <col min="11" max="11" width="19.1640625" customWidth="1"/>
    <col min="12" max="12" width="30.5" customWidth="1"/>
    <col min="13" max="13" width="34.33203125" customWidth="1"/>
    <col min="14" max="14" width="30.5" customWidth="1"/>
  </cols>
  <sheetData>
    <row r="1" spans="1:14" ht="34" customHeight="1" x14ac:dyDescent="0.2">
      <c r="A1" s="79" t="s">
        <v>930</v>
      </c>
      <c r="B1" s="76"/>
      <c r="C1" s="76"/>
      <c r="D1" s="76"/>
      <c r="E1" s="76"/>
      <c r="F1" s="76"/>
      <c r="G1" s="76"/>
      <c r="H1" s="76"/>
      <c r="I1" s="76"/>
      <c r="J1" s="76"/>
      <c r="K1" s="76"/>
      <c r="L1" s="76"/>
      <c r="M1" s="76"/>
      <c r="N1" s="76"/>
    </row>
    <row r="2" spans="1:14" ht="28" customHeight="1" x14ac:dyDescent="0.2">
      <c r="A2" s="78" t="s">
        <v>931</v>
      </c>
      <c r="B2" s="76"/>
      <c r="C2" s="76"/>
      <c r="D2" s="76"/>
      <c r="E2" s="76"/>
      <c r="F2" s="76"/>
      <c r="G2" s="76"/>
      <c r="H2" s="76"/>
      <c r="I2" s="76"/>
      <c r="J2" s="76"/>
      <c r="K2" s="76"/>
      <c r="L2" s="76"/>
      <c r="M2" s="76"/>
      <c r="N2" s="76"/>
    </row>
    <row r="3" spans="1:14" ht="24" customHeight="1" x14ac:dyDescent="0.2">
      <c r="A3" s="27" t="s">
        <v>442</v>
      </c>
      <c r="B3" s="27" t="s">
        <v>932</v>
      </c>
      <c r="C3" s="27" t="s">
        <v>804</v>
      </c>
      <c r="D3" s="27" t="s">
        <v>805</v>
      </c>
      <c r="E3" s="27" t="s">
        <v>806</v>
      </c>
      <c r="F3" s="27" t="s">
        <v>933</v>
      </c>
      <c r="G3" s="27" t="s">
        <v>811</v>
      </c>
      <c r="H3" s="27" t="s">
        <v>810</v>
      </c>
      <c r="I3" s="27" t="s">
        <v>920</v>
      </c>
      <c r="J3" s="27" t="s">
        <v>934</v>
      </c>
      <c r="K3" s="27" t="s">
        <v>935</v>
      </c>
      <c r="L3" s="27" t="s">
        <v>702</v>
      </c>
      <c r="M3" s="27" t="s">
        <v>936</v>
      </c>
      <c r="N3" s="27" t="s">
        <v>377</v>
      </c>
    </row>
    <row r="4" spans="1:14" ht="24" customHeight="1" x14ac:dyDescent="0.2">
      <c r="A4" s="26" t="s">
        <v>449</v>
      </c>
      <c r="B4" s="26" t="s">
        <v>937</v>
      </c>
      <c r="C4" s="26" t="s">
        <v>816</v>
      </c>
      <c r="D4" s="26">
        <v>28</v>
      </c>
      <c r="E4" s="26">
        <v>30</v>
      </c>
      <c r="F4" s="31">
        <f t="shared" ref="F4:F16" si="0">D4/E4</f>
        <v>0.93333333333333335</v>
      </c>
      <c r="G4" s="26" t="s">
        <v>818</v>
      </c>
      <c r="H4" s="26" t="s">
        <v>817</v>
      </c>
      <c r="I4" s="26" t="s">
        <v>921</v>
      </c>
      <c r="J4" s="26" t="s">
        <v>843</v>
      </c>
      <c r="K4" s="26" t="s">
        <v>819</v>
      </c>
      <c r="L4" s="32" t="s">
        <v>820</v>
      </c>
      <c r="M4" s="26" t="s">
        <v>938</v>
      </c>
      <c r="N4" s="26" t="s">
        <v>873</v>
      </c>
    </row>
    <row r="5" spans="1:14" ht="24" customHeight="1" x14ac:dyDescent="0.2">
      <c r="A5" s="26" t="s">
        <v>457</v>
      </c>
      <c r="B5" s="26" t="s">
        <v>458</v>
      </c>
      <c r="C5" s="26" t="s">
        <v>826</v>
      </c>
      <c r="D5" s="26">
        <v>28</v>
      </c>
      <c r="E5" s="26">
        <v>30</v>
      </c>
      <c r="F5" s="31">
        <f t="shared" si="0"/>
        <v>0.93333333333333335</v>
      </c>
      <c r="G5" s="26" t="s">
        <v>827</v>
      </c>
      <c r="H5" s="26" t="s">
        <v>817</v>
      </c>
      <c r="I5" s="26" t="s">
        <v>921</v>
      </c>
      <c r="J5" s="26" t="s">
        <v>843</v>
      </c>
      <c r="K5" s="26" t="s">
        <v>819</v>
      </c>
      <c r="L5" s="32" t="s">
        <v>820</v>
      </c>
      <c r="M5" s="26" t="s">
        <v>939</v>
      </c>
      <c r="N5" s="26" t="s">
        <v>873</v>
      </c>
    </row>
    <row r="6" spans="1:14" ht="24" customHeight="1" x14ac:dyDescent="0.2">
      <c r="A6" s="26" t="s">
        <v>462</v>
      </c>
      <c r="B6" s="26" t="s">
        <v>940</v>
      </c>
      <c r="C6" s="26" t="s">
        <v>831</v>
      </c>
      <c r="D6" s="26">
        <v>27</v>
      </c>
      <c r="E6" s="26">
        <v>28</v>
      </c>
      <c r="F6" s="31">
        <f t="shared" si="0"/>
        <v>0.9642857142857143</v>
      </c>
      <c r="G6" s="26" t="s">
        <v>827</v>
      </c>
      <c r="H6" s="26" t="s">
        <v>817</v>
      </c>
      <c r="I6" s="26" t="s">
        <v>923</v>
      </c>
      <c r="J6" s="26" t="s">
        <v>923</v>
      </c>
      <c r="K6" s="26" t="s">
        <v>832</v>
      </c>
      <c r="L6" s="30" t="s">
        <v>765</v>
      </c>
      <c r="M6" s="26" t="s">
        <v>941</v>
      </c>
      <c r="N6" s="26" t="s">
        <v>942</v>
      </c>
    </row>
    <row r="7" spans="1:14" ht="24" customHeight="1" x14ac:dyDescent="0.2">
      <c r="A7" s="26" t="s">
        <v>467</v>
      </c>
      <c r="B7" s="26" t="s">
        <v>943</v>
      </c>
      <c r="C7" s="26" t="s">
        <v>944</v>
      </c>
      <c r="D7" s="26">
        <v>28</v>
      </c>
      <c r="E7" s="26">
        <v>28</v>
      </c>
      <c r="F7" s="31">
        <f t="shared" si="0"/>
        <v>1</v>
      </c>
      <c r="G7" s="26" t="s">
        <v>827</v>
      </c>
      <c r="H7" s="26" t="s">
        <v>817</v>
      </c>
      <c r="I7" s="26" t="s">
        <v>923</v>
      </c>
      <c r="J7" s="26" t="s">
        <v>923</v>
      </c>
      <c r="K7" s="26" t="s">
        <v>832</v>
      </c>
      <c r="L7" s="30" t="s">
        <v>765</v>
      </c>
      <c r="M7" s="26" t="s">
        <v>945</v>
      </c>
      <c r="N7" s="26" t="s">
        <v>942</v>
      </c>
    </row>
    <row r="8" spans="1:14" ht="24" customHeight="1" x14ac:dyDescent="0.2">
      <c r="A8" s="26" t="s">
        <v>478</v>
      </c>
      <c r="B8" s="26" t="s">
        <v>479</v>
      </c>
      <c r="C8" s="26" t="s">
        <v>851</v>
      </c>
      <c r="D8" s="26">
        <v>29</v>
      </c>
      <c r="E8" s="26">
        <v>30</v>
      </c>
      <c r="F8" s="31">
        <f t="shared" si="0"/>
        <v>0.96666666666666667</v>
      </c>
      <c r="G8" s="26" t="s">
        <v>827</v>
      </c>
      <c r="H8" s="26" t="s">
        <v>817</v>
      </c>
      <c r="I8" s="26" t="s">
        <v>921</v>
      </c>
      <c r="J8" s="26" t="s">
        <v>843</v>
      </c>
      <c r="K8" s="26" t="s">
        <v>832</v>
      </c>
      <c r="L8" s="30" t="s">
        <v>765</v>
      </c>
      <c r="M8" s="26" t="s">
        <v>946</v>
      </c>
      <c r="N8" s="26" t="s">
        <v>947</v>
      </c>
    </row>
    <row r="9" spans="1:14" ht="24" customHeight="1" x14ac:dyDescent="0.2">
      <c r="A9" s="26" t="s">
        <v>501</v>
      </c>
      <c r="B9" s="26" t="s">
        <v>948</v>
      </c>
      <c r="C9" s="26" t="s">
        <v>881</v>
      </c>
      <c r="D9" s="26">
        <v>28</v>
      </c>
      <c r="E9" s="26">
        <v>29</v>
      </c>
      <c r="F9" s="31">
        <f t="shared" si="0"/>
        <v>0.96551724137931039</v>
      </c>
      <c r="G9" s="26" t="s">
        <v>818</v>
      </c>
      <c r="H9" s="26" t="s">
        <v>817</v>
      </c>
      <c r="I9" s="26" t="s">
        <v>923</v>
      </c>
      <c r="J9" s="26" t="s">
        <v>923</v>
      </c>
      <c r="K9" s="26" t="s">
        <v>832</v>
      </c>
      <c r="L9" s="30" t="s">
        <v>765</v>
      </c>
      <c r="M9" s="26" t="s">
        <v>949</v>
      </c>
      <c r="N9" s="26" t="s">
        <v>409</v>
      </c>
    </row>
    <row r="10" spans="1:14" ht="24" customHeight="1" x14ac:dyDescent="0.2">
      <c r="A10" s="26" t="s">
        <v>488</v>
      </c>
      <c r="B10" s="26" t="s">
        <v>950</v>
      </c>
      <c r="C10" s="26" t="s">
        <v>863</v>
      </c>
      <c r="D10" s="26">
        <v>29</v>
      </c>
      <c r="E10" s="26">
        <v>30</v>
      </c>
      <c r="F10" s="31">
        <f t="shared" si="0"/>
        <v>0.96666666666666667</v>
      </c>
      <c r="G10" s="26" t="s">
        <v>844</v>
      </c>
      <c r="H10" s="26" t="s">
        <v>817</v>
      </c>
      <c r="I10" s="26" t="s">
        <v>921</v>
      </c>
      <c r="J10" s="26" t="s">
        <v>843</v>
      </c>
      <c r="K10" s="26" t="s">
        <v>865</v>
      </c>
      <c r="L10" s="35" t="s">
        <v>866</v>
      </c>
      <c r="M10" s="26" t="s">
        <v>950</v>
      </c>
      <c r="N10" s="26" t="s">
        <v>873</v>
      </c>
    </row>
    <row r="11" spans="1:14" ht="24" customHeight="1" x14ac:dyDescent="0.2">
      <c r="A11" s="26" t="s">
        <v>67</v>
      </c>
      <c r="B11" s="26" t="s">
        <v>951</v>
      </c>
      <c r="C11" s="26" t="s">
        <v>842</v>
      </c>
      <c r="D11" s="26">
        <f>'CR1A v39'!B39</f>
        <v>26</v>
      </c>
      <c r="E11" s="26">
        <f>'CR1A v39'!B44</f>
        <v>30</v>
      </c>
      <c r="F11" s="31">
        <f t="shared" si="0"/>
        <v>0.8666666666666667</v>
      </c>
      <c r="G11" s="26" t="s">
        <v>844</v>
      </c>
      <c r="H11" s="26" t="s">
        <v>843</v>
      </c>
      <c r="I11" s="26" t="s">
        <v>923</v>
      </c>
      <c r="J11" s="26" t="s">
        <v>843</v>
      </c>
      <c r="K11" s="26" t="s">
        <v>339</v>
      </c>
      <c r="L11" s="34" t="s">
        <v>846</v>
      </c>
      <c r="M11" s="26" t="s">
        <v>952</v>
      </c>
      <c r="N11" s="26" t="s">
        <v>953</v>
      </c>
    </row>
    <row r="12" spans="1:14" ht="24" customHeight="1" x14ac:dyDescent="0.2">
      <c r="A12" s="26" t="s">
        <v>496</v>
      </c>
      <c r="B12" s="26" t="s">
        <v>954</v>
      </c>
      <c r="C12" s="26" t="s">
        <v>875</v>
      </c>
      <c r="D12" s="26">
        <v>26</v>
      </c>
      <c r="E12" s="26">
        <v>30</v>
      </c>
      <c r="F12" s="31">
        <f t="shared" si="0"/>
        <v>0.8666666666666667</v>
      </c>
      <c r="G12" s="26" t="s">
        <v>827</v>
      </c>
      <c r="H12" s="26" t="s">
        <v>817</v>
      </c>
      <c r="I12" s="26" t="s">
        <v>921</v>
      </c>
      <c r="J12" s="26" t="s">
        <v>843</v>
      </c>
      <c r="K12" s="26" t="s">
        <v>339</v>
      </c>
      <c r="L12" s="34" t="s">
        <v>846</v>
      </c>
      <c r="M12" s="26" t="s">
        <v>955</v>
      </c>
      <c r="N12" s="26" t="s">
        <v>873</v>
      </c>
    </row>
    <row r="13" spans="1:14" ht="24" customHeight="1" x14ac:dyDescent="0.2">
      <c r="A13" s="26" t="s">
        <v>483</v>
      </c>
      <c r="B13" s="26" t="s">
        <v>484</v>
      </c>
      <c r="C13" s="26" t="s">
        <v>851</v>
      </c>
      <c r="D13" s="26">
        <v>27</v>
      </c>
      <c r="E13" s="26">
        <v>30</v>
      </c>
      <c r="F13" s="31">
        <f t="shared" si="0"/>
        <v>0.9</v>
      </c>
      <c r="G13" s="26" t="s">
        <v>856</v>
      </c>
      <c r="H13" s="26" t="s">
        <v>843</v>
      </c>
      <c r="I13" s="26" t="s">
        <v>921</v>
      </c>
      <c r="J13" s="26" t="s">
        <v>921</v>
      </c>
      <c r="K13" s="26" t="s">
        <v>857</v>
      </c>
      <c r="L13" s="34" t="s">
        <v>858</v>
      </c>
      <c r="M13" s="26" t="s">
        <v>956</v>
      </c>
      <c r="N13" s="26" t="s">
        <v>957</v>
      </c>
    </row>
    <row r="14" spans="1:14" ht="24" customHeight="1" x14ac:dyDescent="0.2">
      <c r="A14" s="26" t="s">
        <v>493</v>
      </c>
      <c r="B14" s="26" t="s">
        <v>958</v>
      </c>
      <c r="C14" s="26" t="s">
        <v>863</v>
      </c>
      <c r="D14" s="26">
        <v>29</v>
      </c>
      <c r="E14" s="26">
        <v>30</v>
      </c>
      <c r="F14" s="31">
        <f t="shared" si="0"/>
        <v>0.96666666666666667</v>
      </c>
      <c r="G14" s="26" t="s">
        <v>844</v>
      </c>
      <c r="H14" s="26" t="s">
        <v>817</v>
      </c>
      <c r="I14" s="26" t="s">
        <v>921</v>
      </c>
      <c r="J14" s="26" t="s">
        <v>921</v>
      </c>
      <c r="K14" s="26" t="s">
        <v>857</v>
      </c>
      <c r="L14" s="34" t="s">
        <v>858</v>
      </c>
      <c r="M14" s="26" t="s">
        <v>959</v>
      </c>
      <c r="N14" s="26" t="s">
        <v>873</v>
      </c>
    </row>
    <row r="15" spans="1:14" ht="24" customHeight="1" x14ac:dyDescent="0.2">
      <c r="A15" s="26" t="s">
        <v>506</v>
      </c>
      <c r="B15" s="26" t="s">
        <v>960</v>
      </c>
      <c r="C15" s="26" t="s">
        <v>887</v>
      </c>
      <c r="D15" s="26">
        <v>25</v>
      </c>
      <c r="E15" s="26">
        <v>25</v>
      </c>
      <c r="F15" s="31">
        <f t="shared" si="0"/>
        <v>1</v>
      </c>
      <c r="G15" s="26" t="s">
        <v>844</v>
      </c>
      <c r="H15" s="26" t="s">
        <v>843</v>
      </c>
      <c r="I15" s="26" t="s">
        <v>923</v>
      </c>
      <c r="J15" s="26" t="s">
        <v>923</v>
      </c>
      <c r="K15" s="26" t="s">
        <v>888</v>
      </c>
      <c r="L15" s="33" t="s">
        <v>889</v>
      </c>
      <c r="M15" s="26" t="s">
        <v>961</v>
      </c>
      <c r="N15" s="26" t="s">
        <v>962</v>
      </c>
    </row>
    <row r="16" spans="1:14" ht="24" customHeight="1" x14ac:dyDescent="0.2">
      <c r="A16" s="26" t="s">
        <v>894</v>
      </c>
      <c r="B16" s="26" t="s">
        <v>760</v>
      </c>
      <c r="C16" s="26" t="s">
        <v>895</v>
      </c>
      <c r="D16" s="26">
        <v>30</v>
      </c>
      <c r="E16" s="26">
        <v>30</v>
      </c>
      <c r="F16" s="31">
        <f t="shared" si="0"/>
        <v>1</v>
      </c>
      <c r="G16" s="26" t="s">
        <v>818</v>
      </c>
      <c r="H16" s="26" t="s">
        <v>817</v>
      </c>
      <c r="I16" s="26" t="s">
        <v>921</v>
      </c>
      <c r="J16" s="26" t="s">
        <v>963</v>
      </c>
      <c r="K16" s="26" t="s">
        <v>896</v>
      </c>
      <c r="L16" s="30" t="s">
        <v>765</v>
      </c>
      <c r="M16" s="26" t="s">
        <v>964</v>
      </c>
      <c r="N16" s="26" t="s">
        <v>913</v>
      </c>
    </row>
    <row r="17" spans="1:14" ht="24" customHeight="1" x14ac:dyDescent="0.2"/>
    <row r="18" spans="1:14" ht="24" customHeight="1" x14ac:dyDescent="0.2"/>
    <row r="19" spans="1:14" ht="24" customHeight="1" x14ac:dyDescent="0.2">
      <c r="A19" s="78" t="s">
        <v>965</v>
      </c>
      <c r="B19" s="76"/>
      <c r="C19" s="76"/>
      <c r="D19" s="76"/>
      <c r="E19" s="76"/>
      <c r="F19" s="76"/>
      <c r="G19" s="76"/>
      <c r="H19" s="76"/>
      <c r="I19" s="76"/>
      <c r="J19" s="76"/>
      <c r="K19" s="76"/>
      <c r="L19" s="76"/>
      <c r="M19" s="76"/>
      <c r="N19" s="76"/>
    </row>
    <row r="20" spans="1:14" ht="24" customHeight="1" x14ac:dyDescent="0.2">
      <c r="A20" s="26" t="s">
        <v>966</v>
      </c>
      <c r="B20" s="26">
        <v>2</v>
      </c>
      <c r="C20" s="26" t="s">
        <v>967</v>
      </c>
    </row>
    <row r="21" spans="1:14" ht="24" customHeight="1" x14ac:dyDescent="0.2">
      <c r="A21" s="26" t="s">
        <v>968</v>
      </c>
      <c r="B21" s="26">
        <v>4</v>
      </c>
      <c r="C21" s="26" t="s">
        <v>969</v>
      </c>
    </row>
    <row r="22" spans="1:14" ht="24" customHeight="1" x14ac:dyDescent="0.2">
      <c r="A22" s="26" t="s">
        <v>970</v>
      </c>
      <c r="B22" s="26">
        <v>1</v>
      </c>
      <c r="C22" s="26" t="s">
        <v>488</v>
      </c>
    </row>
    <row r="23" spans="1:14" ht="24" customHeight="1" x14ac:dyDescent="0.2">
      <c r="A23" s="26" t="s">
        <v>971</v>
      </c>
      <c r="B23" s="26">
        <v>2</v>
      </c>
      <c r="C23" s="26" t="s">
        <v>738</v>
      </c>
    </row>
    <row r="24" spans="1:14" ht="24" customHeight="1" x14ac:dyDescent="0.2">
      <c r="A24" s="26" t="s">
        <v>972</v>
      </c>
      <c r="B24" s="26">
        <v>2</v>
      </c>
      <c r="C24" s="26" t="s">
        <v>743</v>
      </c>
    </row>
    <row r="25" spans="1:14" ht="24" customHeight="1" x14ac:dyDescent="0.2">
      <c r="A25" s="26" t="s">
        <v>973</v>
      </c>
      <c r="B25" s="26">
        <v>1</v>
      </c>
      <c r="C25" s="26" t="s">
        <v>506</v>
      </c>
    </row>
    <row r="26" spans="1:14" ht="24" customHeight="1" x14ac:dyDescent="0.2">
      <c r="A26" s="26" t="s">
        <v>974</v>
      </c>
      <c r="B26" s="26">
        <v>1</v>
      </c>
      <c r="C26" s="26" t="s">
        <v>975</v>
      </c>
    </row>
    <row r="27" spans="1:14" ht="24" customHeight="1" x14ac:dyDescent="0.2">
      <c r="A27" s="26" t="s">
        <v>976</v>
      </c>
      <c r="B27" s="26">
        <v>9</v>
      </c>
      <c r="C27" s="26" t="s">
        <v>977</v>
      </c>
    </row>
  </sheetData>
  <mergeCells count="3">
    <mergeCell ref="A19:N19"/>
    <mergeCell ref="A2:N2"/>
    <mergeCell ref="A1:N1"/>
  </mergeCells>
  <pageMargins left="0.75" right="0.75" top="1" bottom="1" header="0.5" footer="0.5"/>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2"/>
  <sheetViews>
    <sheetView showGridLines="0" rightToLeft="1" workbookViewId="0">
      <pane ySplit="3" topLeftCell="A4" activePane="bottomLeft" state="frozen"/>
      <selection pane="bottomLeft"/>
    </sheetView>
  </sheetViews>
  <sheetFormatPr baseColWidth="10" defaultColWidth="8.83203125" defaultRowHeight="15" x14ac:dyDescent="0.2"/>
  <cols>
    <col min="1" max="1" width="42" customWidth="1"/>
    <col min="2" max="2" width="14.33203125" customWidth="1"/>
    <col min="3" max="3" width="24.83203125" customWidth="1"/>
    <col min="4" max="4" width="19.1640625" customWidth="1"/>
    <col min="5" max="5" width="30.5" customWidth="1"/>
    <col min="6" max="6" width="42" customWidth="1"/>
    <col min="7" max="7" width="38.1640625" customWidth="1"/>
  </cols>
  <sheetData>
    <row r="1" spans="1:7" ht="34" customHeight="1" x14ac:dyDescent="0.2">
      <c r="A1" s="79" t="s">
        <v>978</v>
      </c>
      <c r="B1" s="76"/>
      <c r="C1" s="76"/>
      <c r="D1" s="76"/>
      <c r="E1" s="76"/>
      <c r="F1" s="76"/>
      <c r="G1" s="76"/>
    </row>
    <row r="2" spans="1:7" ht="28" customHeight="1" x14ac:dyDescent="0.2">
      <c r="A2" s="78" t="s">
        <v>979</v>
      </c>
      <c r="B2" s="76"/>
      <c r="C2" s="76"/>
      <c r="D2" s="76"/>
      <c r="E2" s="76"/>
      <c r="F2" s="76"/>
      <c r="G2" s="76"/>
    </row>
    <row r="3" spans="1:7" ht="24" customHeight="1" x14ac:dyDescent="0.2">
      <c r="A3" s="27" t="s">
        <v>804</v>
      </c>
      <c r="B3" s="27" t="s">
        <v>980</v>
      </c>
      <c r="C3" s="27" t="s">
        <v>981</v>
      </c>
      <c r="D3" s="27" t="s">
        <v>982</v>
      </c>
      <c r="E3" s="27" t="s">
        <v>376</v>
      </c>
      <c r="F3" s="27" t="s">
        <v>4</v>
      </c>
      <c r="G3" s="27" t="s">
        <v>983</v>
      </c>
    </row>
    <row r="4" spans="1:7" ht="24" customHeight="1" x14ac:dyDescent="0.2">
      <c r="A4" s="26" t="s">
        <v>816</v>
      </c>
      <c r="B4" s="26" t="s">
        <v>449</v>
      </c>
      <c r="D4" s="26" t="s">
        <v>819</v>
      </c>
      <c r="E4" s="32" t="s">
        <v>820</v>
      </c>
      <c r="F4" s="26" t="s">
        <v>984</v>
      </c>
      <c r="G4" s="26" t="s">
        <v>727</v>
      </c>
    </row>
    <row r="5" spans="1:7" ht="24" customHeight="1" x14ac:dyDescent="0.2">
      <c r="A5" s="26" t="s">
        <v>826</v>
      </c>
      <c r="B5" s="26" t="s">
        <v>457</v>
      </c>
      <c r="C5" s="26" t="s">
        <v>985</v>
      </c>
      <c r="D5" s="26" t="s">
        <v>819</v>
      </c>
      <c r="E5" s="32" t="s">
        <v>820</v>
      </c>
      <c r="F5" s="26" t="s">
        <v>986</v>
      </c>
      <c r="G5" s="26" t="s">
        <v>987</v>
      </c>
    </row>
    <row r="6" spans="1:7" ht="24" customHeight="1" x14ac:dyDescent="0.2">
      <c r="A6" s="26" t="s">
        <v>831</v>
      </c>
      <c r="B6" s="26" t="s">
        <v>462</v>
      </c>
      <c r="D6" s="26" t="s">
        <v>832</v>
      </c>
      <c r="E6" s="30" t="s">
        <v>765</v>
      </c>
      <c r="F6" s="26" t="s">
        <v>988</v>
      </c>
      <c r="G6" s="26" t="s">
        <v>727</v>
      </c>
    </row>
    <row r="7" spans="1:7" ht="24" customHeight="1" x14ac:dyDescent="0.2">
      <c r="A7" s="26" t="s">
        <v>838</v>
      </c>
      <c r="B7" s="26" t="s">
        <v>467</v>
      </c>
      <c r="D7" s="26" t="s">
        <v>832</v>
      </c>
      <c r="E7" s="30" t="s">
        <v>765</v>
      </c>
      <c r="F7" s="26" t="s">
        <v>989</v>
      </c>
      <c r="G7" s="26" t="s">
        <v>727</v>
      </c>
    </row>
    <row r="8" spans="1:7" ht="24" customHeight="1" x14ac:dyDescent="0.2">
      <c r="A8" s="26" t="s">
        <v>842</v>
      </c>
      <c r="B8" s="26" t="s">
        <v>67</v>
      </c>
      <c r="D8" s="26" t="s">
        <v>339</v>
      </c>
      <c r="E8" s="34" t="s">
        <v>846</v>
      </c>
      <c r="F8" s="26" t="s">
        <v>990</v>
      </c>
      <c r="G8" s="26" t="s">
        <v>727</v>
      </c>
    </row>
    <row r="9" spans="1:7" ht="24" customHeight="1" x14ac:dyDescent="0.2">
      <c r="A9" s="26" t="s">
        <v>851</v>
      </c>
      <c r="B9" s="26" t="s">
        <v>478</v>
      </c>
      <c r="C9" s="26" t="s">
        <v>483</v>
      </c>
      <c r="D9" s="26" t="s">
        <v>832</v>
      </c>
      <c r="E9" s="30" t="s">
        <v>765</v>
      </c>
      <c r="F9" s="26" t="s">
        <v>991</v>
      </c>
      <c r="G9" s="26" t="s">
        <v>727</v>
      </c>
    </row>
    <row r="10" spans="1:7" ht="24" customHeight="1" x14ac:dyDescent="0.2">
      <c r="A10" s="26" t="s">
        <v>863</v>
      </c>
      <c r="B10" s="26" t="s">
        <v>488</v>
      </c>
      <c r="C10" s="26" t="s">
        <v>493</v>
      </c>
      <c r="D10" s="26" t="s">
        <v>865</v>
      </c>
      <c r="E10" s="35" t="s">
        <v>866</v>
      </c>
      <c r="F10" s="26" t="s">
        <v>992</v>
      </c>
      <c r="G10" s="26" t="s">
        <v>404</v>
      </c>
    </row>
    <row r="11" spans="1:7" ht="24" customHeight="1" x14ac:dyDescent="0.2">
      <c r="A11" s="26" t="s">
        <v>993</v>
      </c>
      <c r="B11" s="26" t="s">
        <v>501</v>
      </c>
      <c r="C11" s="26" t="s">
        <v>994</v>
      </c>
      <c r="D11" s="26" t="s">
        <v>832</v>
      </c>
      <c r="E11" s="30" t="s">
        <v>765</v>
      </c>
      <c r="F11" s="26" t="s">
        <v>995</v>
      </c>
      <c r="G11" s="26" t="s">
        <v>404</v>
      </c>
    </row>
    <row r="12" spans="1:7" ht="24" customHeight="1" x14ac:dyDescent="0.2">
      <c r="A12" s="26" t="s">
        <v>996</v>
      </c>
      <c r="B12" s="26" t="s">
        <v>506</v>
      </c>
      <c r="C12" s="26" t="s">
        <v>510</v>
      </c>
      <c r="D12" s="26" t="s">
        <v>888</v>
      </c>
      <c r="E12" s="33" t="s">
        <v>889</v>
      </c>
      <c r="F12" s="26" t="s">
        <v>997</v>
      </c>
      <c r="G12" s="26" t="s">
        <v>998</v>
      </c>
    </row>
  </sheetData>
  <mergeCells count="2">
    <mergeCell ref="A2:G2"/>
    <mergeCell ref="A1:G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I33"/>
  <sheetViews>
    <sheetView showGridLines="0" rightToLeft="1" zoomScaleNormal="100" workbookViewId="0">
      <pane ySplit="3" topLeftCell="A4" activePane="bottomLeft" state="frozen"/>
      <selection pane="bottomLeft"/>
    </sheetView>
  </sheetViews>
  <sheetFormatPr baseColWidth="10" defaultColWidth="8.6640625" defaultRowHeight="15" customHeight="1" x14ac:dyDescent="0.2"/>
  <cols>
    <col min="1" max="1" width="36.1640625" customWidth="1"/>
    <col min="2" max="2" width="16.33203125" customWidth="1"/>
    <col min="3" max="3" width="21" customWidth="1"/>
    <col min="4" max="4" width="23" customWidth="1"/>
    <col min="5" max="5" width="18.1640625" customWidth="1"/>
    <col min="6" max="6" width="14.33203125" customWidth="1"/>
    <col min="7" max="9" width="42" customWidth="1"/>
  </cols>
  <sheetData>
    <row r="1" spans="1:9" ht="34" customHeight="1" x14ac:dyDescent="0.2">
      <c r="A1" s="79" t="s">
        <v>999</v>
      </c>
      <c r="B1" s="76"/>
      <c r="C1" s="76"/>
      <c r="D1" s="76"/>
      <c r="E1" s="76"/>
      <c r="F1" s="76"/>
      <c r="G1" s="76"/>
      <c r="H1" s="76"/>
      <c r="I1" s="76"/>
    </row>
    <row r="2" spans="1:9" ht="28" customHeight="1" x14ac:dyDescent="0.2">
      <c r="A2" s="82" t="s">
        <v>1000</v>
      </c>
      <c r="B2" s="76"/>
      <c r="C2" s="76"/>
      <c r="D2" s="76"/>
      <c r="E2" s="76"/>
      <c r="F2" s="76"/>
      <c r="G2" s="76"/>
      <c r="H2" s="76"/>
      <c r="I2" s="76"/>
    </row>
    <row r="3" spans="1:9" ht="34" customHeight="1" x14ac:dyDescent="0.2">
      <c r="A3" s="28" t="s">
        <v>94</v>
      </c>
      <c r="B3" s="28" t="s">
        <v>1001</v>
      </c>
      <c r="C3" s="28" t="s">
        <v>1002</v>
      </c>
      <c r="D3" s="28" t="s">
        <v>1003</v>
      </c>
      <c r="E3" s="28" t="s">
        <v>1004</v>
      </c>
      <c r="F3" s="28" t="s">
        <v>1005</v>
      </c>
      <c r="G3" s="28" t="s">
        <v>1006</v>
      </c>
      <c r="H3" s="28" t="s">
        <v>107</v>
      </c>
      <c r="I3" s="28" t="s">
        <v>1007</v>
      </c>
    </row>
    <row r="4" spans="1:9" ht="24" customHeight="1" x14ac:dyDescent="0.2">
      <c r="A4" s="10" t="s">
        <v>109</v>
      </c>
      <c r="B4" s="9" t="s">
        <v>1008</v>
      </c>
      <c r="C4" s="10" t="s">
        <v>119</v>
      </c>
      <c r="D4" s="10" t="s">
        <v>1009</v>
      </c>
      <c r="E4" s="10" t="s">
        <v>1010</v>
      </c>
      <c r="F4" s="10" t="s">
        <v>1011</v>
      </c>
      <c r="G4" s="4" t="s">
        <v>1012</v>
      </c>
      <c r="H4" s="10" t="s">
        <v>1013</v>
      </c>
      <c r="I4" s="5" t="s">
        <v>113</v>
      </c>
    </row>
    <row r="5" spans="1:9" ht="24" customHeight="1" x14ac:dyDescent="0.2">
      <c r="A5" s="8" t="s">
        <v>117</v>
      </c>
      <c r="B5" s="9" t="s">
        <v>1014</v>
      </c>
      <c r="C5" s="8" t="s">
        <v>119</v>
      </c>
      <c r="D5" s="8" t="s">
        <v>1009</v>
      </c>
      <c r="E5" s="8" t="s">
        <v>1010</v>
      </c>
      <c r="F5" s="8" t="s">
        <v>1011</v>
      </c>
      <c r="G5" s="4" t="s">
        <v>1015</v>
      </c>
      <c r="H5" s="8" t="s">
        <v>1016</v>
      </c>
      <c r="I5" s="5" t="s">
        <v>113</v>
      </c>
    </row>
    <row r="6" spans="1:9" ht="24" customHeight="1" x14ac:dyDescent="0.2">
      <c r="A6" s="10" t="s">
        <v>126</v>
      </c>
      <c r="B6" s="9" t="s">
        <v>1008</v>
      </c>
      <c r="C6" s="10" t="s">
        <v>119</v>
      </c>
      <c r="D6" s="10" t="s">
        <v>1009</v>
      </c>
      <c r="E6" s="10" t="s">
        <v>1010</v>
      </c>
      <c r="F6" s="10" t="s">
        <v>1011</v>
      </c>
      <c r="G6" s="4" t="s">
        <v>1012</v>
      </c>
      <c r="H6" s="10" t="s">
        <v>1017</v>
      </c>
      <c r="I6" s="5" t="s">
        <v>129</v>
      </c>
    </row>
    <row r="7" spans="1:9" ht="24" customHeight="1" x14ac:dyDescent="0.2">
      <c r="A7" s="8" t="s">
        <v>131</v>
      </c>
      <c r="B7" s="9" t="s">
        <v>1014</v>
      </c>
      <c r="C7" s="8" t="s">
        <v>119</v>
      </c>
      <c r="D7" s="8" t="s">
        <v>1009</v>
      </c>
      <c r="E7" s="8" t="s">
        <v>1010</v>
      </c>
      <c r="F7" s="8" t="s">
        <v>1011</v>
      </c>
      <c r="G7" s="4" t="s">
        <v>1015</v>
      </c>
      <c r="H7" s="8" t="s">
        <v>1018</v>
      </c>
      <c r="I7" s="5" t="s">
        <v>1019</v>
      </c>
    </row>
    <row r="8" spans="1:9" ht="24" customHeight="1" x14ac:dyDescent="0.2">
      <c r="A8" s="10" t="s">
        <v>135</v>
      </c>
      <c r="B8" s="9" t="s">
        <v>1008</v>
      </c>
      <c r="C8" s="10" t="s">
        <v>119</v>
      </c>
      <c r="D8" s="10" t="s">
        <v>1009</v>
      </c>
      <c r="E8" s="10" t="s">
        <v>1010</v>
      </c>
      <c r="F8" s="10" t="s">
        <v>1011</v>
      </c>
      <c r="G8" s="4" t="s">
        <v>1012</v>
      </c>
      <c r="H8" s="10" t="s">
        <v>1020</v>
      </c>
      <c r="I8" s="5" t="s">
        <v>136</v>
      </c>
    </row>
    <row r="9" spans="1:9" ht="24" customHeight="1" x14ac:dyDescent="0.2">
      <c r="A9" s="8" t="s">
        <v>137</v>
      </c>
      <c r="B9" s="9" t="s">
        <v>1008</v>
      </c>
      <c r="C9" s="8" t="s">
        <v>119</v>
      </c>
      <c r="D9" s="8" t="s">
        <v>1009</v>
      </c>
      <c r="E9" s="8" t="s">
        <v>1021</v>
      </c>
      <c r="F9" s="8" t="s">
        <v>1022</v>
      </c>
      <c r="G9" s="4" t="s">
        <v>1023</v>
      </c>
      <c r="H9" s="8" t="s">
        <v>1024</v>
      </c>
      <c r="I9" s="5" t="s">
        <v>1025</v>
      </c>
    </row>
    <row r="10" spans="1:9" ht="24" customHeight="1" x14ac:dyDescent="0.2">
      <c r="A10" s="10" t="s">
        <v>140</v>
      </c>
      <c r="B10" s="9" t="s">
        <v>1008</v>
      </c>
      <c r="C10" s="10" t="s">
        <v>119</v>
      </c>
      <c r="D10" s="10" t="s">
        <v>1009</v>
      </c>
      <c r="E10" s="10" t="s">
        <v>1021</v>
      </c>
      <c r="F10" s="10" t="s">
        <v>1022</v>
      </c>
      <c r="G10" s="4" t="s">
        <v>1026</v>
      </c>
      <c r="H10" s="10" t="s">
        <v>1027</v>
      </c>
      <c r="I10" s="5" t="s">
        <v>141</v>
      </c>
    </row>
    <row r="11" spans="1:9" ht="24" customHeight="1" x14ac:dyDescent="0.2">
      <c r="A11" s="8" t="s">
        <v>143</v>
      </c>
      <c r="B11" s="9" t="s">
        <v>1008</v>
      </c>
      <c r="C11" s="8" t="s">
        <v>119</v>
      </c>
      <c r="D11" s="8" t="s">
        <v>1009</v>
      </c>
      <c r="E11" s="8" t="s">
        <v>1010</v>
      </c>
      <c r="F11" s="8" t="s">
        <v>1022</v>
      </c>
      <c r="G11" s="4" t="s">
        <v>1012</v>
      </c>
      <c r="H11" s="8" t="s">
        <v>1028</v>
      </c>
      <c r="I11" s="5" t="s">
        <v>144</v>
      </c>
    </row>
    <row r="12" spans="1:9" ht="24" customHeight="1" x14ac:dyDescent="0.2">
      <c r="A12" s="10" t="s">
        <v>20</v>
      </c>
      <c r="B12" s="9" t="s">
        <v>1029</v>
      </c>
      <c r="C12" s="10" t="s">
        <v>119</v>
      </c>
      <c r="D12" s="10" t="s">
        <v>1030</v>
      </c>
      <c r="E12" s="10" t="s">
        <v>1010</v>
      </c>
      <c r="F12" s="10" t="s">
        <v>1031</v>
      </c>
      <c r="G12" s="4" t="s">
        <v>1032</v>
      </c>
      <c r="H12" s="10" t="s">
        <v>1033</v>
      </c>
      <c r="I12" s="5" t="s">
        <v>1034</v>
      </c>
    </row>
    <row r="13" spans="1:9" ht="24" customHeight="1" x14ac:dyDescent="0.2">
      <c r="A13" s="8" t="s">
        <v>151</v>
      </c>
      <c r="B13" s="9" t="s">
        <v>1008</v>
      </c>
      <c r="C13" s="8" t="s">
        <v>119</v>
      </c>
      <c r="D13" s="8" t="s">
        <v>1009</v>
      </c>
      <c r="E13" s="8" t="s">
        <v>1021</v>
      </c>
      <c r="F13" s="8" t="s">
        <v>1031</v>
      </c>
      <c r="G13" s="4" t="s">
        <v>1026</v>
      </c>
      <c r="H13" s="8" t="s">
        <v>1035</v>
      </c>
      <c r="I13" s="5" t="s">
        <v>153</v>
      </c>
    </row>
    <row r="14" spans="1:9" ht="24" customHeight="1" x14ac:dyDescent="0.2">
      <c r="A14" s="10" t="s">
        <v>157</v>
      </c>
      <c r="B14" s="9" t="s">
        <v>1008</v>
      </c>
      <c r="C14" s="10" t="s">
        <v>119</v>
      </c>
      <c r="D14" s="10" t="s">
        <v>1009</v>
      </c>
      <c r="E14" s="10" t="s">
        <v>1010</v>
      </c>
      <c r="F14" s="10" t="s">
        <v>1031</v>
      </c>
      <c r="G14" s="4" t="s">
        <v>1036</v>
      </c>
      <c r="H14" s="10" t="s">
        <v>1037</v>
      </c>
      <c r="I14" s="5" t="s">
        <v>158</v>
      </c>
    </row>
    <row r="15" spans="1:9" ht="24" customHeight="1" x14ac:dyDescent="0.2">
      <c r="A15" s="8" t="s">
        <v>159</v>
      </c>
      <c r="B15" s="9" t="s">
        <v>1008</v>
      </c>
      <c r="C15" s="8" t="s">
        <v>119</v>
      </c>
      <c r="D15" s="8" t="s">
        <v>1009</v>
      </c>
      <c r="E15" s="8" t="s">
        <v>1010</v>
      </c>
      <c r="F15" s="8" t="s">
        <v>1038</v>
      </c>
      <c r="G15" s="4" t="s">
        <v>1039</v>
      </c>
      <c r="H15" s="8" t="s">
        <v>1040</v>
      </c>
      <c r="I15" s="5" t="s">
        <v>160</v>
      </c>
    </row>
    <row r="16" spans="1:9" ht="24" customHeight="1" x14ac:dyDescent="0.2">
      <c r="A16" s="10" t="s">
        <v>162</v>
      </c>
      <c r="B16" s="9" t="s">
        <v>1008</v>
      </c>
      <c r="C16" s="10" t="s">
        <v>119</v>
      </c>
      <c r="D16" s="10" t="s">
        <v>1009</v>
      </c>
      <c r="E16" s="10" t="s">
        <v>1010</v>
      </c>
      <c r="F16" s="10" t="s">
        <v>1038</v>
      </c>
      <c r="G16" s="4" t="s">
        <v>1039</v>
      </c>
      <c r="H16" s="10" t="s">
        <v>1041</v>
      </c>
      <c r="I16" s="5" t="s">
        <v>163</v>
      </c>
    </row>
    <row r="17" spans="1:9" ht="24" customHeight="1" x14ac:dyDescent="0.2">
      <c r="A17" s="8" t="s">
        <v>165</v>
      </c>
      <c r="B17" s="9" t="s">
        <v>1008</v>
      </c>
      <c r="C17" s="8" t="s">
        <v>119</v>
      </c>
      <c r="D17" s="8" t="s">
        <v>1009</v>
      </c>
      <c r="E17" s="8" t="s">
        <v>1010</v>
      </c>
      <c r="F17" s="8" t="s">
        <v>1038</v>
      </c>
      <c r="G17" s="4" t="s">
        <v>1039</v>
      </c>
      <c r="H17" s="8" t="s">
        <v>1041</v>
      </c>
      <c r="I17" s="5" t="s">
        <v>166</v>
      </c>
    </row>
    <row r="18" spans="1:9" ht="24" customHeight="1" x14ac:dyDescent="0.2">
      <c r="A18" s="10" t="s">
        <v>168</v>
      </c>
      <c r="B18" s="9" t="s">
        <v>1008</v>
      </c>
      <c r="C18" s="10" t="s">
        <v>119</v>
      </c>
      <c r="D18" s="10" t="s">
        <v>1009</v>
      </c>
      <c r="E18" s="10" t="s">
        <v>1042</v>
      </c>
      <c r="F18" s="10" t="s">
        <v>1038</v>
      </c>
      <c r="G18" s="4" t="s">
        <v>1043</v>
      </c>
      <c r="H18" s="10" t="s">
        <v>1044</v>
      </c>
      <c r="I18" s="5" t="s">
        <v>169</v>
      </c>
    </row>
    <row r="19" spans="1:9" ht="24" customHeight="1" x14ac:dyDescent="0.2">
      <c r="A19" s="8" t="s">
        <v>171</v>
      </c>
      <c r="B19" s="9" t="s">
        <v>1008</v>
      </c>
      <c r="C19" s="8" t="s">
        <v>119</v>
      </c>
      <c r="D19" s="8" t="s">
        <v>1009</v>
      </c>
      <c r="E19" s="8" t="s">
        <v>1010</v>
      </c>
      <c r="F19" s="8" t="s">
        <v>1045</v>
      </c>
      <c r="G19" s="4" t="s">
        <v>1046</v>
      </c>
      <c r="H19" s="8" t="s">
        <v>1047</v>
      </c>
      <c r="I19" s="5" t="s">
        <v>172</v>
      </c>
    </row>
    <row r="20" spans="1:9" ht="24" customHeight="1" x14ac:dyDescent="0.2">
      <c r="A20" s="10" t="s">
        <v>174</v>
      </c>
      <c r="B20" s="9" t="s">
        <v>1014</v>
      </c>
      <c r="C20" s="10" t="s">
        <v>119</v>
      </c>
      <c r="D20" s="10" t="s">
        <v>1009</v>
      </c>
      <c r="E20" s="10" t="s">
        <v>1010</v>
      </c>
      <c r="F20" s="10" t="s">
        <v>1045</v>
      </c>
      <c r="G20" s="4" t="s">
        <v>1015</v>
      </c>
      <c r="H20" s="10" t="s">
        <v>1048</v>
      </c>
      <c r="I20" s="5" t="s">
        <v>1049</v>
      </c>
    </row>
    <row r="21" spans="1:9" ht="24" customHeight="1" x14ac:dyDescent="0.2">
      <c r="A21" s="8" t="s">
        <v>179</v>
      </c>
      <c r="B21" s="9" t="s">
        <v>1008</v>
      </c>
      <c r="C21" s="8" t="s">
        <v>119</v>
      </c>
      <c r="D21" s="8" t="s">
        <v>1009</v>
      </c>
      <c r="E21" s="8" t="s">
        <v>1010</v>
      </c>
      <c r="F21" s="8" t="s">
        <v>1045</v>
      </c>
      <c r="G21" s="4" t="s">
        <v>1039</v>
      </c>
      <c r="H21" s="8" t="s">
        <v>1050</v>
      </c>
      <c r="I21" s="5" t="s">
        <v>180</v>
      </c>
    </row>
    <row r="22" spans="1:9" ht="24" customHeight="1" x14ac:dyDescent="0.2">
      <c r="A22" s="10" t="s">
        <v>182</v>
      </c>
      <c r="B22" s="9" t="s">
        <v>1014</v>
      </c>
      <c r="C22" s="10" t="s">
        <v>119</v>
      </c>
      <c r="D22" s="10" t="s">
        <v>1009</v>
      </c>
      <c r="E22" s="10" t="s">
        <v>1010</v>
      </c>
      <c r="F22" s="10" t="s">
        <v>1045</v>
      </c>
      <c r="G22" s="4" t="s">
        <v>1015</v>
      </c>
      <c r="H22" s="10" t="s">
        <v>1051</v>
      </c>
      <c r="I22" s="5" t="s">
        <v>1052</v>
      </c>
    </row>
    <row r="23" spans="1:9" ht="24" customHeight="1" x14ac:dyDescent="0.2">
      <c r="A23" s="8" t="s">
        <v>187</v>
      </c>
      <c r="B23" s="9" t="s">
        <v>1008</v>
      </c>
      <c r="C23" s="8" t="s">
        <v>119</v>
      </c>
      <c r="D23" s="8" t="s">
        <v>1009</v>
      </c>
      <c r="E23" s="8" t="s">
        <v>1010</v>
      </c>
      <c r="F23" s="8" t="s">
        <v>1053</v>
      </c>
      <c r="G23" s="4" t="s">
        <v>1054</v>
      </c>
      <c r="H23" s="8" t="s">
        <v>1055</v>
      </c>
      <c r="I23" s="5" t="s">
        <v>188</v>
      </c>
    </row>
    <row r="24" spans="1:9" ht="24" customHeight="1" x14ac:dyDescent="0.2">
      <c r="A24" s="10" t="s">
        <v>190</v>
      </c>
      <c r="B24" s="9" t="s">
        <v>1014</v>
      </c>
      <c r="C24" s="10" t="s">
        <v>119</v>
      </c>
      <c r="D24" s="10" t="s">
        <v>1009</v>
      </c>
      <c r="E24" s="10" t="s">
        <v>1010</v>
      </c>
      <c r="F24" s="10" t="s">
        <v>1053</v>
      </c>
      <c r="G24" s="4" t="s">
        <v>1015</v>
      </c>
      <c r="H24" s="10" t="s">
        <v>1056</v>
      </c>
      <c r="I24" s="5" t="s">
        <v>1057</v>
      </c>
    </row>
    <row r="25" spans="1:9" ht="24" customHeight="1" x14ac:dyDescent="0.2">
      <c r="A25" s="8" t="s">
        <v>196</v>
      </c>
      <c r="B25" s="9" t="s">
        <v>1008</v>
      </c>
      <c r="C25" s="8" t="s">
        <v>119</v>
      </c>
      <c r="D25" s="8" t="s">
        <v>1009</v>
      </c>
      <c r="E25" s="8" t="s">
        <v>1010</v>
      </c>
      <c r="F25" s="8" t="s">
        <v>1053</v>
      </c>
      <c r="G25" s="4" t="s">
        <v>1058</v>
      </c>
      <c r="H25" s="8" t="s">
        <v>1059</v>
      </c>
      <c r="I25" s="5" t="s">
        <v>197</v>
      </c>
    </row>
    <row r="26" spans="1:9" ht="24" customHeight="1" x14ac:dyDescent="0.2">
      <c r="A26" s="10" t="s">
        <v>199</v>
      </c>
      <c r="B26" s="9" t="s">
        <v>1008</v>
      </c>
      <c r="C26" s="10" t="s">
        <v>119</v>
      </c>
      <c r="D26" s="10" t="s">
        <v>1009</v>
      </c>
      <c r="E26" s="10" t="s">
        <v>1010</v>
      </c>
      <c r="F26" s="10" t="s">
        <v>1053</v>
      </c>
      <c r="G26" s="4" t="s">
        <v>1060</v>
      </c>
      <c r="H26" s="10" t="s">
        <v>1061</v>
      </c>
      <c r="I26" s="5" t="s">
        <v>200</v>
      </c>
    </row>
    <row r="27" spans="1:9" ht="24" customHeight="1" x14ac:dyDescent="0.2">
      <c r="A27" s="8" t="s">
        <v>202</v>
      </c>
      <c r="B27" s="9" t="s">
        <v>1014</v>
      </c>
      <c r="C27" s="8" t="s">
        <v>119</v>
      </c>
      <c r="D27" s="8" t="s">
        <v>1009</v>
      </c>
      <c r="E27" s="8" t="s">
        <v>1010</v>
      </c>
      <c r="F27" s="8" t="s">
        <v>1062</v>
      </c>
      <c r="G27" s="4" t="s">
        <v>1039</v>
      </c>
      <c r="H27" s="8" t="s">
        <v>1063</v>
      </c>
      <c r="I27" s="5" t="s">
        <v>1064</v>
      </c>
    </row>
    <row r="28" spans="1:9" ht="24" customHeight="1" x14ac:dyDescent="0.2">
      <c r="A28" s="10" t="s">
        <v>206</v>
      </c>
      <c r="B28" s="9" t="s">
        <v>1008</v>
      </c>
      <c r="C28" s="10" t="s">
        <v>119</v>
      </c>
      <c r="D28" s="10" t="s">
        <v>1009</v>
      </c>
      <c r="E28" s="10" t="s">
        <v>1010</v>
      </c>
      <c r="F28" s="10" t="s">
        <v>1062</v>
      </c>
      <c r="G28" s="4" t="s">
        <v>1065</v>
      </c>
      <c r="H28" s="10" t="s">
        <v>1066</v>
      </c>
      <c r="I28" s="5" t="s">
        <v>207</v>
      </c>
    </row>
    <row r="29" spans="1:9" ht="24" customHeight="1" x14ac:dyDescent="0.2">
      <c r="A29" s="8" t="s">
        <v>209</v>
      </c>
      <c r="B29" s="9" t="s">
        <v>1008</v>
      </c>
      <c r="C29" s="8" t="s">
        <v>119</v>
      </c>
      <c r="D29" s="8" t="s">
        <v>1030</v>
      </c>
      <c r="E29" s="8" t="s">
        <v>1010</v>
      </c>
      <c r="F29" s="8" t="s">
        <v>1062</v>
      </c>
      <c r="G29" s="4" t="s">
        <v>1039</v>
      </c>
      <c r="H29" s="8" t="s">
        <v>1067</v>
      </c>
      <c r="I29" s="5" t="s">
        <v>210</v>
      </c>
    </row>
    <row r="30" spans="1:9" ht="24" customHeight="1" x14ac:dyDescent="0.2">
      <c r="A30" s="10" t="s">
        <v>212</v>
      </c>
      <c r="B30" s="9" t="s">
        <v>1008</v>
      </c>
      <c r="C30" s="10" t="s">
        <v>119</v>
      </c>
      <c r="D30" s="10" t="s">
        <v>1030</v>
      </c>
      <c r="E30" s="10" t="s">
        <v>1010</v>
      </c>
      <c r="F30" s="10" t="s">
        <v>1062</v>
      </c>
      <c r="G30" s="4" t="s">
        <v>1046</v>
      </c>
      <c r="H30" s="10" t="s">
        <v>1067</v>
      </c>
      <c r="I30" s="5" t="s">
        <v>213</v>
      </c>
    </row>
    <row r="31" spans="1:9" ht="24" customHeight="1" x14ac:dyDescent="0.2">
      <c r="A31" s="8" t="s">
        <v>24</v>
      </c>
      <c r="B31" s="13" t="s">
        <v>1068</v>
      </c>
      <c r="C31" s="8" t="s">
        <v>119</v>
      </c>
      <c r="D31" s="8" t="s">
        <v>1069</v>
      </c>
      <c r="E31" s="8" t="s">
        <v>1070</v>
      </c>
      <c r="F31" s="8" t="s">
        <v>1062</v>
      </c>
      <c r="G31" s="4" t="s">
        <v>1071</v>
      </c>
      <c r="H31" s="8" t="s">
        <v>1072</v>
      </c>
      <c r="I31" s="5" t="s">
        <v>215</v>
      </c>
    </row>
    <row r="32" spans="1:9" ht="24" customHeight="1" x14ac:dyDescent="0.2">
      <c r="A32" s="10" t="s">
        <v>28</v>
      </c>
      <c r="B32" s="14" t="s">
        <v>1068</v>
      </c>
      <c r="C32" s="10" t="s">
        <v>111</v>
      </c>
      <c r="D32" s="10" t="s">
        <v>1030</v>
      </c>
      <c r="E32" s="10" t="s">
        <v>1073</v>
      </c>
      <c r="F32" s="10" t="s">
        <v>1074</v>
      </c>
      <c r="G32" s="4" t="s">
        <v>1075</v>
      </c>
      <c r="H32" s="10" t="s">
        <v>1076</v>
      </c>
      <c r="I32" s="5" t="s">
        <v>219</v>
      </c>
    </row>
    <row r="33" spans="1:9" ht="24" customHeight="1" x14ac:dyDescent="0.2">
      <c r="A33" s="8" t="s">
        <v>222</v>
      </c>
      <c r="B33" s="14" t="s">
        <v>1014</v>
      </c>
      <c r="C33" s="8" t="s">
        <v>119</v>
      </c>
      <c r="D33" s="8" t="s">
        <v>1009</v>
      </c>
      <c r="E33" s="8" t="s">
        <v>1010</v>
      </c>
      <c r="F33" s="8" t="s">
        <v>1074</v>
      </c>
      <c r="G33" s="4" t="s">
        <v>1015</v>
      </c>
      <c r="H33" s="8" t="s">
        <v>1077</v>
      </c>
      <c r="I33" s="5" t="s">
        <v>1078</v>
      </c>
    </row>
  </sheetData>
  <autoFilter ref="A3:I33" xr:uid="{00000000-0009-0000-0000-00000D000000}"/>
  <mergeCells count="2">
    <mergeCell ref="A1:I1"/>
    <mergeCell ref="A2:I2"/>
  </mergeCells>
  <pageMargins left="0.25" right="0.25" top="0.4" bottom="0.4" header="0.511811023622047" footer="0.511811023622047"/>
  <pageSetup fitToHeight="0" orientation="portrait" horizontalDpi="300" verticalDpi="30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A33"/>
  <sheetViews>
    <sheetView showGridLines="0" rightToLeft="1" zoomScaleNormal="100" workbookViewId="0">
      <pane ySplit="3" topLeftCell="A4" activePane="bottomLeft" state="frozen"/>
      <selection pane="bottomLeft"/>
    </sheetView>
  </sheetViews>
  <sheetFormatPr baseColWidth="10" defaultColWidth="8.6640625" defaultRowHeight="15" customHeight="1" x14ac:dyDescent="0.2"/>
  <cols>
    <col min="1" max="1" width="42" customWidth="1"/>
    <col min="2" max="2" width="14.33203125" customWidth="1"/>
    <col min="3" max="3" width="18.1640625" customWidth="1"/>
    <col min="4" max="4" width="42" customWidth="1"/>
    <col min="5" max="5" width="21" customWidth="1"/>
    <col min="6" max="6" width="33.33203125" customWidth="1"/>
    <col min="7" max="8" width="16.33203125" customWidth="1"/>
    <col min="9" max="9" width="42" customWidth="1"/>
    <col min="10" max="11" width="20.1640625" customWidth="1"/>
    <col min="12" max="12" width="42" customWidth="1"/>
    <col min="13" max="14" width="22" customWidth="1"/>
    <col min="15" max="15" width="42" customWidth="1"/>
    <col min="16" max="17" width="15.33203125" customWidth="1"/>
    <col min="18" max="18" width="42" customWidth="1"/>
    <col min="19" max="20" width="11.5" customWidth="1"/>
    <col min="21" max="21" width="42" customWidth="1"/>
    <col min="22" max="22" width="12.5" customWidth="1"/>
    <col min="23" max="23" width="42" customWidth="1"/>
    <col min="24" max="24" width="23" customWidth="1"/>
    <col min="25" max="27" width="42" customWidth="1"/>
  </cols>
  <sheetData>
    <row r="1" spans="1:27" ht="34" customHeight="1" x14ac:dyDescent="0.2">
      <c r="A1" s="79" t="s">
        <v>1079</v>
      </c>
      <c r="B1" s="76"/>
      <c r="C1" s="76"/>
      <c r="D1" s="76"/>
      <c r="E1" s="76"/>
      <c r="F1" s="76"/>
      <c r="G1" s="76"/>
      <c r="H1" s="76"/>
      <c r="I1" s="76"/>
      <c r="J1" s="76"/>
      <c r="K1" s="76"/>
      <c r="L1" s="76"/>
      <c r="M1" s="76"/>
      <c r="N1" s="76"/>
      <c r="O1" s="76"/>
      <c r="P1" s="76"/>
      <c r="Q1" s="76"/>
      <c r="R1" s="76"/>
      <c r="S1" s="76"/>
      <c r="T1" s="76"/>
      <c r="U1" s="76"/>
      <c r="V1" s="76"/>
      <c r="W1" s="76"/>
      <c r="X1" s="76"/>
      <c r="Y1" s="76"/>
      <c r="Z1" s="76"/>
      <c r="AA1" s="76"/>
    </row>
    <row r="2" spans="1:27" ht="28" customHeight="1" x14ac:dyDescent="0.2">
      <c r="A2" s="82" t="s">
        <v>1080</v>
      </c>
      <c r="B2" s="76"/>
      <c r="C2" s="76"/>
      <c r="D2" s="76"/>
      <c r="E2" s="76"/>
      <c r="F2" s="76"/>
      <c r="G2" s="76"/>
      <c r="H2" s="76"/>
      <c r="I2" s="76"/>
      <c r="J2" s="76"/>
      <c r="K2" s="76"/>
      <c r="L2" s="76"/>
      <c r="M2" s="76"/>
      <c r="N2" s="76"/>
      <c r="O2" s="76"/>
      <c r="P2" s="76"/>
      <c r="Q2" s="76"/>
      <c r="R2" s="76"/>
      <c r="S2" s="76"/>
      <c r="T2" s="76"/>
      <c r="U2" s="76"/>
      <c r="V2" s="76"/>
      <c r="W2" s="76"/>
      <c r="X2" s="76"/>
      <c r="Y2" s="76"/>
      <c r="Z2" s="76"/>
      <c r="AA2" s="76"/>
    </row>
    <row r="3" spans="1:27" ht="34" customHeight="1" x14ac:dyDescent="0.2">
      <c r="A3" s="28" t="s">
        <v>94</v>
      </c>
      <c r="B3" s="28" t="s">
        <v>1081</v>
      </c>
      <c r="C3" s="28" t="s">
        <v>1082</v>
      </c>
      <c r="D3" s="28" t="s">
        <v>1083</v>
      </c>
      <c r="E3" s="28" t="s">
        <v>1002</v>
      </c>
      <c r="F3" s="28" t="s">
        <v>1084</v>
      </c>
      <c r="G3" s="28" t="s">
        <v>1085</v>
      </c>
      <c r="H3" s="28" t="s">
        <v>1086</v>
      </c>
      <c r="I3" s="28" t="s">
        <v>1087</v>
      </c>
      <c r="J3" s="28" t="s">
        <v>1088</v>
      </c>
      <c r="K3" s="28" t="s">
        <v>1089</v>
      </c>
      <c r="L3" s="28" t="s">
        <v>1090</v>
      </c>
      <c r="M3" s="28" t="s">
        <v>1091</v>
      </c>
      <c r="N3" s="28" t="s">
        <v>1092</v>
      </c>
      <c r="O3" s="28" t="s">
        <v>511</v>
      </c>
      <c r="P3" s="28" t="s">
        <v>1093</v>
      </c>
      <c r="Q3" s="28" t="s">
        <v>1094</v>
      </c>
      <c r="R3" s="28" t="s">
        <v>516</v>
      </c>
      <c r="S3" s="28" t="s">
        <v>1095</v>
      </c>
      <c r="T3" s="28" t="s">
        <v>1096</v>
      </c>
      <c r="U3" s="28" t="s">
        <v>1097</v>
      </c>
      <c r="V3" s="28" t="s">
        <v>951</v>
      </c>
      <c r="W3" s="28" t="s">
        <v>107</v>
      </c>
      <c r="X3" s="28" t="s">
        <v>702</v>
      </c>
      <c r="Y3" s="28" t="s">
        <v>936</v>
      </c>
      <c r="Z3" s="28" t="s">
        <v>1098</v>
      </c>
      <c r="AA3" s="28" t="s">
        <v>1099</v>
      </c>
    </row>
    <row r="4" spans="1:27" ht="24" customHeight="1" x14ac:dyDescent="0.2">
      <c r="A4" s="10" t="s">
        <v>109</v>
      </c>
      <c r="B4" s="10" t="s">
        <v>1011</v>
      </c>
      <c r="C4" s="10" t="s">
        <v>1010</v>
      </c>
      <c r="D4" s="4" t="s">
        <v>1012</v>
      </c>
      <c r="E4" s="10" t="s">
        <v>119</v>
      </c>
      <c r="F4" s="10" t="s">
        <v>119</v>
      </c>
      <c r="G4" s="10">
        <v>0</v>
      </c>
      <c r="H4" s="10">
        <v>5</v>
      </c>
      <c r="I4" s="11">
        <f t="shared" ref="I4:I33" si="0">IF(AND(ISNUMBER(G4),ISNUMBER(H4),H4&gt;0),G4/H4,"")</f>
        <v>0</v>
      </c>
      <c r="J4" s="10">
        <v>0</v>
      </c>
      <c r="K4" s="10">
        <v>5</v>
      </c>
      <c r="L4" s="11">
        <f t="shared" ref="L4:L33" si="1">IF(AND(ISNUMBER(J4),ISNUMBER(K4),K4&gt;0),J4/K4,"")</f>
        <v>0</v>
      </c>
      <c r="M4" s="10">
        <v>0</v>
      </c>
      <c r="N4" s="10">
        <v>5</v>
      </c>
      <c r="O4" s="11">
        <f t="shared" ref="O4:O33" si="2">IF(AND(ISNUMBER(M4),ISNUMBER(N4),N4&gt;0),M4/N4,"")</f>
        <v>0</v>
      </c>
      <c r="P4" s="10">
        <v>0</v>
      </c>
      <c r="Q4" s="10">
        <v>5</v>
      </c>
      <c r="R4" s="11">
        <f t="shared" ref="R4:R33" si="3">IF(AND(ISNUMBER(P4),ISNUMBER(Q4),Q4&gt;0),P4/Q4,"")</f>
        <v>0</v>
      </c>
      <c r="S4" s="10">
        <v>5</v>
      </c>
      <c r="T4" s="10">
        <v>5</v>
      </c>
      <c r="U4" s="11">
        <f t="shared" ref="U4:U33" si="4">IF(AND(ISNUMBER(S4),ISNUMBER(T4),T4&gt;0),S4/T4,"")</f>
        <v>1</v>
      </c>
      <c r="V4" s="10" t="s">
        <v>111</v>
      </c>
      <c r="W4" s="10" t="s">
        <v>1013</v>
      </c>
      <c r="X4" s="9" t="s">
        <v>1008</v>
      </c>
      <c r="Y4" s="4" t="s">
        <v>1100</v>
      </c>
      <c r="Z4" s="5" t="s">
        <v>113</v>
      </c>
      <c r="AA4" s="5" t="s">
        <v>114</v>
      </c>
    </row>
    <row r="5" spans="1:27" ht="24" customHeight="1" x14ac:dyDescent="0.2">
      <c r="A5" s="8" t="s">
        <v>117</v>
      </c>
      <c r="B5" s="8" t="s">
        <v>1011</v>
      </c>
      <c r="C5" s="8" t="s">
        <v>1010</v>
      </c>
      <c r="D5" s="4" t="s">
        <v>1015</v>
      </c>
      <c r="E5" s="8" t="s">
        <v>119</v>
      </c>
      <c r="F5" s="8" t="s">
        <v>119</v>
      </c>
      <c r="G5" s="8">
        <v>3</v>
      </c>
      <c r="H5" s="8">
        <v>5</v>
      </c>
      <c r="I5" s="12">
        <f t="shared" si="0"/>
        <v>0.6</v>
      </c>
      <c r="J5" s="8">
        <v>3</v>
      </c>
      <c r="K5" s="8">
        <v>5</v>
      </c>
      <c r="L5" s="12">
        <f t="shared" si="1"/>
        <v>0.6</v>
      </c>
      <c r="M5" s="8">
        <v>0</v>
      </c>
      <c r="N5" s="8">
        <v>5</v>
      </c>
      <c r="O5" s="12">
        <f t="shared" si="2"/>
        <v>0</v>
      </c>
      <c r="P5" s="8">
        <v>3</v>
      </c>
      <c r="Q5" s="8">
        <v>5</v>
      </c>
      <c r="R5" s="12">
        <f t="shared" si="3"/>
        <v>0.6</v>
      </c>
      <c r="S5" s="8">
        <v>2</v>
      </c>
      <c r="T5" s="8">
        <v>5</v>
      </c>
      <c r="U5" s="12">
        <f t="shared" si="4"/>
        <v>0.4</v>
      </c>
      <c r="V5" s="8" t="s">
        <v>119</v>
      </c>
      <c r="W5" s="8" t="s">
        <v>1101</v>
      </c>
      <c r="X5" s="9" t="s">
        <v>1014</v>
      </c>
      <c r="Y5" s="4" t="s">
        <v>1100</v>
      </c>
      <c r="Z5" s="5" t="s">
        <v>1102</v>
      </c>
      <c r="AA5" s="5" t="s">
        <v>1103</v>
      </c>
    </row>
    <row r="6" spans="1:27" ht="24" customHeight="1" x14ac:dyDescent="0.2">
      <c r="A6" s="10" t="s">
        <v>126</v>
      </c>
      <c r="B6" s="10" t="s">
        <v>1011</v>
      </c>
      <c r="C6" s="10" t="s">
        <v>1010</v>
      </c>
      <c r="D6" s="4" t="s">
        <v>1012</v>
      </c>
      <c r="E6" s="10" t="s">
        <v>119</v>
      </c>
      <c r="F6" s="10" t="s">
        <v>119</v>
      </c>
      <c r="G6" s="10">
        <v>3</v>
      </c>
      <c r="H6" s="10">
        <v>5</v>
      </c>
      <c r="I6" s="11">
        <f t="shared" si="0"/>
        <v>0.6</v>
      </c>
      <c r="J6" s="10">
        <v>3</v>
      </c>
      <c r="K6" s="10">
        <v>5</v>
      </c>
      <c r="L6" s="11">
        <f t="shared" si="1"/>
        <v>0.6</v>
      </c>
      <c r="M6" s="10">
        <v>0</v>
      </c>
      <c r="N6" s="10">
        <v>5</v>
      </c>
      <c r="O6" s="11">
        <f t="shared" si="2"/>
        <v>0</v>
      </c>
      <c r="P6" s="10">
        <v>3</v>
      </c>
      <c r="Q6" s="10">
        <v>5</v>
      </c>
      <c r="R6" s="11">
        <f t="shared" si="3"/>
        <v>0.6</v>
      </c>
      <c r="S6" s="10">
        <v>2</v>
      </c>
      <c r="T6" s="10">
        <v>5</v>
      </c>
      <c r="U6" s="11">
        <f t="shared" si="4"/>
        <v>0.4</v>
      </c>
      <c r="V6" s="10" t="s">
        <v>119</v>
      </c>
      <c r="W6" s="10" t="s">
        <v>1104</v>
      </c>
      <c r="X6" s="9" t="s">
        <v>1105</v>
      </c>
      <c r="Y6" s="4" t="s">
        <v>1100</v>
      </c>
      <c r="Z6" s="5" t="s">
        <v>129</v>
      </c>
      <c r="AA6" s="5" t="s">
        <v>114</v>
      </c>
    </row>
    <row r="7" spans="1:27" ht="24" customHeight="1" x14ac:dyDescent="0.2">
      <c r="A7" s="8" t="s">
        <v>131</v>
      </c>
      <c r="B7" s="8" t="s">
        <v>1011</v>
      </c>
      <c r="C7" s="8" t="s">
        <v>1010</v>
      </c>
      <c r="D7" s="4" t="s">
        <v>1015</v>
      </c>
      <c r="E7" s="8" t="s">
        <v>119</v>
      </c>
      <c r="F7" s="8" t="s">
        <v>119</v>
      </c>
      <c r="G7" s="8">
        <v>1</v>
      </c>
      <c r="H7" s="8">
        <v>5</v>
      </c>
      <c r="I7" s="12">
        <f t="shared" si="0"/>
        <v>0.2</v>
      </c>
      <c r="J7" s="8">
        <v>1</v>
      </c>
      <c r="K7" s="8">
        <v>5</v>
      </c>
      <c r="L7" s="12">
        <f t="shared" si="1"/>
        <v>0.2</v>
      </c>
      <c r="M7" s="8">
        <v>0</v>
      </c>
      <c r="N7" s="8">
        <v>5</v>
      </c>
      <c r="O7" s="12">
        <f t="shared" si="2"/>
        <v>0</v>
      </c>
      <c r="P7" s="8">
        <v>1</v>
      </c>
      <c r="Q7" s="8">
        <v>5</v>
      </c>
      <c r="R7" s="12">
        <f t="shared" si="3"/>
        <v>0.2</v>
      </c>
      <c r="S7" s="8">
        <v>4</v>
      </c>
      <c r="T7" s="8">
        <v>5</v>
      </c>
      <c r="U7" s="12">
        <f t="shared" si="4"/>
        <v>0.8</v>
      </c>
      <c r="V7" s="8" t="s">
        <v>111</v>
      </c>
      <c r="W7" s="8" t="s">
        <v>1106</v>
      </c>
      <c r="X7" s="9" t="s">
        <v>1014</v>
      </c>
      <c r="Y7" s="4" t="s">
        <v>1100</v>
      </c>
      <c r="Z7" s="5" t="s">
        <v>1107</v>
      </c>
      <c r="AA7" s="5" t="s">
        <v>1108</v>
      </c>
    </row>
    <row r="8" spans="1:27" ht="24" customHeight="1" x14ac:dyDescent="0.2">
      <c r="A8" s="10" t="s">
        <v>135</v>
      </c>
      <c r="B8" s="10" t="s">
        <v>1011</v>
      </c>
      <c r="C8" s="10" t="s">
        <v>1010</v>
      </c>
      <c r="D8" s="4" t="s">
        <v>1012</v>
      </c>
      <c r="E8" s="10" t="s">
        <v>119</v>
      </c>
      <c r="F8" s="10" t="s">
        <v>119</v>
      </c>
      <c r="G8" s="10">
        <v>2</v>
      </c>
      <c r="H8" s="10">
        <v>3</v>
      </c>
      <c r="I8" s="11">
        <f t="shared" si="0"/>
        <v>0.66666666666666663</v>
      </c>
      <c r="J8" s="10">
        <v>2</v>
      </c>
      <c r="K8" s="10">
        <v>3</v>
      </c>
      <c r="L8" s="11">
        <f t="shared" si="1"/>
        <v>0.66666666666666663</v>
      </c>
      <c r="M8" s="10">
        <v>0</v>
      </c>
      <c r="N8" s="10">
        <v>3</v>
      </c>
      <c r="O8" s="11">
        <f t="shared" si="2"/>
        <v>0</v>
      </c>
      <c r="P8" s="10">
        <v>2</v>
      </c>
      <c r="Q8" s="10">
        <v>4</v>
      </c>
      <c r="R8" s="11">
        <f t="shared" si="3"/>
        <v>0.5</v>
      </c>
      <c r="S8" s="10">
        <v>1</v>
      </c>
      <c r="T8" s="10">
        <v>3</v>
      </c>
      <c r="U8" s="11">
        <f t="shared" si="4"/>
        <v>0.33333333333333331</v>
      </c>
      <c r="V8" s="10" t="s">
        <v>119</v>
      </c>
      <c r="W8" s="10" t="s">
        <v>1020</v>
      </c>
      <c r="X8" s="9" t="s">
        <v>1008</v>
      </c>
      <c r="Y8" s="4" t="s">
        <v>1100</v>
      </c>
      <c r="Z8" s="5" t="s">
        <v>136</v>
      </c>
      <c r="AA8" s="5" t="s">
        <v>114</v>
      </c>
    </row>
    <row r="9" spans="1:27" ht="24" customHeight="1" x14ac:dyDescent="0.2">
      <c r="A9" s="8" t="s">
        <v>137</v>
      </c>
      <c r="B9" s="8" t="s">
        <v>1022</v>
      </c>
      <c r="C9" s="8" t="s">
        <v>1021</v>
      </c>
      <c r="D9" s="4" t="s">
        <v>1023</v>
      </c>
      <c r="E9" s="8" t="s">
        <v>119</v>
      </c>
      <c r="F9" s="8" t="s">
        <v>119</v>
      </c>
      <c r="G9" s="8">
        <v>2</v>
      </c>
      <c r="H9" s="8">
        <v>5</v>
      </c>
      <c r="I9" s="12">
        <f t="shared" si="0"/>
        <v>0.4</v>
      </c>
      <c r="J9" s="8">
        <v>0</v>
      </c>
      <c r="K9" s="8">
        <v>3</v>
      </c>
      <c r="L9" s="12">
        <f t="shared" si="1"/>
        <v>0</v>
      </c>
      <c r="M9" s="8">
        <v>2</v>
      </c>
      <c r="N9" s="8">
        <v>5</v>
      </c>
      <c r="O9" s="12">
        <f t="shared" si="2"/>
        <v>0.4</v>
      </c>
      <c r="P9" s="8">
        <v>2</v>
      </c>
      <c r="Q9" s="8">
        <v>5</v>
      </c>
      <c r="R9" s="12">
        <f t="shared" si="3"/>
        <v>0.4</v>
      </c>
      <c r="S9" s="8">
        <v>3</v>
      </c>
      <c r="T9" s="8">
        <v>5</v>
      </c>
      <c r="U9" s="12">
        <f t="shared" si="4"/>
        <v>0.6</v>
      </c>
      <c r="V9" s="8" t="s">
        <v>119</v>
      </c>
      <c r="W9" s="8" t="s">
        <v>1024</v>
      </c>
      <c r="X9" s="9" t="s">
        <v>1008</v>
      </c>
      <c r="Y9" s="4" t="s">
        <v>1100</v>
      </c>
      <c r="Z9" s="5" t="s">
        <v>1025</v>
      </c>
      <c r="AA9" s="15" t="s">
        <v>139</v>
      </c>
    </row>
    <row r="10" spans="1:27" ht="24" customHeight="1" x14ac:dyDescent="0.2">
      <c r="A10" s="10" t="s">
        <v>140</v>
      </c>
      <c r="B10" s="10" t="s">
        <v>1022</v>
      </c>
      <c r="C10" s="10" t="s">
        <v>1021</v>
      </c>
      <c r="D10" s="4" t="s">
        <v>1026</v>
      </c>
      <c r="E10" s="10" t="s">
        <v>119</v>
      </c>
      <c r="F10" s="10" t="s">
        <v>119</v>
      </c>
      <c r="G10" s="10">
        <v>3</v>
      </c>
      <c r="H10" s="10">
        <v>5</v>
      </c>
      <c r="I10" s="11">
        <f t="shared" si="0"/>
        <v>0.6</v>
      </c>
      <c r="J10" s="10">
        <v>3</v>
      </c>
      <c r="K10" s="10">
        <v>5</v>
      </c>
      <c r="L10" s="11">
        <f t="shared" si="1"/>
        <v>0.6</v>
      </c>
      <c r="M10" s="10">
        <v>0</v>
      </c>
      <c r="N10" s="10">
        <v>5</v>
      </c>
      <c r="O10" s="11">
        <f t="shared" si="2"/>
        <v>0</v>
      </c>
      <c r="P10" s="10">
        <v>3</v>
      </c>
      <c r="Q10" s="10">
        <v>5</v>
      </c>
      <c r="R10" s="11">
        <f t="shared" si="3"/>
        <v>0.6</v>
      </c>
      <c r="S10" s="10">
        <v>2</v>
      </c>
      <c r="T10" s="10">
        <v>5</v>
      </c>
      <c r="U10" s="11">
        <f t="shared" si="4"/>
        <v>0.4</v>
      </c>
      <c r="V10" s="10" t="s">
        <v>119</v>
      </c>
      <c r="W10" s="10" t="s">
        <v>1027</v>
      </c>
      <c r="X10" s="9" t="s">
        <v>1008</v>
      </c>
      <c r="Y10" s="4" t="s">
        <v>1100</v>
      </c>
      <c r="Z10" s="5" t="s">
        <v>141</v>
      </c>
      <c r="AA10" s="15" t="s">
        <v>142</v>
      </c>
    </row>
    <row r="11" spans="1:27" ht="24" customHeight="1" x14ac:dyDescent="0.2">
      <c r="A11" s="8" t="s">
        <v>143</v>
      </c>
      <c r="B11" s="8" t="s">
        <v>1022</v>
      </c>
      <c r="C11" s="8" t="s">
        <v>1010</v>
      </c>
      <c r="D11" s="4" t="s">
        <v>1012</v>
      </c>
      <c r="E11" s="8" t="s">
        <v>119</v>
      </c>
      <c r="F11" s="8" t="s">
        <v>119</v>
      </c>
      <c r="G11" s="8">
        <v>1</v>
      </c>
      <c r="H11" s="8">
        <v>5</v>
      </c>
      <c r="I11" s="12">
        <f t="shared" si="0"/>
        <v>0.2</v>
      </c>
      <c r="J11" s="8">
        <v>1</v>
      </c>
      <c r="K11" s="8">
        <v>5</v>
      </c>
      <c r="L11" s="12">
        <f t="shared" si="1"/>
        <v>0.2</v>
      </c>
      <c r="M11" s="8">
        <v>0</v>
      </c>
      <c r="N11" s="8">
        <v>5</v>
      </c>
      <c r="O11" s="12">
        <f t="shared" si="2"/>
        <v>0</v>
      </c>
      <c r="P11" s="8">
        <v>1</v>
      </c>
      <c r="Q11" s="8">
        <v>5</v>
      </c>
      <c r="R11" s="12">
        <f t="shared" si="3"/>
        <v>0.2</v>
      </c>
      <c r="S11" s="8">
        <v>4</v>
      </c>
      <c r="T11" s="8">
        <v>5</v>
      </c>
      <c r="U11" s="12">
        <f t="shared" si="4"/>
        <v>0.8</v>
      </c>
      <c r="V11" s="8" t="s">
        <v>111</v>
      </c>
      <c r="W11" s="8" t="s">
        <v>1028</v>
      </c>
      <c r="X11" s="9" t="s">
        <v>1008</v>
      </c>
      <c r="Y11" s="4" t="s">
        <v>1100</v>
      </c>
      <c r="Z11" s="5" t="s">
        <v>144</v>
      </c>
      <c r="AA11" s="15" t="s">
        <v>145</v>
      </c>
    </row>
    <row r="12" spans="1:27" ht="24" customHeight="1" x14ac:dyDescent="0.2">
      <c r="A12" s="10" t="s">
        <v>20</v>
      </c>
      <c r="B12" s="10" t="s">
        <v>1031</v>
      </c>
      <c r="C12" s="10" t="s">
        <v>1010</v>
      </c>
      <c r="D12" s="4" t="s">
        <v>1109</v>
      </c>
      <c r="E12" s="10" t="s">
        <v>119</v>
      </c>
      <c r="F12" s="10" t="s">
        <v>111</v>
      </c>
      <c r="G12" s="10">
        <v>1</v>
      </c>
      <c r="H12" s="10">
        <v>5</v>
      </c>
      <c r="I12" s="11">
        <f t="shared" si="0"/>
        <v>0.2</v>
      </c>
      <c r="J12" s="2"/>
      <c r="K12" s="2"/>
      <c r="L12" s="11" t="str">
        <f t="shared" si="1"/>
        <v/>
      </c>
      <c r="M12" s="2"/>
      <c r="N12" s="2"/>
      <c r="O12" s="11" t="str">
        <f t="shared" si="2"/>
        <v/>
      </c>
      <c r="P12" s="10">
        <v>0</v>
      </c>
      <c r="Q12" s="10">
        <v>4</v>
      </c>
      <c r="R12" s="11">
        <f t="shared" si="3"/>
        <v>0</v>
      </c>
      <c r="S12" s="10">
        <v>4</v>
      </c>
      <c r="T12" s="10">
        <v>5</v>
      </c>
      <c r="U12" s="11">
        <f t="shared" si="4"/>
        <v>0.8</v>
      </c>
      <c r="V12" s="10" t="s">
        <v>111</v>
      </c>
      <c r="W12" s="10" t="s">
        <v>1110</v>
      </c>
      <c r="X12" s="9" t="s">
        <v>1111</v>
      </c>
      <c r="Y12" s="4" t="s">
        <v>1100</v>
      </c>
      <c r="Z12" s="5" t="s">
        <v>1112</v>
      </c>
      <c r="AA12" s="5" t="s">
        <v>1113</v>
      </c>
    </row>
    <row r="13" spans="1:27" ht="24" customHeight="1" x14ac:dyDescent="0.2">
      <c r="A13" s="8" t="s">
        <v>151</v>
      </c>
      <c r="B13" s="8" t="s">
        <v>1031</v>
      </c>
      <c r="C13" s="8" t="s">
        <v>1021</v>
      </c>
      <c r="D13" s="4" t="s">
        <v>1026</v>
      </c>
      <c r="E13" s="8" t="s">
        <v>119</v>
      </c>
      <c r="F13" s="8" t="s">
        <v>119</v>
      </c>
      <c r="G13" s="8">
        <v>2</v>
      </c>
      <c r="H13" s="8">
        <v>5</v>
      </c>
      <c r="I13" s="12">
        <f t="shared" si="0"/>
        <v>0.4</v>
      </c>
      <c r="J13" s="8">
        <v>1</v>
      </c>
      <c r="K13" s="8">
        <v>1</v>
      </c>
      <c r="L13" s="12">
        <f t="shared" si="1"/>
        <v>1</v>
      </c>
      <c r="M13" s="8">
        <v>4</v>
      </c>
      <c r="N13" s="8">
        <v>5</v>
      </c>
      <c r="O13" s="12">
        <f t="shared" si="2"/>
        <v>0.8</v>
      </c>
      <c r="P13" s="8">
        <v>2</v>
      </c>
      <c r="Q13" s="8">
        <v>5</v>
      </c>
      <c r="R13" s="12">
        <f t="shared" si="3"/>
        <v>0.4</v>
      </c>
      <c r="S13" s="8">
        <v>3</v>
      </c>
      <c r="T13" s="8">
        <v>5</v>
      </c>
      <c r="U13" s="12">
        <f t="shared" si="4"/>
        <v>0.6</v>
      </c>
      <c r="V13" s="8" t="s">
        <v>1069</v>
      </c>
      <c r="W13" s="8" t="s">
        <v>1035</v>
      </c>
      <c r="X13" s="9" t="s">
        <v>1008</v>
      </c>
      <c r="Y13" s="4" t="s">
        <v>1100</v>
      </c>
      <c r="Z13" s="5" t="s">
        <v>153</v>
      </c>
      <c r="AA13" s="15" t="s">
        <v>154</v>
      </c>
    </row>
    <row r="14" spans="1:27" ht="24" customHeight="1" x14ac:dyDescent="0.2">
      <c r="A14" s="10" t="s">
        <v>157</v>
      </c>
      <c r="B14" s="10" t="s">
        <v>1031</v>
      </c>
      <c r="C14" s="10" t="s">
        <v>1010</v>
      </c>
      <c r="D14" s="4" t="s">
        <v>1036</v>
      </c>
      <c r="E14" s="10" t="s">
        <v>119</v>
      </c>
      <c r="F14" s="10" t="s">
        <v>119</v>
      </c>
      <c r="G14" s="10">
        <v>4</v>
      </c>
      <c r="H14" s="10">
        <v>5</v>
      </c>
      <c r="I14" s="11">
        <f t="shared" si="0"/>
        <v>0.8</v>
      </c>
      <c r="J14" s="10">
        <v>3</v>
      </c>
      <c r="K14" s="10">
        <v>4</v>
      </c>
      <c r="L14" s="11">
        <f t="shared" si="1"/>
        <v>0.75</v>
      </c>
      <c r="M14" s="10">
        <v>1</v>
      </c>
      <c r="N14" s="10">
        <v>5</v>
      </c>
      <c r="O14" s="11">
        <f t="shared" si="2"/>
        <v>0.2</v>
      </c>
      <c r="P14" s="10">
        <v>4</v>
      </c>
      <c r="Q14" s="10">
        <v>5</v>
      </c>
      <c r="R14" s="11">
        <f t="shared" si="3"/>
        <v>0.8</v>
      </c>
      <c r="S14" s="10">
        <v>1</v>
      </c>
      <c r="T14" s="10">
        <v>5</v>
      </c>
      <c r="U14" s="11">
        <f t="shared" si="4"/>
        <v>0.2</v>
      </c>
      <c r="V14" s="10" t="s">
        <v>119</v>
      </c>
      <c r="W14" s="10" t="s">
        <v>1037</v>
      </c>
      <c r="X14" s="9" t="s">
        <v>1008</v>
      </c>
      <c r="Y14" s="4" t="s">
        <v>1100</v>
      </c>
      <c r="Z14" s="5" t="s">
        <v>158</v>
      </c>
      <c r="AA14" s="5" t="s">
        <v>114</v>
      </c>
    </row>
    <row r="15" spans="1:27" ht="24" customHeight="1" x14ac:dyDescent="0.2">
      <c r="A15" s="8" t="s">
        <v>159</v>
      </c>
      <c r="B15" s="8" t="s">
        <v>1038</v>
      </c>
      <c r="C15" s="8" t="s">
        <v>1010</v>
      </c>
      <c r="D15" s="4" t="s">
        <v>1039</v>
      </c>
      <c r="E15" s="8" t="s">
        <v>119</v>
      </c>
      <c r="F15" s="8" t="s">
        <v>119</v>
      </c>
      <c r="G15" s="8">
        <v>3</v>
      </c>
      <c r="H15" s="8">
        <v>5</v>
      </c>
      <c r="I15" s="12">
        <f t="shared" si="0"/>
        <v>0.6</v>
      </c>
      <c r="J15" s="8">
        <v>3</v>
      </c>
      <c r="K15" s="8">
        <v>5</v>
      </c>
      <c r="L15" s="12">
        <f t="shared" si="1"/>
        <v>0.6</v>
      </c>
      <c r="M15" s="8">
        <v>0</v>
      </c>
      <c r="N15" s="8">
        <v>5</v>
      </c>
      <c r="O15" s="12">
        <f t="shared" si="2"/>
        <v>0</v>
      </c>
      <c r="P15" s="8">
        <v>3</v>
      </c>
      <c r="Q15" s="8">
        <v>5</v>
      </c>
      <c r="R15" s="12">
        <f t="shared" si="3"/>
        <v>0.6</v>
      </c>
      <c r="S15" s="8">
        <v>2</v>
      </c>
      <c r="T15" s="8">
        <v>5</v>
      </c>
      <c r="U15" s="12">
        <f t="shared" si="4"/>
        <v>0.4</v>
      </c>
      <c r="V15" s="8" t="s">
        <v>119</v>
      </c>
      <c r="W15" s="8" t="s">
        <v>1040</v>
      </c>
      <c r="X15" s="9" t="s">
        <v>1008</v>
      </c>
      <c r="Y15" s="4" t="s">
        <v>1100</v>
      </c>
      <c r="Z15" s="5" t="s">
        <v>160</v>
      </c>
      <c r="AA15" s="15" t="s">
        <v>161</v>
      </c>
    </row>
    <row r="16" spans="1:27" ht="24" customHeight="1" x14ac:dyDescent="0.2">
      <c r="A16" s="10" t="s">
        <v>162</v>
      </c>
      <c r="B16" s="10" t="s">
        <v>1038</v>
      </c>
      <c r="C16" s="10" t="s">
        <v>1010</v>
      </c>
      <c r="D16" s="4" t="s">
        <v>1039</v>
      </c>
      <c r="E16" s="10" t="s">
        <v>119</v>
      </c>
      <c r="F16" s="10" t="s">
        <v>119</v>
      </c>
      <c r="G16" s="10">
        <v>1</v>
      </c>
      <c r="H16" s="10">
        <v>5</v>
      </c>
      <c r="I16" s="11">
        <f t="shared" si="0"/>
        <v>0.2</v>
      </c>
      <c r="J16" s="10">
        <v>1</v>
      </c>
      <c r="K16" s="10">
        <v>5</v>
      </c>
      <c r="L16" s="11">
        <f t="shared" si="1"/>
        <v>0.2</v>
      </c>
      <c r="M16" s="10">
        <v>0</v>
      </c>
      <c r="N16" s="10">
        <v>5</v>
      </c>
      <c r="O16" s="11">
        <f t="shared" si="2"/>
        <v>0</v>
      </c>
      <c r="P16" s="10">
        <v>1</v>
      </c>
      <c r="Q16" s="10">
        <v>5</v>
      </c>
      <c r="R16" s="11">
        <f t="shared" si="3"/>
        <v>0.2</v>
      </c>
      <c r="S16" s="10">
        <v>4</v>
      </c>
      <c r="T16" s="10">
        <v>5</v>
      </c>
      <c r="U16" s="11">
        <f t="shared" si="4"/>
        <v>0.8</v>
      </c>
      <c r="V16" s="10" t="s">
        <v>111</v>
      </c>
      <c r="W16" s="10" t="s">
        <v>1041</v>
      </c>
      <c r="X16" s="9" t="s">
        <v>1008</v>
      </c>
      <c r="Y16" s="4" t="s">
        <v>1100</v>
      </c>
      <c r="Z16" s="5" t="s">
        <v>163</v>
      </c>
      <c r="AA16" s="15" t="s">
        <v>164</v>
      </c>
    </row>
    <row r="17" spans="1:27" ht="24" customHeight="1" x14ac:dyDescent="0.2">
      <c r="A17" s="8" t="s">
        <v>165</v>
      </c>
      <c r="B17" s="8" t="s">
        <v>1038</v>
      </c>
      <c r="C17" s="8" t="s">
        <v>1010</v>
      </c>
      <c r="D17" s="4" t="s">
        <v>1039</v>
      </c>
      <c r="E17" s="8" t="s">
        <v>119</v>
      </c>
      <c r="F17" s="8" t="s">
        <v>119</v>
      </c>
      <c r="G17" s="8">
        <v>2</v>
      </c>
      <c r="H17" s="8">
        <v>5</v>
      </c>
      <c r="I17" s="12">
        <f t="shared" si="0"/>
        <v>0.4</v>
      </c>
      <c r="J17" s="8">
        <v>2</v>
      </c>
      <c r="K17" s="8">
        <v>5</v>
      </c>
      <c r="L17" s="12">
        <f t="shared" si="1"/>
        <v>0.4</v>
      </c>
      <c r="M17" s="8">
        <v>0</v>
      </c>
      <c r="N17" s="8">
        <v>5</v>
      </c>
      <c r="O17" s="12">
        <f t="shared" si="2"/>
        <v>0</v>
      </c>
      <c r="P17" s="8">
        <v>2</v>
      </c>
      <c r="Q17" s="8">
        <v>5</v>
      </c>
      <c r="R17" s="12">
        <f t="shared" si="3"/>
        <v>0.4</v>
      </c>
      <c r="S17" s="8">
        <v>3</v>
      </c>
      <c r="T17" s="8">
        <v>5</v>
      </c>
      <c r="U17" s="12">
        <f t="shared" si="4"/>
        <v>0.6</v>
      </c>
      <c r="V17" s="8" t="s">
        <v>111</v>
      </c>
      <c r="W17" s="8" t="s">
        <v>1041</v>
      </c>
      <c r="X17" s="9" t="s">
        <v>1008</v>
      </c>
      <c r="Y17" s="4" t="s">
        <v>1100</v>
      </c>
      <c r="Z17" s="5" t="s">
        <v>166</v>
      </c>
      <c r="AA17" s="15" t="s">
        <v>167</v>
      </c>
    </row>
    <row r="18" spans="1:27" ht="24" customHeight="1" x14ac:dyDescent="0.2">
      <c r="A18" s="10" t="s">
        <v>168</v>
      </c>
      <c r="B18" s="10" t="s">
        <v>1038</v>
      </c>
      <c r="C18" s="10" t="s">
        <v>1042</v>
      </c>
      <c r="D18" s="4" t="s">
        <v>1043</v>
      </c>
      <c r="E18" s="10" t="s">
        <v>119</v>
      </c>
      <c r="F18" s="10" t="s">
        <v>119</v>
      </c>
      <c r="G18" s="10">
        <v>4</v>
      </c>
      <c r="H18" s="10">
        <v>5</v>
      </c>
      <c r="I18" s="11">
        <f t="shared" si="0"/>
        <v>0.8</v>
      </c>
      <c r="J18" s="10">
        <v>1</v>
      </c>
      <c r="K18" s="10">
        <v>1</v>
      </c>
      <c r="L18" s="11">
        <f t="shared" si="1"/>
        <v>1</v>
      </c>
      <c r="M18" s="10">
        <v>4</v>
      </c>
      <c r="N18" s="10">
        <v>5</v>
      </c>
      <c r="O18" s="11">
        <f t="shared" si="2"/>
        <v>0.8</v>
      </c>
      <c r="P18" s="10">
        <v>4</v>
      </c>
      <c r="Q18" s="10">
        <v>5</v>
      </c>
      <c r="R18" s="11">
        <f t="shared" si="3"/>
        <v>0.8</v>
      </c>
      <c r="S18" s="10">
        <v>1</v>
      </c>
      <c r="T18" s="10">
        <v>5</v>
      </c>
      <c r="U18" s="11">
        <f t="shared" si="4"/>
        <v>0.2</v>
      </c>
      <c r="V18" s="10" t="s">
        <v>119</v>
      </c>
      <c r="W18" s="10" t="s">
        <v>1044</v>
      </c>
      <c r="X18" s="9" t="s">
        <v>1008</v>
      </c>
      <c r="Y18" s="4" t="s">
        <v>1100</v>
      </c>
      <c r="Z18" s="5" t="s">
        <v>169</v>
      </c>
      <c r="AA18" s="15" t="s">
        <v>170</v>
      </c>
    </row>
    <row r="19" spans="1:27" ht="24" customHeight="1" x14ac:dyDescent="0.2">
      <c r="A19" s="8" t="s">
        <v>171</v>
      </c>
      <c r="B19" s="8" t="s">
        <v>1045</v>
      </c>
      <c r="C19" s="8" t="s">
        <v>1010</v>
      </c>
      <c r="D19" s="4" t="s">
        <v>1046</v>
      </c>
      <c r="E19" s="8" t="s">
        <v>119</v>
      </c>
      <c r="F19" s="8" t="s">
        <v>119</v>
      </c>
      <c r="G19" s="8">
        <v>2</v>
      </c>
      <c r="H19" s="8">
        <v>5</v>
      </c>
      <c r="I19" s="12">
        <f t="shared" si="0"/>
        <v>0.4</v>
      </c>
      <c r="J19" s="8">
        <v>1</v>
      </c>
      <c r="K19" s="8">
        <v>4</v>
      </c>
      <c r="L19" s="12">
        <f t="shared" si="1"/>
        <v>0.25</v>
      </c>
      <c r="M19" s="8">
        <v>1</v>
      </c>
      <c r="N19" s="8">
        <v>5</v>
      </c>
      <c r="O19" s="12">
        <f t="shared" si="2"/>
        <v>0.2</v>
      </c>
      <c r="P19" s="8">
        <v>2</v>
      </c>
      <c r="Q19" s="8">
        <v>5</v>
      </c>
      <c r="R19" s="12">
        <f t="shared" si="3"/>
        <v>0.4</v>
      </c>
      <c r="S19" s="8">
        <v>3</v>
      </c>
      <c r="T19" s="8">
        <v>5</v>
      </c>
      <c r="U19" s="12">
        <f t="shared" si="4"/>
        <v>0.6</v>
      </c>
      <c r="V19" s="8" t="s">
        <v>119</v>
      </c>
      <c r="W19" s="8" t="s">
        <v>1047</v>
      </c>
      <c r="X19" s="9" t="s">
        <v>1008</v>
      </c>
      <c r="Y19" s="4" t="s">
        <v>1100</v>
      </c>
      <c r="Z19" s="5" t="s">
        <v>172</v>
      </c>
      <c r="AA19" s="15" t="s">
        <v>173</v>
      </c>
    </row>
    <row r="20" spans="1:27" ht="24" customHeight="1" x14ac:dyDescent="0.2">
      <c r="A20" s="10" t="s">
        <v>174</v>
      </c>
      <c r="B20" s="10" t="s">
        <v>1045</v>
      </c>
      <c r="C20" s="10" t="s">
        <v>1010</v>
      </c>
      <c r="D20" s="4" t="s">
        <v>1015</v>
      </c>
      <c r="E20" s="10" t="s">
        <v>119</v>
      </c>
      <c r="F20" s="10" t="s">
        <v>119</v>
      </c>
      <c r="G20" s="10">
        <v>2</v>
      </c>
      <c r="H20" s="10">
        <v>4</v>
      </c>
      <c r="I20" s="11">
        <f t="shared" si="0"/>
        <v>0.5</v>
      </c>
      <c r="J20" s="10">
        <v>2</v>
      </c>
      <c r="K20" s="10">
        <v>4</v>
      </c>
      <c r="L20" s="11">
        <f t="shared" si="1"/>
        <v>0.5</v>
      </c>
      <c r="M20" s="10">
        <v>0</v>
      </c>
      <c r="N20" s="10">
        <v>5</v>
      </c>
      <c r="O20" s="11">
        <f t="shared" si="2"/>
        <v>0</v>
      </c>
      <c r="P20" s="10">
        <v>3</v>
      </c>
      <c r="Q20" s="10">
        <v>5</v>
      </c>
      <c r="R20" s="11">
        <f t="shared" si="3"/>
        <v>0.6</v>
      </c>
      <c r="S20" s="10">
        <v>2</v>
      </c>
      <c r="T20" s="10">
        <v>4</v>
      </c>
      <c r="U20" s="11">
        <f t="shared" si="4"/>
        <v>0.5</v>
      </c>
      <c r="V20" s="10" t="s">
        <v>119</v>
      </c>
      <c r="W20" s="10" t="s">
        <v>1114</v>
      </c>
      <c r="X20" s="9" t="s">
        <v>1014</v>
      </c>
      <c r="Y20" s="4" t="s">
        <v>1100</v>
      </c>
      <c r="Z20" s="5" t="s">
        <v>1115</v>
      </c>
      <c r="AA20" s="15" t="s">
        <v>1116</v>
      </c>
    </row>
    <row r="21" spans="1:27" ht="24" customHeight="1" x14ac:dyDescent="0.2">
      <c r="A21" s="8" t="s">
        <v>179</v>
      </c>
      <c r="B21" s="8" t="s">
        <v>1045</v>
      </c>
      <c r="C21" s="8" t="s">
        <v>1010</v>
      </c>
      <c r="D21" s="4" t="s">
        <v>1039</v>
      </c>
      <c r="E21" s="8" t="s">
        <v>119</v>
      </c>
      <c r="F21" s="8" t="s">
        <v>119</v>
      </c>
      <c r="G21" s="8">
        <v>1</v>
      </c>
      <c r="H21" s="8">
        <v>5</v>
      </c>
      <c r="I21" s="12">
        <f t="shared" si="0"/>
        <v>0.2</v>
      </c>
      <c r="J21" s="8">
        <v>1</v>
      </c>
      <c r="K21" s="8">
        <v>5</v>
      </c>
      <c r="L21" s="12">
        <f t="shared" si="1"/>
        <v>0.2</v>
      </c>
      <c r="M21" s="8">
        <v>0</v>
      </c>
      <c r="N21" s="8">
        <v>5</v>
      </c>
      <c r="O21" s="12">
        <f t="shared" si="2"/>
        <v>0</v>
      </c>
      <c r="P21" s="8">
        <v>1</v>
      </c>
      <c r="Q21" s="8">
        <v>5</v>
      </c>
      <c r="R21" s="12">
        <f t="shared" si="3"/>
        <v>0.2</v>
      </c>
      <c r="S21" s="8">
        <v>4</v>
      </c>
      <c r="T21" s="8">
        <v>5</v>
      </c>
      <c r="U21" s="12">
        <f t="shared" si="4"/>
        <v>0.8</v>
      </c>
      <c r="V21" s="8" t="s">
        <v>119</v>
      </c>
      <c r="W21" s="8" t="s">
        <v>1050</v>
      </c>
      <c r="X21" s="9" t="s">
        <v>1008</v>
      </c>
      <c r="Y21" s="4" t="s">
        <v>1100</v>
      </c>
      <c r="Z21" s="5" t="s">
        <v>180</v>
      </c>
      <c r="AA21" s="15" t="s">
        <v>181</v>
      </c>
    </row>
    <row r="22" spans="1:27" ht="24" customHeight="1" x14ac:dyDescent="0.2">
      <c r="A22" s="10" t="s">
        <v>182</v>
      </c>
      <c r="B22" s="10" t="s">
        <v>1045</v>
      </c>
      <c r="C22" s="10" t="s">
        <v>1010</v>
      </c>
      <c r="D22" s="4" t="s">
        <v>1015</v>
      </c>
      <c r="E22" s="10" t="s">
        <v>119</v>
      </c>
      <c r="F22" s="10" t="s">
        <v>119</v>
      </c>
      <c r="G22" s="10">
        <v>2</v>
      </c>
      <c r="H22" s="10">
        <v>5</v>
      </c>
      <c r="I22" s="11">
        <f t="shared" si="0"/>
        <v>0.4</v>
      </c>
      <c r="J22" s="2">
        <v>2</v>
      </c>
      <c r="K22" s="2">
        <v>5</v>
      </c>
      <c r="L22" s="11">
        <f t="shared" si="1"/>
        <v>0.4</v>
      </c>
      <c r="M22" s="2">
        <v>0</v>
      </c>
      <c r="N22" s="2">
        <v>5</v>
      </c>
      <c r="O22" s="11">
        <f t="shared" si="2"/>
        <v>0</v>
      </c>
      <c r="P22" s="10">
        <v>2</v>
      </c>
      <c r="Q22" s="10">
        <v>5</v>
      </c>
      <c r="R22" s="11">
        <f t="shared" si="3"/>
        <v>0.4</v>
      </c>
      <c r="S22" s="10">
        <v>3</v>
      </c>
      <c r="T22" s="10">
        <v>5</v>
      </c>
      <c r="U22" s="11">
        <f t="shared" si="4"/>
        <v>0.6</v>
      </c>
      <c r="V22" s="10" t="s">
        <v>111</v>
      </c>
      <c r="W22" s="10" t="s">
        <v>1117</v>
      </c>
      <c r="X22" s="9" t="s">
        <v>1014</v>
      </c>
      <c r="Y22" s="4" t="s">
        <v>1100</v>
      </c>
      <c r="Z22" s="5" t="s">
        <v>1118</v>
      </c>
      <c r="AA22" s="15" t="s">
        <v>1119</v>
      </c>
    </row>
    <row r="23" spans="1:27" ht="24" customHeight="1" x14ac:dyDescent="0.2">
      <c r="A23" s="8" t="s">
        <v>187</v>
      </c>
      <c r="B23" s="8" t="s">
        <v>1053</v>
      </c>
      <c r="C23" s="8" t="s">
        <v>1010</v>
      </c>
      <c r="D23" s="4" t="s">
        <v>1054</v>
      </c>
      <c r="E23" s="8" t="s">
        <v>119</v>
      </c>
      <c r="F23" s="8" t="s">
        <v>119</v>
      </c>
      <c r="G23" s="8">
        <v>1</v>
      </c>
      <c r="H23" s="8">
        <v>5</v>
      </c>
      <c r="I23" s="12">
        <f t="shared" si="0"/>
        <v>0.2</v>
      </c>
      <c r="J23" s="8">
        <v>1</v>
      </c>
      <c r="K23" s="8">
        <v>3</v>
      </c>
      <c r="L23" s="12">
        <f t="shared" si="1"/>
        <v>0.33333333333333331</v>
      </c>
      <c r="M23" s="8">
        <v>2</v>
      </c>
      <c r="N23" s="8">
        <v>5</v>
      </c>
      <c r="O23" s="12">
        <f t="shared" si="2"/>
        <v>0.4</v>
      </c>
      <c r="P23" s="8">
        <v>1</v>
      </c>
      <c r="Q23" s="8">
        <v>5</v>
      </c>
      <c r="R23" s="12">
        <f t="shared" si="3"/>
        <v>0.2</v>
      </c>
      <c r="S23" s="8">
        <v>4</v>
      </c>
      <c r="T23" s="8">
        <v>5</v>
      </c>
      <c r="U23" s="12">
        <f t="shared" si="4"/>
        <v>0.8</v>
      </c>
      <c r="V23" s="8" t="s">
        <v>111</v>
      </c>
      <c r="W23" s="8" t="s">
        <v>1055</v>
      </c>
      <c r="X23" s="9" t="s">
        <v>1008</v>
      </c>
      <c r="Y23" s="4" t="s">
        <v>1100</v>
      </c>
      <c r="Z23" s="5" t="s">
        <v>188</v>
      </c>
      <c r="AA23" s="15" t="s">
        <v>189</v>
      </c>
    </row>
    <row r="24" spans="1:27" ht="24" customHeight="1" x14ac:dyDescent="0.2">
      <c r="A24" s="10" t="s">
        <v>190</v>
      </c>
      <c r="B24" s="10" t="s">
        <v>1053</v>
      </c>
      <c r="C24" s="10" t="s">
        <v>1010</v>
      </c>
      <c r="D24" s="4" t="s">
        <v>1015</v>
      </c>
      <c r="E24" s="10" t="s">
        <v>119</v>
      </c>
      <c r="F24" s="10" t="s">
        <v>119</v>
      </c>
      <c r="G24" s="10">
        <v>2</v>
      </c>
      <c r="H24" s="10">
        <v>5</v>
      </c>
      <c r="I24" s="11">
        <f t="shared" si="0"/>
        <v>0.4</v>
      </c>
      <c r="J24" s="10">
        <v>2</v>
      </c>
      <c r="K24" s="10">
        <v>4</v>
      </c>
      <c r="L24" s="11">
        <f t="shared" si="1"/>
        <v>0.5</v>
      </c>
      <c r="M24" s="10">
        <v>1</v>
      </c>
      <c r="N24" s="10">
        <v>5</v>
      </c>
      <c r="O24" s="11">
        <f t="shared" si="2"/>
        <v>0.2</v>
      </c>
      <c r="P24" s="10">
        <v>1</v>
      </c>
      <c r="Q24" s="10">
        <v>5</v>
      </c>
      <c r="R24" s="11">
        <f t="shared" si="3"/>
        <v>0.2</v>
      </c>
      <c r="S24" s="10">
        <v>3</v>
      </c>
      <c r="T24" s="10">
        <v>5</v>
      </c>
      <c r="U24" s="11">
        <f t="shared" si="4"/>
        <v>0.6</v>
      </c>
      <c r="V24" s="10" t="s">
        <v>119</v>
      </c>
      <c r="W24" s="10" t="s">
        <v>1120</v>
      </c>
      <c r="X24" s="9" t="s">
        <v>1014</v>
      </c>
      <c r="Y24" s="4" t="s">
        <v>1100</v>
      </c>
      <c r="Z24" s="5" t="s">
        <v>1121</v>
      </c>
      <c r="AA24" s="15" t="s">
        <v>1122</v>
      </c>
    </row>
    <row r="25" spans="1:27" ht="24" customHeight="1" x14ac:dyDescent="0.2">
      <c r="A25" s="8" t="s">
        <v>196</v>
      </c>
      <c r="B25" s="8" t="s">
        <v>1053</v>
      </c>
      <c r="C25" s="8" t="s">
        <v>1010</v>
      </c>
      <c r="D25" s="4" t="s">
        <v>1058</v>
      </c>
      <c r="E25" s="8" t="s">
        <v>119</v>
      </c>
      <c r="F25" s="8" t="s">
        <v>119</v>
      </c>
      <c r="G25" s="8">
        <v>2</v>
      </c>
      <c r="H25" s="8">
        <v>5</v>
      </c>
      <c r="I25" s="12">
        <f t="shared" si="0"/>
        <v>0.4</v>
      </c>
      <c r="J25" s="8">
        <v>2</v>
      </c>
      <c r="K25" s="8">
        <v>4</v>
      </c>
      <c r="L25" s="12">
        <f t="shared" si="1"/>
        <v>0.5</v>
      </c>
      <c r="M25" s="8">
        <v>1</v>
      </c>
      <c r="N25" s="8">
        <v>5</v>
      </c>
      <c r="O25" s="12">
        <f t="shared" si="2"/>
        <v>0.2</v>
      </c>
      <c r="P25" s="8">
        <v>2</v>
      </c>
      <c r="Q25" s="8">
        <v>5</v>
      </c>
      <c r="R25" s="12">
        <f t="shared" si="3"/>
        <v>0.4</v>
      </c>
      <c r="S25" s="8">
        <v>3</v>
      </c>
      <c r="T25" s="8">
        <v>5</v>
      </c>
      <c r="U25" s="12">
        <f t="shared" si="4"/>
        <v>0.6</v>
      </c>
      <c r="V25" s="8" t="s">
        <v>119</v>
      </c>
      <c r="W25" s="8" t="s">
        <v>1059</v>
      </c>
      <c r="X25" s="9" t="s">
        <v>1008</v>
      </c>
      <c r="Y25" s="4" t="s">
        <v>1100</v>
      </c>
      <c r="Z25" s="5" t="s">
        <v>197</v>
      </c>
      <c r="AA25" s="15" t="s">
        <v>198</v>
      </c>
    </row>
    <row r="26" spans="1:27" ht="24" customHeight="1" x14ac:dyDescent="0.2">
      <c r="A26" s="10" t="s">
        <v>199</v>
      </c>
      <c r="B26" s="10" t="s">
        <v>1053</v>
      </c>
      <c r="C26" s="10" t="s">
        <v>1010</v>
      </c>
      <c r="D26" s="4" t="s">
        <v>1060</v>
      </c>
      <c r="E26" s="10" t="s">
        <v>119</v>
      </c>
      <c r="F26" s="10" t="s">
        <v>119</v>
      </c>
      <c r="G26" s="10">
        <v>0</v>
      </c>
      <c r="H26" s="10">
        <v>5</v>
      </c>
      <c r="I26" s="11">
        <f t="shared" si="0"/>
        <v>0</v>
      </c>
      <c r="J26" s="10">
        <v>0</v>
      </c>
      <c r="K26" s="10">
        <v>3</v>
      </c>
      <c r="L26" s="11">
        <f t="shared" si="1"/>
        <v>0</v>
      </c>
      <c r="M26" s="10">
        <v>2</v>
      </c>
      <c r="N26" s="10">
        <v>5</v>
      </c>
      <c r="O26" s="11">
        <f t="shared" si="2"/>
        <v>0.4</v>
      </c>
      <c r="P26" s="10">
        <v>0</v>
      </c>
      <c r="Q26" s="10">
        <v>5</v>
      </c>
      <c r="R26" s="11">
        <f t="shared" si="3"/>
        <v>0</v>
      </c>
      <c r="S26" s="10">
        <v>5</v>
      </c>
      <c r="T26" s="10">
        <v>5</v>
      </c>
      <c r="U26" s="11">
        <f t="shared" si="4"/>
        <v>1</v>
      </c>
      <c r="V26" s="10" t="s">
        <v>111</v>
      </c>
      <c r="W26" s="10" t="s">
        <v>1061</v>
      </c>
      <c r="X26" s="9" t="s">
        <v>1008</v>
      </c>
      <c r="Y26" s="4" t="s">
        <v>1100</v>
      </c>
      <c r="Z26" s="5" t="s">
        <v>200</v>
      </c>
      <c r="AA26" s="15" t="s">
        <v>201</v>
      </c>
    </row>
    <row r="27" spans="1:27" ht="24" customHeight="1" x14ac:dyDescent="0.2">
      <c r="A27" s="8" t="s">
        <v>202</v>
      </c>
      <c r="B27" s="8" t="s">
        <v>1062</v>
      </c>
      <c r="C27" s="8" t="s">
        <v>1010</v>
      </c>
      <c r="D27" s="4" t="s">
        <v>1015</v>
      </c>
      <c r="E27" s="8" t="s">
        <v>119</v>
      </c>
      <c r="F27" s="8" t="s">
        <v>119</v>
      </c>
      <c r="G27" s="8">
        <v>3</v>
      </c>
      <c r="H27" s="8">
        <v>5</v>
      </c>
      <c r="I27" s="12">
        <f t="shared" si="0"/>
        <v>0.6</v>
      </c>
      <c r="J27" s="8">
        <v>3</v>
      </c>
      <c r="K27" s="8">
        <v>5</v>
      </c>
      <c r="L27" s="12">
        <f t="shared" si="1"/>
        <v>0.6</v>
      </c>
      <c r="M27" s="8">
        <v>0</v>
      </c>
      <c r="N27" s="8">
        <v>5</v>
      </c>
      <c r="O27" s="12">
        <f t="shared" si="2"/>
        <v>0</v>
      </c>
      <c r="P27" s="8">
        <v>2</v>
      </c>
      <c r="Q27" s="8">
        <v>5</v>
      </c>
      <c r="R27" s="12">
        <f t="shared" si="3"/>
        <v>0.4</v>
      </c>
      <c r="S27" s="8">
        <v>2</v>
      </c>
      <c r="T27" s="8">
        <v>5</v>
      </c>
      <c r="U27" s="12">
        <f t="shared" si="4"/>
        <v>0.4</v>
      </c>
      <c r="V27" s="8" t="s">
        <v>111</v>
      </c>
      <c r="W27" s="8" t="s">
        <v>1123</v>
      </c>
      <c r="X27" s="9" t="s">
        <v>1014</v>
      </c>
      <c r="Y27" s="4" t="s">
        <v>1100</v>
      </c>
      <c r="Z27" s="5" t="s">
        <v>1124</v>
      </c>
      <c r="AA27" s="15" t="s">
        <v>1125</v>
      </c>
    </row>
    <row r="28" spans="1:27" ht="24" customHeight="1" x14ac:dyDescent="0.2">
      <c r="A28" s="10" t="s">
        <v>206</v>
      </c>
      <c r="B28" s="10" t="s">
        <v>1062</v>
      </c>
      <c r="C28" s="10" t="s">
        <v>1010</v>
      </c>
      <c r="D28" s="4" t="s">
        <v>1065</v>
      </c>
      <c r="E28" s="10" t="s">
        <v>119</v>
      </c>
      <c r="F28" s="10" t="s">
        <v>119</v>
      </c>
      <c r="G28" s="10">
        <v>0</v>
      </c>
      <c r="H28" s="10">
        <v>5</v>
      </c>
      <c r="I28" s="11">
        <f t="shared" si="0"/>
        <v>0</v>
      </c>
      <c r="J28" s="10">
        <v>0</v>
      </c>
      <c r="K28" s="10">
        <v>5</v>
      </c>
      <c r="L28" s="11">
        <f t="shared" si="1"/>
        <v>0</v>
      </c>
      <c r="M28" s="10">
        <v>0</v>
      </c>
      <c r="N28" s="10">
        <v>5</v>
      </c>
      <c r="O28" s="11">
        <f t="shared" si="2"/>
        <v>0</v>
      </c>
      <c r="P28" s="10">
        <v>0</v>
      </c>
      <c r="Q28" s="10">
        <v>5</v>
      </c>
      <c r="R28" s="11">
        <f t="shared" si="3"/>
        <v>0</v>
      </c>
      <c r="S28" s="10">
        <v>5</v>
      </c>
      <c r="T28" s="10">
        <v>5</v>
      </c>
      <c r="U28" s="11">
        <f t="shared" si="4"/>
        <v>1</v>
      </c>
      <c r="V28" s="10" t="s">
        <v>111</v>
      </c>
      <c r="W28" s="10" t="s">
        <v>1066</v>
      </c>
      <c r="X28" s="9" t="s">
        <v>1008</v>
      </c>
      <c r="Y28" s="4" t="s">
        <v>1100</v>
      </c>
      <c r="Z28" s="5" t="s">
        <v>207</v>
      </c>
      <c r="AA28" s="15" t="s">
        <v>208</v>
      </c>
    </row>
    <row r="29" spans="1:27" ht="24" customHeight="1" x14ac:dyDescent="0.2">
      <c r="A29" s="8" t="s">
        <v>209</v>
      </c>
      <c r="B29" s="8" t="s">
        <v>1062</v>
      </c>
      <c r="C29" s="8" t="s">
        <v>1010</v>
      </c>
      <c r="D29" s="4" t="s">
        <v>1039</v>
      </c>
      <c r="E29" s="8" t="s">
        <v>119</v>
      </c>
      <c r="F29" s="8" t="s">
        <v>111</v>
      </c>
      <c r="G29" s="8">
        <v>0</v>
      </c>
      <c r="H29" s="8">
        <v>5</v>
      </c>
      <c r="I29" s="12">
        <f t="shared" si="0"/>
        <v>0</v>
      </c>
      <c r="J29" s="2"/>
      <c r="K29" s="2"/>
      <c r="L29" s="12" t="str">
        <f t="shared" si="1"/>
        <v/>
      </c>
      <c r="M29" s="2"/>
      <c r="N29" s="2"/>
      <c r="O29" s="12" t="str">
        <f t="shared" si="2"/>
        <v/>
      </c>
      <c r="P29" s="8">
        <v>0</v>
      </c>
      <c r="Q29" s="8">
        <v>5</v>
      </c>
      <c r="R29" s="12">
        <f t="shared" si="3"/>
        <v>0</v>
      </c>
      <c r="S29" s="8">
        <v>5</v>
      </c>
      <c r="T29" s="8">
        <v>5</v>
      </c>
      <c r="U29" s="12">
        <f t="shared" si="4"/>
        <v>1</v>
      </c>
      <c r="V29" s="8" t="s">
        <v>111</v>
      </c>
      <c r="W29" s="8" t="s">
        <v>1067</v>
      </c>
      <c r="X29" s="9" t="s">
        <v>1008</v>
      </c>
      <c r="Y29" s="4" t="s">
        <v>1100</v>
      </c>
      <c r="Z29" s="5" t="s">
        <v>210</v>
      </c>
      <c r="AA29" s="15" t="s">
        <v>211</v>
      </c>
    </row>
    <row r="30" spans="1:27" ht="24" customHeight="1" x14ac:dyDescent="0.2">
      <c r="A30" s="10" t="s">
        <v>212</v>
      </c>
      <c r="B30" s="10" t="s">
        <v>1062</v>
      </c>
      <c r="C30" s="10" t="s">
        <v>1010</v>
      </c>
      <c r="D30" s="4" t="s">
        <v>1046</v>
      </c>
      <c r="E30" s="10" t="s">
        <v>119</v>
      </c>
      <c r="F30" s="10" t="s">
        <v>111</v>
      </c>
      <c r="G30" s="10">
        <v>0</v>
      </c>
      <c r="H30" s="10">
        <v>5</v>
      </c>
      <c r="I30" s="11">
        <f t="shared" si="0"/>
        <v>0</v>
      </c>
      <c r="J30" s="2"/>
      <c r="K30" s="2"/>
      <c r="L30" s="11" t="str">
        <f t="shared" si="1"/>
        <v/>
      </c>
      <c r="M30" s="2"/>
      <c r="N30" s="2"/>
      <c r="O30" s="11" t="str">
        <f t="shared" si="2"/>
        <v/>
      </c>
      <c r="P30" s="10">
        <v>0</v>
      </c>
      <c r="Q30" s="10">
        <v>5</v>
      </c>
      <c r="R30" s="11">
        <f t="shared" si="3"/>
        <v>0</v>
      </c>
      <c r="S30" s="10">
        <v>5</v>
      </c>
      <c r="T30" s="10">
        <v>5</v>
      </c>
      <c r="U30" s="11">
        <f t="shared" si="4"/>
        <v>1</v>
      </c>
      <c r="V30" s="10" t="s">
        <v>111</v>
      </c>
      <c r="W30" s="10" t="s">
        <v>1067</v>
      </c>
      <c r="X30" s="9" t="s">
        <v>1008</v>
      </c>
      <c r="Y30" s="4" t="s">
        <v>1100</v>
      </c>
      <c r="Z30" s="5" t="s">
        <v>213</v>
      </c>
      <c r="AA30" s="15" t="s">
        <v>214</v>
      </c>
    </row>
    <row r="31" spans="1:27" ht="24" customHeight="1" x14ac:dyDescent="0.2">
      <c r="A31" s="8" t="s">
        <v>24</v>
      </c>
      <c r="B31" s="8" t="s">
        <v>1062</v>
      </c>
      <c r="C31" s="16" t="s">
        <v>1070</v>
      </c>
      <c r="D31" s="4" t="s">
        <v>1071</v>
      </c>
      <c r="E31" s="8" t="s">
        <v>119</v>
      </c>
      <c r="F31" s="8" t="s">
        <v>1069</v>
      </c>
      <c r="G31" s="2"/>
      <c r="H31" s="2"/>
      <c r="I31" s="12" t="str">
        <f t="shared" si="0"/>
        <v/>
      </c>
      <c r="J31" s="2"/>
      <c r="K31" s="2"/>
      <c r="L31" s="12" t="str">
        <f t="shared" si="1"/>
        <v/>
      </c>
      <c r="M31" s="2"/>
      <c r="N31" s="2"/>
      <c r="O31" s="12" t="str">
        <f t="shared" si="2"/>
        <v/>
      </c>
      <c r="P31" s="2"/>
      <c r="Q31" s="2"/>
      <c r="R31" s="12" t="str">
        <f t="shared" si="3"/>
        <v/>
      </c>
      <c r="S31" s="2"/>
      <c r="T31" s="2"/>
      <c r="U31" s="12" t="str">
        <f t="shared" si="4"/>
        <v/>
      </c>
      <c r="V31" s="8" t="s">
        <v>1069</v>
      </c>
      <c r="W31" s="8" t="s">
        <v>1126</v>
      </c>
      <c r="X31" s="13" t="s">
        <v>1070</v>
      </c>
      <c r="Y31" s="4" t="s">
        <v>1100</v>
      </c>
      <c r="Z31" s="5" t="s">
        <v>215</v>
      </c>
      <c r="AA31" s="15" t="s">
        <v>216</v>
      </c>
    </row>
    <row r="32" spans="1:27" ht="24" customHeight="1" x14ac:dyDescent="0.2">
      <c r="A32" s="10" t="s">
        <v>28</v>
      </c>
      <c r="B32" s="10" t="s">
        <v>1074</v>
      </c>
      <c r="C32" s="16" t="s">
        <v>1073</v>
      </c>
      <c r="D32" s="4" t="s">
        <v>1075</v>
      </c>
      <c r="E32" s="10" t="s">
        <v>111</v>
      </c>
      <c r="F32" s="10" t="s">
        <v>111</v>
      </c>
      <c r="G32" s="2"/>
      <c r="H32" s="2"/>
      <c r="I32" s="11" t="str">
        <f t="shared" si="0"/>
        <v/>
      </c>
      <c r="J32" s="2"/>
      <c r="K32" s="2"/>
      <c r="L32" s="11" t="str">
        <f t="shared" si="1"/>
        <v/>
      </c>
      <c r="M32" s="2"/>
      <c r="N32" s="2"/>
      <c r="O32" s="11" t="str">
        <f t="shared" si="2"/>
        <v/>
      </c>
      <c r="P32" s="2"/>
      <c r="Q32" s="2"/>
      <c r="R32" s="11" t="str">
        <f t="shared" si="3"/>
        <v/>
      </c>
      <c r="S32" s="2"/>
      <c r="T32" s="2"/>
      <c r="U32" s="11" t="str">
        <f t="shared" si="4"/>
        <v/>
      </c>
      <c r="V32" s="10" t="s">
        <v>1069</v>
      </c>
      <c r="W32" s="10" t="s">
        <v>1127</v>
      </c>
      <c r="X32" s="14" t="s">
        <v>1128</v>
      </c>
      <c r="Y32" s="4" t="s">
        <v>1100</v>
      </c>
      <c r="Z32" s="5" t="s">
        <v>219</v>
      </c>
      <c r="AA32" s="5" t="s">
        <v>114</v>
      </c>
    </row>
    <row r="33" spans="1:27" ht="24" customHeight="1" x14ac:dyDescent="0.2">
      <c r="A33" s="8" t="s">
        <v>222</v>
      </c>
      <c r="B33" s="8" t="s">
        <v>1074</v>
      </c>
      <c r="C33" s="16" t="s">
        <v>1010</v>
      </c>
      <c r="D33" s="4" t="s">
        <v>1015</v>
      </c>
      <c r="E33" s="8" t="s">
        <v>119</v>
      </c>
      <c r="F33" s="8" t="s">
        <v>119</v>
      </c>
      <c r="G33" s="2">
        <v>1</v>
      </c>
      <c r="H33" s="2">
        <v>4</v>
      </c>
      <c r="I33" s="12">
        <f t="shared" si="0"/>
        <v>0.25</v>
      </c>
      <c r="J33" s="2">
        <v>1</v>
      </c>
      <c r="K33" s="2">
        <v>4</v>
      </c>
      <c r="L33" s="12">
        <f t="shared" si="1"/>
        <v>0.25</v>
      </c>
      <c r="M33" s="2">
        <v>0</v>
      </c>
      <c r="N33" s="2">
        <v>5</v>
      </c>
      <c r="O33" s="12">
        <f t="shared" si="2"/>
        <v>0</v>
      </c>
      <c r="P33" s="2">
        <v>2</v>
      </c>
      <c r="Q33" s="2">
        <v>5</v>
      </c>
      <c r="R33" s="12">
        <f t="shared" si="3"/>
        <v>0.4</v>
      </c>
      <c r="S33" s="2">
        <v>3</v>
      </c>
      <c r="T33" s="2">
        <v>4</v>
      </c>
      <c r="U33" s="12">
        <f t="shared" si="4"/>
        <v>0.75</v>
      </c>
      <c r="V33" s="8" t="s">
        <v>119</v>
      </c>
      <c r="W33" s="8" t="s">
        <v>1129</v>
      </c>
      <c r="X33" s="14" t="s">
        <v>1014</v>
      </c>
      <c r="Y33" s="4" t="s">
        <v>1100</v>
      </c>
      <c r="Z33" s="5" t="s">
        <v>1130</v>
      </c>
      <c r="AA33" s="5" t="s">
        <v>1131</v>
      </c>
    </row>
  </sheetData>
  <autoFilter ref="A3:AA33" xr:uid="{00000000-0009-0000-0000-00000E000000}"/>
  <mergeCells count="2">
    <mergeCell ref="A1:AA1"/>
    <mergeCell ref="A2:AA2"/>
  </mergeCells>
  <hyperlinks>
    <hyperlink ref="AA9" r:id="rId1" xr:uid="{00000000-0004-0000-0E00-000000000000}"/>
    <hyperlink ref="AA10" r:id="rId2" xr:uid="{00000000-0004-0000-0E00-000001000000}"/>
    <hyperlink ref="AA11" r:id="rId3" xr:uid="{00000000-0004-0000-0E00-000002000000}"/>
    <hyperlink ref="AA13" r:id="rId4" xr:uid="{00000000-0004-0000-0E00-000003000000}"/>
    <hyperlink ref="AA15" r:id="rId5" xr:uid="{00000000-0004-0000-0E00-000004000000}"/>
    <hyperlink ref="AA16" r:id="rId6" xr:uid="{00000000-0004-0000-0E00-000005000000}"/>
    <hyperlink ref="AA17" r:id="rId7" xr:uid="{00000000-0004-0000-0E00-000006000000}"/>
    <hyperlink ref="AA18" r:id="rId8" xr:uid="{00000000-0004-0000-0E00-000007000000}"/>
    <hyperlink ref="AA19" r:id="rId9" xr:uid="{00000000-0004-0000-0E00-000008000000}"/>
    <hyperlink ref="AA20" r:id="rId10" xr:uid="{00000000-0004-0000-0E00-000009000000}"/>
    <hyperlink ref="AA21" r:id="rId11" xr:uid="{00000000-0004-0000-0E00-00000A000000}"/>
    <hyperlink ref="AA22" r:id="rId12" xr:uid="{00000000-0004-0000-0E00-00000B000000}"/>
    <hyperlink ref="AA23" r:id="rId13" xr:uid="{00000000-0004-0000-0E00-00000C000000}"/>
    <hyperlink ref="AA24" r:id="rId14" xr:uid="{00000000-0004-0000-0E00-00000D000000}"/>
    <hyperlink ref="AA25" r:id="rId15" xr:uid="{00000000-0004-0000-0E00-00000E000000}"/>
    <hyperlink ref="AA26" r:id="rId16" xr:uid="{00000000-0004-0000-0E00-00000F000000}"/>
    <hyperlink ref="AA27" r:id="rId17" xr:uid="{00000000-0004-0000-0E00-000010000000}"/>
    <hyperlink ref="AA28" r:id="rId18" xr:uid="{00000000-0004-0000-0E00-000011000000}"/>
    <hyperlink ref="AA29" r:id="rId19" xr:uid="{00000000-0004-0000-0E00-000012000000}"/>
    <hyperlink ref="AA30" r:id="rId20" xr:uid="{00000000-0004-0000-0E00-000013000000}"/>
    <hyperlink ref="AA31" r:id="rId21" xr:uid="{00000000-0004-0000-0E00-000014000000}"/>
  </hyperlinks>
  <pageMargins left="0.25" right="0.25" top="0.4" bottom="0.4" header="0.511811023622047" footer="0.511811023622047"/>
  <pageSetup fitToHeight="0" orientation="portrait" horizontalDpi="300" verticalDpi="300"/>
  <legacyDrawing r:id="rId2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9"/>
  <sheetViews>
    <sheetView showGridLines="0" rightToLeft="1" zoomScaleNormal="100" workbookViewId="0">
      <pane ySplit="3" topLeftCell="A4" activePane="bottomLeft" state="frozen"/>
      <selection pane="bottomLeft"/>
    </sheetView>
  </sheetViews>
  <sheetFormatPr baseColWidth="10" defaultColWidth="8.6640625" defaultRowHeight="15" customHeight="1" x14ac:dyDescent="0.2"/>
  <cols>
    <col min="1" max="1" width="42" customWidth="1"/>
    <col min="2" max="2" width="40" customWidth="1"/>
    <col min="3" max="6" width="42" customWidth="1"/>
    <col min="7" max="7" width="20.1640625" customWidth="1"/>
    <col min="8" max="8" width="15.33203125" customWidth="1"/>
    <col min="9" max="9" width="42" customWidth="1"/>
    <col min="10" max="10" width="23.83203125" customWidth="1"/>
    <col min="11" max="12" width="42" customWidth="1"/>
    <col min="13" max="13" width="31.5" customWidth="1"/>
  </cols>
  <sheetData>
    <row r="1" spans="1:13" ht="34" customHeight="1" x14ac:dyDescent="0.2">
      <c r="A1" s="79" t="s">
        <v>1132</v>
      </c>
      <c r="B1" s="76"/>
      <c r="C1" s="76"/>
      <c r="D1" s="76"/>
      <c r="E1" s="76"/>
      <c r="F1" s="76"/>
      <c r="G1" s="76"/>
      <c r="H1" s="76"/>
      <c r="I1" s="76"/>
      <c r="J1" s="76"/>
      <c r="K1" s="76"/>
      <c r="L1" s="76"/>
      <c r="M1" s="76"/>
    </row>
    <row r="2" spans="1:13" ht="28" customHeight="1" x14ac:dyDescent="0.2">
      <c r="A2" s="82" t="s">
        <v>1133</v>
      </c>
      <c r="B2" s="76"/>
      <c r="C2" s="76"/>
      <c r="D2" s="76"/>
      <c r="E2" s="76"/>
      <c r="F2" s="76"/>
      <c r="G2" s="76"/>
      <c r="H2" s="76"/>
      <c r="I2" s="76"/>
      <c r="J2" s="76"/>
      <c r="K2" s="76"/>
      <c r="L2" s="76"/>
      <c r="M2" s="76"/>
    </row>
    <row r="3" spans="1:13" ht="34" customHeight="1" x14ac:dyDescent="0.2">
      <c r="A3" s="28" t="s">
        <v>227</v>
      </c>
      <c r="B3" s="28" t="s">
        <v>806</v>
      </c>
      <c r="C3" s="28" t="s">
        <v>805</v>
      </c>
      <c r="D3" s="28" t="s">
        <v>1030</v>
      </c>
      <c r="E3" s="28" t="s">
        <v>1074</v>
      </c>
      <c r="F3" s="28" t="s">
        <v>1070</v>
      </c>
      <c r="G3" s="28" t="s">
        <v>807</v>
      </c>
      <c r="H3" s="28" t="s">
        <v>1134</v>
      </c>
      <c r="I3" s="28" t="s">
        <v>1135</v>
      </c>
      <c r="J3" s="28" t="s">
        <v>1136</v>
      </c>
      <c r="K3" s="28" t="s">
        <v>107</v>
      </c>
      <c r="L3" s="28" t="s">
        <v>936</v>
      </c>
      <c r="M3" s="28" t="s">
        <v>1137</v>
      </c>
    </row>
    <row r="4" spans="1:13" ht="24" customHeight="1" x14ac:dyDescent="0.2">
      <c r="A4" s="10" t="s">
        <v>948</v>
      </c>
      <c r="B4" s="17">
        <f>COUNTIF('Turnover نهایی'!E4:E33,"بله")</f>
        <v>29</v>
      </c>
      <c r="C4" s="17">
        <f>COUNT('Turnover نهایی'!I4:I33)</f>
        <v>28</v>
      </c>
      <c r="D4" s="10">
        <v>0</v>
      </c>
      <c r="E4" s="17">
        <f>COUNTIF('Turnover نهایی'!X4:X33,"خارج از مخرج پایلوت")</f>
        <v>1</v>
      </c>
      <c r="F4" s="17">
        <f>COUNTIFS('Turnover نهایی'!E4:E33,"بله",'Turnover نهایی'!I4:I33,"")</f>
        <v>1</v>
      </c>
      <c r="G4" s="11">
        <f t="shared" ref="G4:G9" si="0">IF(B4&gt;0,C4/B4,"")</f>
        <v>0.96551724137931039</v>
      </c>
      <c r="H4" s="11">
        <f t="shared" ref="H4:H9" si="1">C4/30</f>
        <v>0.93333333333333335</v>
      </c>
      <c r="I4" s="17" t="str">
        <f t="shared" ref="I4:I9" si="2">IF(G4&gt;=0.9,"بسیار قوی",IF(G4&gt;=0.8,"قوی",IF(G4&gt;=0.7,"قابل استفاده با محدودیت",IF(G4&gt;=0.5,"توسعه ای","ضعیف"))))</f>
        <v>بسیار قوی</v>
      </c>
      <c r="J4" s="10" t="s">
        <v>1138</v>
      </c>
      <c r="K4" s="10" t="s">
        <v>1139</v>
      </c>
      <c r="L4" s="4" t="s">
        <v>1140</v>
      </c>
      <c r="M4" s="5" t="s">
        <v>1141</v>
      </c>
    </row>
    <row r="5" spans="1:13" ht="24" customHeight="1" x14ac:dyDescent="0.2">
      <c r="A5" s="8" t="s">
        <v>960</v>
      </c>
      <c r="B5" s="18">
        <f>COUNTIF('Turnover نهایی'!F4:F33,"بله")</f>
        <v>25</v>
      </c>
      <c r="C5" s="18">
        <f>COUNT('Turnover نهایی'!L4:L33)</f>
        <v>25</v>
      </c>
      <c r="D5" s="18">
        <f>COUNTIFS('Turnover نهایی'!F4:F33,"خیر",'Turnover نهایی'!X4:X33,"&lt;&gt;خارج از مخرج پایلوت")</f>
        <v>3</v>
      </c>
      <c r="E5" s="18">
        <f>COUNTIF('Turnover نهایی'!X4:X33,"خارج از مخرج پایلوت")</f>
        <v>1</v>
      </c>
      <c r="F5" s="18">
        <f>COUNTIF('Turnover نهایی'!F4:F33,"نامشخص")</f>
        <v>1</v>
      </c>
      <c r="G5" s="12">
        <f t="shared" si="0"/>
        <v>1</v>
      </c>
      <c r="H5" s="12">
        <f t="shared" si="1"/>
        <v>0.83333333333333337</v>
      </c>
      <c r="I5" s="18" t="str">
        <f t="shared" si="2"/>
        <v>بسیار قوی</v>
      </c>
      <c r="J5" s="8" t="s">
        <v>1138</v>
      </c>
      <c r="K5" s="8" t="s">
        <v>1142</v>
      </c>
      <c r="L5" s="4" t="s">
        <v>1143</v>
      </c>
      <c r="M5" s="5" t="s">
        <v>1141</v>
      </c>
    </row>
    <row r="6" spans="1:13" ht="24" customHeight="1" x14ac:dyDescent="0.2">
      <c r="A6" s="10" t="s">
        <v>1144</v>
      </c>
      <c r="B6" s="17">
        <f>COUNTIF('Turnover نهایی'!F4:F33,"بله")</f>
        <v>25</v>
      </c>
      <c r="C6" s="17">
        <f>COUNT('Turnover نهایی'!O4:O33)</f>
        <v>25</v>
      </c>
      <c r="D6" s="17">
        <f>COUNTIFS('Turnover نهایی'!F4:F33,"خیر",'Turnover نهایی'!X4:X33,"&lt;&gt;خارج از مخرج پایلوت")</f>
        <v>3</v>
      </c>
      <c r="E6" s="17">
        <f>COUNTIF('Turnover نهایی'!X4:X33,"خارج از مخرج پایلوت")</f>
        <v>1</v>
      </c>
      <c r="F6" s="17">
        <f>COUNTIF('Turnover نهایی'!F4:F33,"نامشخص")</f>
        <v>1</v>
      </c>
      <c r="G6" s="11">
        <f t="shared" si="0"/>
        <v>1</v>
      </c>
      <c r="H6" s="11">
        <f t="shared" si="1"/>
        <v>0.83333333333333337</v>
      </c>
      <c r="I6" s="17" t="str">
        <f t="shared" si="2"/>
        <v>بسیار قوی</v>
      </c>
      <c r="J6" s="10" t="s">
        <v>1145</v>
      </c>
      <c r="K6" s="10" t="s">
        <v>1146</v>
      </c>
      <c r="L6" s="4" t="s">
        <v>1147</v>
      </c>
      <c r="M6" s="5" t="s">
        <v>1141</v>
      </c>
    </row>
    <row r="7" spans="1:13" ht="24" customHeight="1" x14ac:dyDescent="0.2">
      <c r="A7" s="8" t="s">
        <v>516</v>
      </c>
      <c r="B7" s="18">
        <f>COUNTIF('Turnover نهایی'!E4:E33,"بله")</f>
        <v>29</v>
      </c>
      <c r="C7" s="18">
        <f>COUNT('Turnover نهایی'!R4:R33)</f>
        <v>28</v>
      </c>
      <c r="D7" s="8">
        <v>0</v>
      </c>
      <c r="E7" s="18">
        <f>COUNTIF('Turnover نهایی'!X4:X33,"خارج از مخرج پایلوت")</f>
        <v>1</v>
      </c>
      <c r="F7" s="18">
        <f>COUNTIFS('Turnover نهایی'!E4:E33,"بله",'Turnover نهایی'!R4:R33,"")</f>
        <v>1</v>
      </c>
      <c r="G7" s="12">
        <f t="shared" si="0"/>
        <v>0.96551724137931039</v>
      </c>
      <c r="H7" s="12">
        <f t="shared" si="1"/>
        <v>0.93333333333333335</v>
      </c>
      <c r="I7" s="18" t="str">
        <f t="shared" si="2"/>
        <v>بسیار قوی</v>
      </c>
      <c r="J7" s="8" t="s">
        <v>1145</v>
      </c>
      <c r="K7" s="8" t="s">
        <v>1148</v>
      </c>
      <c r="L7" s="4" t="s">
        <v>1149</v>
      </c>
      <c r="M7" s="5" t="s">
        <v>1141</v>
      </c>
    </row>
    <row r="8" spans="1:13" ht="24" customHeight="1" x14ac:dyDescent="0.2">
      <c r="A8" s="10" t="s">
        <v>1150</v>
      </c>
      <c r="B8" s="17">
        <f>COUNTIF('Turnover نهایی'!E4:E33,"بله")</f>
        <v>29</v>
      </c>
      <c r="C8" s="17">
        <f>COUNT('Turnover نهایی'!U4:U33)</f>
        <v>28</v>
      </c>
      <c r="D8" s="10">
        <v>0</v>
      </c>
      <c r="E8" s="17">
        <f>COUNTIF('Turnover نهایی'!X4:X33,"خارج از مخرج پایلوت")</f>
        <v>1</v>
      </c>
      <c r="F8" s="17">
        <f>COUNTIFS('Turnover نهایی'!E4:E33,"بله",'Turnover نهایی'!U4:U33,"")</f>
        <v>1</v>
      </c>
      <c r="G8" s="11">
        <f t="shared" si="0"/>
        <v>0.96551724137931039</v>
      </c>
      <c r="H8" s="11">
        <f t="shared" si="1"/>
        <v>0.93333333333333335</v>
      </c>
      <c r="I8" s="17" t="str">
        <f t="shared" si="2"/>
        <v>بسیار قوی</v>
      </c>
      <c r="J8" s="10" t="s">
        <v>1145</v>
      </c>
      <c r="K8" s="10" t="s">
        <v>1151</v>
      </c>
      <c r="L8" s="4" t="s">
        <v>1152</v>
      </c>
      <c r="M8" s="5" t="s">
        <v>1141</v>
      </c>
    </row>
    <row r="9" spans="1:13" ht="24" customHeight="1" x14ac:dyDescent="0.2">
      <c r="A9" s="8" t="s">
        <v>1153</v>
      </c>
      <c r="B9" s="18">
        <f>'CR1A v39'!B44</f>
        <v>30</v>
      </c>
      <c r="C9" s="18">
        <f>'CR1A v39'!B39</f>
        <v>26</v>
      </c>
      <c r="D9" s="8">
        <v>0</v>
      </c>
      <c r="E9" s="18">
        <v>0</v>
      </c>
      <c r="F9" s="18">
        <f>'CR1A v39'!B50</f>
        <v>4</v>
      </c>
      <c r="G9" s="12">
        <f t="shared" si="0"/>
        <v>0.8666666666666667</v>
      </c>
      <c r="H9" s="12">
        <f t="shared" si="1"/>
        <v>0.8666666666666667</v>
      </c>
      <c r="I9" s="18" t="str">
        <f t="shared" si="2"/>
        <v>قوی</v>
      </c>
      <c r="J9" s="8" t="s">
        <v>1154</v>
      </c>
      <c r="K9" s="8" t="s">
        <v>1155</v>
      </c>
      <c r="L9" s="4" t="s">
        <v>1156</v>
      </c>
      <c r="M9" s="5" t="s">
        <v>1157</v>
      </c>
    </row>
  </sheetData>
  <autoFilter ref="A3:M9" xr:uid="{00000000-0009-0000-0000-00000F000000}"/>
  <mergeCells count="2">
    <mergeCell ref="A2:M2"/>
    <mergeCell ref="A1:M1"/>
  </mergeCells>
  <pageMargins left="0.25" right="0.25" top="0.4" bottom="0.4" header="0.511811023622047" footer="0.511811023622047"/>
  <pageSetup fitToHeight="0" orientation="portrait" horizontalDpi="300" verticalDpi="300"/>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L8"/>
  <sheetViews>
    <sheetView showGridLines="0" rightToLeft="1" zoomScaleNormal="100" workbookViewId="0">
      <pane ySplit="3" topLeftCell="A4" activePane="bottomLeft" state="frozen"/>
      <selection pane="bottomLeft"/>
    </sheetView>
  </sheetViews>
  <sheetFormatPr baseColWidth="10" defaultColWidth="8.6640625" defaultRowHeight="15" customHeight="1" x14ac:dyDescent="0.2"/>
  <cols>
    <col min="1" max="1" width="37.1640625" customWidth="1"/>
    <col min="2" max="2" width="32.5" customWidth="1"/>
    <col min="3" max="4" width="30.5" customWidth="1"/>
    <col min="5" max="5" width="34.33203125" customWidth="1"/>
    <col min="6" max="6" width="33.33203125" customWidth="1"/>
    <col min="7" max="7" width="32.5" customWidth="1"/>
    <col min="8" max="8" width="36.1640625" customWidth="1"/>
    <col min="9" max="9" width="39.1640625" customWidth="1"/>
    <col min="10" max="12" width="42" customWidth="1"/>
  </cols>
  <sheetData>
    <row r="1" spans="1:12" ht="34" customHeight="1" x14ac:dyDescent="0.2">
      <c r="A1" s="79" t="s">
        <v>1158</v>
      </c>
      <c r="B1" s="76"/>
      <c r="C1" s="76"/>
      <c r="D1" s="76"/>
      <c r="E1" s="76"/>
      <c r="F1" s="76"/>
      <c r="G1" s="76"/>
      <c r="H1" s="76"/>
      <c r="I1" s="76"/>
      <c r="J1" s="76"/>
      <c r="K1" s="76"/>
      <c r="L1" s="76"/>
    </row>
    <row r="2" spans="1:12" ht="28" customHeight="1" x14ac:dyDescent="0.2">
      <c r="A2" s="82" t="s">
        <v>1159</v>
      </c>
      <c r="B2" s="76"/>
      <c r="C2" s="76"/>
      <c r="D2" s="76"/>
      <c r="E2" s="76"/>
      <c r="F2" s="76"/>
      <c r="G2" s="76"/>
      <c r="H2" s="76"/>
      <c r="I2" s="76"/>
      <c r="J2" s="76"/>
      <c r="K2" s="76"/>
      <c r="L2" s="76"/>
    </row>
    <row r="3" spans="1:12" ht="34" customHeight="1" x14ac:dyDescent="0.2">
      <c r="A3" s="28" t="s">
        <v>227</v>
      </c>
      <c r="B3" s="28" t="s">
        <v>1160</v>
      </c>
      <c r="C3" s="28" t="s">
        <v>1161</v>
      </c>
      <c r="D3" s="28" t="s">
        <v>1162</v>
      </c>
      <c r="E3" s="28" t="s">
        <v>1163</v>
      </c>
      <c r="F3" s="28" t="s">
        <v>1164</v>
      </c>
      <c r="G3" s="28" t="s">
        <v>1165</v>
      </c>
      <c r="H3" s="28" t="s">
        <v>1166</v>
      </c>
      <c r="I3" s="28" t="s">
        <v>1167</v>
      </c>
      <c r="J3" s="28" t="s">
        <v>704</v>
      </c>
      <c r="K3" s="28" t="s">
        <v>936</v>
      </c>
      <c r="L3" s="28" t="s">
        <v>1137</v>
      </c>
    </row>
    <row r="4" spans="1:12" ht="24" customHeight="1" x14ac:dyDescent="0.2">
      <c r="A4" s="10" t="s">
        <v>948</v>
      </c>
      <c r="B4" s="17">
        <f>COUNT('Turnover نهایی'!I4:I33)</f>
        <v>28</v>
      </c>
      <c r="C4" s="11">
        <f>MIN('Turnover نهایی'!I4:I33)</f>
        <v>0</v>
      </c>
      <c r="D4" s="11">
        <f>MAX('Turnover نهایی'!I4:I33)</f>
        <v>0.8</v>
      </c>
      <c r="E4" s="11">
        <f>AVERAGE('Turnover نهایی'!I4:I33)</f>
        <v>0.35773809523809524</v>
      </c>
      <c r="F4" s="11">
        <f>MEDIAN('Turnover نهایی'!I4:I33)</f>
        <v>0.4</v>
      </c>
      <c r="G4" s="11">
        <f>STDEV('Turnover نهایی'!I4:I33)</f>
        <v>0.24446473581004224</v>
      </c>
      <c r="H4" s="17">
        <f>COUNTIF('Turnover نهایی'!I4:I33,0)</f>
        <v>5</v>
      </c>
      <c r="I4" s="17">
        <f>COUNTIF('Turnover نهایی'!I4:I33,"&gt;0")</f>
        <v>23</v>
      </c>
      <c r="J4" s="10" t="s">
        <v>1168</v>
      </c>
      <c r="K4" s="4" t="s">
        <v>1169</v>
      </c>
      <c r="L4" s="5" t="s">
        <v>1170</v>
      </c>
    </row>
    <row r="5" spans="1:12" ht="24" customHeight="1" x14ac:dyDescent="0.2">
      <c r="A5" s="8" t="s">
        <v>1171</v>
      </c>
      <c r="B5" s="18">
        <f>COUNT('Turnover نهایی'!L4:L33)</f>
        <v>25</v>
      </c>
      <c r="C5" s="12">
        <f>MIN('Turnover نهایی'!L4:L33)</f>
        <v>0</v>
      </c>
      <c r="D5" s="12">
        <f>MAX('Turnover نهایی'!L4:L33)</f>
        <v>1</v>
      </c>
      <c r="E5" s="12">
        <f>AVERAGE('Turnover نهایی'!L4:L33)</f>
        <v>0.41400000000000003</v>
      </c>
      <c r="F5" s="12">
        <f>MEDIAN('Turnover نهایی'!L4:L33)</f>
        <v>0.4</v>
      </c>
      <c r="G5" s="12">
        <f>STDEV('Turnover نهایی'!L4:L33)</f>
        <v>0.2878190661071896</v>
      </c>
      <c r="H5" s="18">
        <f>COUNTIF('Turnover نهایی'!L4:L33,0)</f>
        <v>4</v>
      </c>
      <c r="I5" s="18">
        <f>COUNTIF('Turnover نهایی'!L4:L33,"&gt;0")</f>
        <v>21</v>
      </c>
      <c r="J5" s="8" t="s">
        <v>1172</v>
      </c>
      <c r="K5" s="4" t="s">
        <v>1169</v>
      </c>
      <c r="L5" s="5" t="s">
        <v>1170</v>
      </c>
    </row>
    <row r="6" spans="1:12" ht="24" customHeight="1" x14ac:dyDescent="0.2">
      <c r="A6" s="10" t="s">
        <v>1144</v>
      </c>
      <c r="B6" s="17">
        <f>COUNT('Turnover نهایی'!O4:O33)</f>
        <v>25</v>
      </c>
      <c r="C6" s="11">
        <f>MIN('Turnover نهایی'!O4:O33)</f>
        <v>0</v>
      </c>
      <c r="D6" s="11">
        <f>MAX('Turnover نهایی'!O4:O33)</f>
        <v>0.8</v>
      </c>
      <c r="E6" s="11">
        <f>AVERAGE('Turnover نهایی'!O4:O33)</f>
        <v>0.14400000000000002</v>
      </c>
      <c r="F6" s="11">
        <f>MEDIAN('Turnover نهایی'!O4:O33)</f>
        <v>0</v>
      </c>
      <c r="G6" s="11">
        <f>STDEV('Turnover نهایی'!O4:O33)</f>
        <v>0.2416609194718915</v>
      </c>
      <c r="H6" s="17">
        <f>COUNTIF('Turnover نهایی'!O4:O33,0)</f>
        <v>16</v>
      </c>
      <c r="I6" s="17">
        <f>COUNTIF('Turnover نهایی'!O4:O33,"&gt;0")</f>
        <v>9</v>
      </c>
      <c r="J6" s="10" t="s">
        <v>1173</v>
      </c>
      <c r="K6" s="4" t="s">
        <v>1169</v>
      </c>
      <c r="L6" s="5" t="s">
        <v>1170</v>
      </c>
    </row>
    <row r="7" spans="1:12" ht="24" customHeight="1" x14ac:dyDescent="0.2">
      <c r="A7" s="8" t="s">
        <v>516</v>
      </c>
      <c r="B7" s="18">
        <f>COUNT('Turnover نهایی'!R4:R33)</f>
        <v>28</v>
      </c>
      <c r="C7" s="12">
        <f>MIN('Turnover نهایی'!R4:R33)</f>
        <v>0</v>
      </c>
      <c r="D7" s="12">
        <f>MAX('Turnover نهایی'!R4:R33)</f>
        <v>0.8</v>
      </c>
      <c r="E7" s="12">
        <f>AVERAGE('Turnover نهایی'!R4:R33)</f>
        <v>0.3392857142857143</v>
      </c>
      <c r="F7" s="12">
        <f>MEDIAN('Turnover نهایی'!R4:R33)</f>
        <v>0.4</v>
      </c>
      <c r="G7" s="12">
        <f>STDEV('Turnover نهایی'!R4:R33)</f>
        <v>0.24546144860511762</v>
      </c>
      <c r="H7" s="18">
        <f>COUNTIF('Turnover نهایی'!R4:R33,0)</f>
        <v>6</v>
      </c>
      <c r="I7" s="18">
        <f>COUNTIF('Turnover نهایی'!R4:R33,"&gt;0")</f>
        <v>22</v>
      </c>
      <c r="J7" s="8" t="s">
        <v>1174</v>
      </c>
      <c r="K7" s="4" t="s">
        <v>1169</v>
      </c>
      <c r="L7" s="5" t="s">
        <v>1170</v>
      </c>
    </row>
    <row r="8" spans="1:12" ht="24" customHeight="1" x14ac:dyDescent="0.2">
      <c r="A8" s="10" t="s">
        <v>1150</v>
      </c>
      <c r="B8" s="17">
        <f>COUNT('Turnover نهایی'!U4:U33)</f>
        <v>28</v>
      </c>
      <c r="C8" s="11">
        <f>MIN('Turnover نهایی'!U4:U33)</f>
        <v>0.2</v>
      </c>
      <c r="D8" s="11">
        <f>MAX('Turnover نهایی'!U4:U33)</f>
        <v>1</v>
      </c>
      <c r="E8" s="11">
        <f>AVERAGE('Turnover نهایی'!U4:U33)</f>
        <v>0.64226190476190481</v>
      </c>
      <c r="F8" s="11">
        <f>MEDIAN('Turnover نهایی'!U4:U33)</f>
        <v>0.6</v>
      </c>
      <c r="G8" s="11">
        <f>STDEV('Turnover نهایی'!U4:U33)</f>
        <v>0.24446473581004205</v>
      </c>
      <c r="H8" s="17">
        <f>COUNTIF('Turnover نهایی'!U4:U33,0)</f>
        <v>0</v>
      </c>
      <c r="I8" s="17">
        <f>COUNTIF('Turnover نهایی'!U4:U33,"&gt;0")</f>
        <v>28</v>
      </c>
      <c r="J8" s="10" t="s">
        <v>1175</v>
      </c>
      <c r="K8" s="4" t="s">
        <v>1169</v>
      </c>
      <c r="L8" s="5" t="s">
        <v>1170</v>
      </c>
    </row>
  </sheetData>
  <autoFilter ref="A3:L8" xr:uid="{00000000-0009-0000-0000-000010000000}"/>
  <mergeCells count="2">
    <mergeCell ref="A2:L2"/>
    <mergeCell ref="A1:L1"/>
  </mergeCells>
  <pageMargins left="0.25" right="0.25" top="0.4" bottom="0.4" header="0.511811023622047" footer="0.511811023622047"/>
  <pageSetup fitToHeight="0"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G7"/>
  <sheetViews>
    <sheetView showGridLines="0" rightToLeft="1" zoomScaleNormal="100" workbookViewId="0">
      <pane ySplit="3" topLeftCell="A4" activePane="bottomLeft" state="frozen"/>
      <selection pane="bottomLeft"/>
    </sheetView>
  </sheetViews>
  <sheetFormatPr baseColWidth="10" defaultColWidth="8.6640625" defaultRowHeight="15" customHeight="1" x14ac:dyDescent="0.2"/>
  <cols>
    <col min="1" max="1" width="39.1640625" customWidth="1"/>
    <col min="2" max="2" width="42" customWidth="1"/>
    <col min="3" max="3" width="26.6640625" customWidth="1"/>
    <col min="4" max="7" width="42" customWidth="1"/>
  </cols>
  <sheetData>
    <row r="1" spans="1:7" ht="34" customHeight="1" x14ac:dyDescent="0.2">
      <c r="A1" s="79" t="s">
        <v>1176</v>
      </c>
      <c r="B1" s="76"/>
      <c r="C1" s="76"/>
      <c r="D1" s="76"/>
      <c r="E1" s="76"/>
      <c r="F1" s="76"/>
      <c r="G1" s="76"/>
    </row>
    <row r="2" spans="1:7" ht="28" customHeight="1" x14ac:dyDescent="0.2">
      <c r="A2" s="82" t="s">
        <v>1177</v>
      </c>
      <c r="B2" s="76"/>
      <c r="C2" s="76"/>
      <c r="D2" s="76"/>
      <c r="E2" s="76"/>
      <c r="F2" s="76"/>
      <c r="G2" s="76"/>
    </row>
    <row r="3" spans="1:7" ht="34" customHeight="1" x14ac:dyDescent="0.2">
      <c r="A3" s="28" t="s">
        <v>1178</v>
      </c>
      <c r="B3" s="28" t="s">
        <v>1179</v>
      </c>
      <c r="C3" s="28" t="s">
        <v>704</v>
      </c>
      <c r="D3" s="28" t="s">
        <v>1180</v>
      </c>
      <c r="E3" s="28" t="s">
        <v>1181</v>
      </c>
      <c r="F3" s="28" t="s">
        <v>1182</v>
      </c>
      <c r="G3" s="28" t="s">
        <v>1183</v>
      </c>
    </row>
    <row r="4" spans="1:7" ht="24" customHeight="1" x14ac:dyDescent="0.2">
      <c r="A4" s="10" t="s">
        <v>1184</v>
      </c>
      <c r="B4" s="19">
        <f>CORREL('Turnover نهایی'!I4:I33,'Turnover نهایی'!L4:L33)</f>
        <v>0.83247495701671936</v>
      </c>
      <c r="C4" s="10" t="s">
        <v>1185</v>
      </c>
      <c r="D4" s="10" t="s">
        <v>1186</v>
      </c>
      <c r="E4" s="10" t="s">
        <v>1187</v>
      </c>
      <c r="F4" s="10" t="s">
        <v>1188</v>
      </c>
      <c r="G4" s="6" t="s">
        <v>1189</v>
      </c>
    </row>
    <row r="5" spans="1:7" ht="24" customHeight="1" x14ac:dyDescent="0.2">
      <c r="A5" s="8" t="s">
        <v>1190</v>
      </c>
      <c r="B5" s="20">
        <f>CORREL('Turnover نهایی'!I4:I33,'Turnover نهایی'!O4:O33)</f>
        <v>0.13796975765177094</v>
      </c>
      <c r="C5" s="8" t="s">
        <v>1191</v>
      </c>
      <c r="D5" s="8" t="s">
        <v>1192</v>
      </c>
      <c r="E5" s="8" t="s">
        <v>1193</v>
      </c>
      <c r="F5" s="8" t="s">
        <v>1194</v>
      </c>
      <c r="G5" s="3" t="s">
        <v>1189</v>
      </c>
    </row>
    <row r="6" spans="1:7" ht="24" customHeight="1" x14ac:dyDescent="0.2">
      <c r="A6" s="10" t="s">
        <v>1195</v>
      </c>
      <c r="B6" s="19">
        <f>CORREL('Turnover نهایی'!I4:I33,'Turnover نهایی'!R4:R33)</f>
        <v>0.94731535368992548</v>
      </c>
      <c r="C6" s="10" t="s">
        <v>1196</v>
      </c>
      <c r="D6" s="10" t="s">
        <v>1197</v>
      </c>
      <c r="E6" s="10" t="s">
        <v>1198</v>
      </c>
      <c r="F6" s="10" t="s">
        <v>1199</v>
      </c>
      <c r="G6" s="6" t="s">
        <v>1189</v>
      </c>
    </row>
    <row r="7" spans="1:7" ht="24" customHeight="1" x14ac:dyDescent="0.2">
      <c r="A7" s="8" t="s">
        <v>1200</v>
      </c>
      <c r="B7" s="20">
        <f>CORREL('Turnover نهایی'!I4:I33,'Turnover نهایی'!U4:U33)</f>
        <v>-1</v>
      </c>
      <c r="C7" s="8" t="s">
        <v>1201</v>
      </c>
      <c r="D7" s="8" t="s">
        <v>1202</v>
      </c>
      <c r="E7" s="8" t="s">
        <v>1203</v>
      </c>
      <c r="F7" s="8" t="s">
        <v>1204</v>
      </c>
      <c r="G7" s="3" t="s">
        <v>1189</v>
      </c>
    </row>
  </sheetData>
  <autoFilter ref="A3:G7" xr:uid="{00000000-0009-0000-0000-000011000000}"/>
  <mergeCells count="2">
    <mergeCell ref="A2:G2"/>
    <mergeCell ref="A1:G1"/>
  </mergeCells>
  <pageMargins left="0.25" right="0.25" top="0.4" bottom="0.4" header="0.511811023622047" footer="0.511811023622047"/>
  <pageSetup fitToHeight="0"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G12"/>
  <sheetViews>
    <sheetView showGridLines="0" rightToLeft="1" zoomScaleNormal="100" workbookViewId="0">
      <pane ySplit="3" topLeftCell="A4" activePane="bottomLeft" state="frozen"/>
      <selection pane="bottomLeft"/>
    </sheetView>
  </sheetViews>
  <sheetFormatPr baseColWidth="10" defaultColWidth="8.6640625" defaultRowHeight="15" customHeight="1" x14ac:dyDescent="0.2"/>
  <cols>
    <col min="1" max="4" width="42" customWidth="1"/>
    <col min="5" max="7" width="10" customWidth="1"/>
  </cols>
  <sheetData>
    <row r="1" spans="1:7" ht="34" customHeight="1" x14ac:dyDescent="0.2">
      <c r="A1" s="79" t="s">
        <v>1205</v>
      </c>
      <c r="B1" s="76"/>
      <c r="C1" s="76"/>
      <c r="D1" s="76"/>
      <c r="E1" s="76"/>
      <c r="F1" s="76"/>
      <c r="G1" s="76"/>
    </row>
    <row r="2" spans="1:7" ht="28" customHeight="1" x14ac:dyDescent="0.2">
      <c r="A2" s="82" t="s">
        <v>1206</v>
      </c>
      <c r="B2" s="76"/>
      <c r="C2" s="76"/>
      <c r="D2" s="76"/>
      <c r="E2" s="76"/>
      <c r="F2" s="76"/>
      <c r="G2" s="76"/>
    </row>
    <row r="3" spans="1:7" ht="34" customHeight="1" x14ac:dyDescent="0.2">
      <c r="A3" s="28" t="s">
        <v>1207</v>
      </c>
      <c r="B3" s="28" t="s">
        <v>228</v>
      </c>
      <c r="C3" s="28" t="s">
        <v>704</v>
      </c>
      <c r="D3" s="28" t="s">
        <v>1183</v>
      </c>
    </row>
    <row r="4" spans="1:7" ht="24" customHeight="1" x14ac:dyDescent="0.2">
      <c r="A4" s="10" t="s">
        <v>1208</v>
      </c>
      <c r="B4" s="17">
        <f>COUNT('Turnover نهایی'!L4:L33)</f>
        <v>25</v>
      </c>
      <c r="C4" s="10" t="s">
        <v>1209</v>
      </c>
      <c r="D4" s="6" t="s">
        <v>1210</v>
      </c>
    </row>
    <row r="5" spans="1:7" ht="24" customHeight="1" x14ac:dyDescent="0.2">
      <c r="A5" s="8" t="s">
        <v>1211</v>
      </c>
      <c r="B5" s="18">
        <f>COUNTIF('Turnover نهایی'!L4:L33,"&gt;0")</f>
        <v>21</v>
      </c>
      <c r="C5" s="8" t="s">
        <v>1212</v>
      </c>
      <c r="D5" s="3" t="s">
        <v>1210</v>
      </c>
    </row>
    <row r="6" spans="1:7" ht="24" customHeight="1" x14ac:dyDescent="0.2">
      <c r="A6" s="10" t="s">
        <v>1213</v>
      </c>
      <c r="B6" s="11">
        <f>B5/B4</f>
        <v>0.84</v>
      </c>
      <c r="C6" s="10" t="s">
        <v>1214</v>
      </c>
      <c r="D6" s="6" t="s">
        <v>1210</v>
      </c>
    </row>
    <row r="7" spans="1:7" ht="24" customHeight="1" x14ac:dyDescent="0.2">
      <c r="A7" s="8" t="s">
        <v>1215</v>
      </c>
      <c r="B7" s="12">
        <f>AVERAGE('Turnover نهایی'!L4:L33)</f>
        <v>0.41400000000000003</v>
      </c>
      <c r="C7" s="8" t="s">
        <v>1216</v>
      </c>
      <c r="D7" s="3" t="s">
        <v>1210</v>
      </c>
    </row>
    <row r="8" spans="1:7" ht="24" customHeight="1" x14ac:dyDescent="0.2">
      <c r="A8" s="10" t="s">
        <v>1164</v>
      </c>
      <c r="B8" s="11">
        <f>MEDIAN('Turnover نهایی'!L4:L33)</f>
        <v>0.4</v>
      </c>
      <c r="C8" s="10" t="s">
        <v>1217</v>
      </c>
      <c r="D8" s="6" t="s">
        <v>1210</v>
      </c>
    </row>
    <row r="9" spans="1:7" ht="24" customHeight="1" x14ac:dyDescent="0.2">
      <c r="A9" s="8" t="s">
        <v>1161</v>
      </c>
      <c r="B9" s="12">
        <f>MIN('Turnover نهایی'!L4:L33)</f>
        <v>0</v>
      </c>
      <c r="C9" s="8" t="s">
        <v>1218</v>
      </c>
      <c r="D9" s="3" t="s">
        <v>1210</v>
      </c>
    </row>
    <row r="10" spans="1:7" ht="24" customHeight="1" x14ac:dyDescent="0.2">
      <c r="A10" s="10" t="s">
        <v>1162</v>
      </c>
      <c r="B10" s="11">
        <f>MAX('Turnover نهایی'!L4:L33)</f>
        <v>1</v>
      </c>
      <c r="C10" s="10" t="s">
        <v>1219</v>
      </c>
      <c r="D10" s="6" t="s">
        <v>1210</v>
      </c>
    </row>
    <row r="11" spans="1:7" ht="24" customHeight="1" x14ac:dyDescent="0.2">
      <c r="A11" s="8" t="s">
        <v>1220</v>
      </c>
      <c r="B11" s="21">
        <f>CORREL('Turnover نهایی'!I4:I33,'Turnover نهایی'!L4:L33)</f>
        <v>0.83247495701671936</v>
      </c>
      <c r="C11" s="8" t="s">
        <v>1221</v>
      </c>
      <c r="D11" s="3" t="s">
        <v>1210</v>
      </c>
    </row>
    <row r="12" spans="1:7" ht="24" customHeight="1" x14ac:dyDescent="0.2">
      <c r="A12" s="10" t="s">
        <v>1222</v>
      </c>
      <c r="B12" s="22">
        <f>CORREL('Turnover نهایی'!I4:I33,'Turnover نهایی'!O4:O33)</f>
        <v>0.13796975765177094</v>
      </c>
      <c r="C12" s="10" t="s">
        <v>1223</v>
      </c>
      <c r="D12" s="6" t="s">
        <v>1210</v>
      </c>
    </row>
  </sheetData>
  <autoFilter ref="A3:G12" xr:uid="{00000000-0009-0000-0000-000012000000}"/>
  <mergeCells count="2">
    <mergeCell ref="A2:G2"/>
    <mergeCell ref="A1:G1"/>
  </mergeCells>
  <pageMargins left="0.25" right="0.25" top="0.4" bottom="0.4" header="0.511811023622047" footer="0.511811023622047"/>
  <pageSetup fitToHeight="0" orientation="portrait" horizontalDpi="300" verticalDpi="300"/>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I15"/>
  <sheetViews>
    <sheetView showGridLines="0" rightToLeft="1" zoomScaleNormal="100" workbookViewId="0">
      <pane ySplit="1" topLeftCell="A2" activePane="bottomLeft" state="frozen"/>
      <selection pane="bottomLeft"/>
    </sheetView>
  </sheetViews>
  <sheetFormatPr baseColWidth="10" defaultColWidth="8.6640625" defaultRowHeight="15" customHeight="1" x14ac:dyDescent="0.2"/>
  <cols>
    <col min="1" max="2" width="42" customWidth="1"/>
    <col min="3" max="3" width="20.1640625" customWidth="1"/>
    <col min="4" max="4" width="35.33203125" customWidth="1"/>
    <col min="5" max="5" width="13.5" customWidth="1"/>
    <col min="6" max="6" width="30.5" customWidth="1"/>
    <col min="7" max="7" width="15.33203125" customWidth="1"/>
    <col min="8" max="9" width="42" customWidth="1"/>
  </cols>
  <sheetData>
    <row r="1" spans="1:9" ht="34" customHeight="1" x14ac:dyDescent="0.2">
      <c r="A1" s="36" t="s">
        <v>1224</v>
      </c>
      <c r="B1" s="36" t="s">
        <v>1225</v>
      </c>
      <c r="C1" s="36" t="s">
        <v>1226</v>
      </c>
      <c r="D1" s="36" t="s">
        <v>1227</v>
      </c>
      <c r="E1" s="36" t="s">
        <v>1228</v>
      </c>
      <c r="F1" s="36" t="s">
        <v>702</v>
      </c>
      <c r="G1" s="36" t="s">
        <v>1229</v>
      </c>
      <c r="H1" s="36" t="s">
        <v>1230</v>
      </c>
      <c r="I1" s="36" t="s">
        <v>1231</v>
      </c>
    </row>
    <row r="2" spans="1:9" ht="28" customHeight="1" x14ac:dyDescent="0.2">
      <c r="A2" s="10" t="s">
        <v>1232</v>
      </c>
      <c r="B2" s="10" t="s">
        <v>1233</v>
      </c>
      <c r="C2" s="10" t="s">
        <v>1234</v>
      </c>
      <c r="D2" s="10" t="s">
        <v>1235</v>
      </c>
      <c r="E2" s="10" t="s">
        <v>1236</v>
      </c>
      <c r="F2" s="10" t="s">
        <v>1237</v>
      </c>
      <c r="G2" s="10" t="s">
        <v>1238</v>
      </c>
      <c r="H2" s="10" t="s">
        <v>1239</v>
      </c>
      <c r="I2" s="5" t="s">
        <v>1240</v>
      </c>
    </row>
    <row r="3" spans="1:9" ht="24" customHeight="1" x14ac:dyDescent="0.2">
      <c r="A3" s="37" t="s">
        <v>1241</v>
      </c>
      <c r="B3" s="37" t="s">
        <v>1233</v>
      </c>
      <c r="C3" s="37" t="s">
        <v>1234</v>
      </c>
      <c r="D3" s="37" t="s">
        <v>1242</v>
      </c>
      <c r="E3" s="37" t="s">
        <v>1236</v>
      </c>
      <c r="F3" s="37" t="s">
        <v>1243</v>
      </c>
      <c r="G3" s="37" t="s">
        <v>1236</v>
      </c>
      <c r="H3" s="37" t="s">
        <v>1244</v>
      </c>
      <c r="I3" s="38" t="s">
        <v>1240</v>
      </c>
    </row>
    <row r="4" spans="1:9" ht="24" customHeight="1" x14ac:dyDescent="0.2">
      <c r="A4" s="10" t="s">
        <v>1245</v>
      </c>
      <c r="B4" s="10" t="s">
        <v>1233</v>
      </c>
      <c r="C4" s="10" t="s">
        <v>1234</v>
      </c>
      <c r="D4" s="10" t="s">
        <v>1246</v>
      </c>
      <c r="E4" s="10" t="s">
        <v>1236</v>
      </c>
      <c r="F4" s="10" t="s">
        <v>1243</v>
      </c>
      <c r="G4" s="10" t="s">
        <v>1236</v>
      </c>
      <c r="H4" s="10" t="s">
        <v>1247</v>
      </c>
      <c r="I4" s="5" t="s">
        <v>1240</v>
      </c>
    </row>
    <row r="5" spans="1:9" ht="24" customHeight="1" x14ac:dyDescent="0.2">
      <c r="A5" s="8" t="s">
        <v>1248</v>
      </c>
      <c r="B5" s="8" t="s">
        <v>1233</v>
      </c>
      <c r="C5" s="8" t="s">
        <v>1234</v>
      </c>
      <c r="D5" s="8" t="s">
        <v>1246</v>
      </c>
      <c r="E5" s="8" t="s">
        <v>1236</v>
      </c>
      <c r="F5" s="8" t="s">
        <v>1243</v>
      </c>
      <c r="G5" s="8" t="s">
        <v>1236</v>
      </c>
      <c r="H5" s="8" t="s">
        <v>1247</v>
      </c>
      <c r="I5" s="5" t="s">
        <v>1240</v>
      </c>
    </row>
    <row r="6" spans="1:9" ht="24" customHeight="1" x14ac:dyDescent="0.2">
      <c r="A6" s="10" t="s">
        <v>1249</v>
      </c>
      <c r="B6" s="10" t="s">
        <v>1233</v>
      </c>
      <c r="C6" s="10" t="s">
        <v>1234</v>
      </c>
      <c r="D6" s="10" t="s">
        <v>1250</v>
      </c>
      <c r="E6" s="10" t="s">
        <v>1236</v>
      </c>
      <c r="F6" s="10" t="s">
        <v>1243</v>
      </c>
      <c r="G6" s="10" t="s">
        <v>1236</v>
      </c>
      <c r="H6" s="10" t="s">
        <v>1251</v>
      </c>
      <c r="I6" s="5" t="s">
        <v>1240</v>
      </c>
    </row>
    <row r="7" spans="1:9" ht="24" customHeight="1" x14ac:dyDescent="0.2">
      <c r="A7" s="8" t="s">
        <v>1252</v>
      </c>
      <c r="B7" s="8" t="s">
        <v>1253</v>
      </c>
      <c r="C7" s="8" t="s">
        <v>1234</v>
      </c>
      <c r="D7" s="8" t="s">
        <v>1254</v>
      </c>
      <c r="E7" s="8" t="s">
        <v>1236</v>
      </c>
      <c r="F7" s="8" t="s">
        <v>1145</v>
      </c>
      <c r="G7" s="8" t="s">
        <v>1238</v>
      </c>
      <c r="H7" s="8" t="s">
        <v>1255</v>
      </c>
      <c r="I7" s="5" t="s">
        <v>1240</v>
      </c>
    </row>
    <row r="8" spans="1:9" ht="24" customHeight="1" x14ac:dyDescent="0.2">
      <c r="A8" s="10" t="s">
        <v>1256</v>
      </c>
      <c r="B8" s="10" t="s">
        <v>1253</v>
      </c>
      <c r="C8" s="10" t="s">
        <v>1234</v>
      </c>
      <c r="D8" s="10" t="s">
        <v>1257</v>
      </c>
      <c r="E8" s="10" t="s">
        <v>826</v>
      </c>
      <c r="F8" s="10" t="s">
        <v>1237</v>
      </c>
      <c r="G8" s="10" t="s">
        <v>1258</v>
      </c>
      <c r="H8" s="10" t="s">
        <v>1259</v>
      </c>
      <c r="I8" s="5" t="s">
        <v>1240</v>
      </c>
    </row>
    <row r="9" spans="1:9" ht="24" customHeight="1" x14ac:dyDescent="0.2">
      <c r="A9" s="8" t="s">
        <v>1260</v>
      </c>
      <c r="B9" s="8" t="s">
        <v>1253</v>
      </c>
      <c r="C9" s="8" t="s">
        <v>1234</v>
      </c>
      <c r="D9" s="8" t="s">
        <v>1234</v>
      </c>
      <c r="E9" s="8" t="s">
        <v>1236</v>
      </c>
      <c r="F9" s="8" t="s">
        <v>1261</v>
      </c>
      <c r="G9" s="8" t="s">
        <v>1262</v>
      </c>
      <c r="H9" s="8" t="s">
        <v>1263</v>
      </c>
      <c r="I9" s="5" t="s">
        <v>1240</v>
      </c>
    </row>
    <row r="10" spans="1:9" ht="24" customHeight="1" x14ac:dyDescent="0.2">
      <c r="A10" s="10" t="s">
        <v>1264</v>
      </c>
      <c r="B10" s="10" t="s">
        <v>1253</v>
      </c>
      <c r="C10" s="10" t="s">
        <v>1234</v>
      </c>
      <c r="D10" s="10" t="s">
        <v>1234</v>
      </c>
      <c r="E10" s="10" t="s">
        <v>1236</v>
      </c>
      <c r="F10" s="10" t="s">
        <v>1261</v>
      </c>
      <c r="G10" s="10" t="s">
        <v>1262</v>
      </c>
      <c r="H10" s="10" t="s">
        <v>1263</v>
      </c>
      <c r="I10" s="5" t="s">
        <v>1240</v>
      </c>
    </row>
    <row r="11" spans="1:9" ht="24" customHeight="1" x14ac:dyDescent="0.2">
      <c r="A11" s="8" t="s">
        <v>1265</v>
      </c>
      <c r="B11" s="8" t="s">
        <v>1266</v>
      </c>
      <c r="C11" s="8" t="s">
        <v>1234</v>
      </c>
      <c r="D11" s="8" t="s">
        <v>1234</v>
      </c>
      <c r="E11" s="8" t="s">
        <v>1236</v>
      </c>
      <c r="F11" s="8" t="s">
        <v>1243</v>
      </c>
      <c r="G11" s="8" t="s">
        <v>1236</v>
      </c>
      <c r="H11" s="8" t="s">
        <v>1267</v>
      </c>
      <c r="I11" s="5" t="s">
        <v>1240</v>
      </c>
    </row>
    <row r="12" spans="1:9" ht="24" customHeight="1" x14ac:dyDescent="0.2">
      <c r="A12" s="10" t="s">
        <v>1268</v>
      </c>
      <c r="B12" s="10" t="s">
        <v>1266</v>
      </c>
      <c r="C12" s="10" t="s">
        <v>1234</v>
      </c>
      <c r="D12" s="10" t="s">
        <v>1269</v>
      </c>
      <c r="E12" s="10" t="s">
        <v>1236</v>
      </c>
      <c r="F12" s="10" t="s">
        <v>1237</v>
      </c>
      <c r="G12" s="10" t="s">
        <v>1270</v>
      </c>
      <c r="H12" s="10" t="s">
        <v>1271</v>
      </c>
      <c r="I12" s="5" t="s">
        <v>1240</v>
      </c>
    </row>
    <row r="13" spans="1:9" ht="24" customHeight="1" x14ac:dyDescent="0.2">
      <c r="A13" s="8" t="s">
        <v>1272</v>
      </c>
      <c r="B13" s="8" t="s">
        <v>1266</v>
      </c>
      <c r="C13" s="8" t="s">
        <v>1234</v>
      </c>
      <c r="D13" s="8" t="s">
        <v>1273</v>
      </c>
      <c r="E13" s="8" t="s">
        <v>1236</v>
      </c>
      <c r="F13" s="8" t="s">
        <v>1274</v>
      </c>
      <c r="G13" s="8" t="s">
        <v>1275</v>
      </c>
      <c r="H13" s="8" t="s">
        <v>1276</v>
      </c>
      <c r="I13" s="5" t="s">
        <v>1240</v>
      </c>
    </row>
    <row r="14" spans="1:9" ht="24" customHeight="1" x14ac:dyDescent="0.2">
      <c r="A14" s="2"/>
      <c r="B14" s="2"/>
      <c r="C14" s="2"/>
      <c r="D14" s="2"/>
      <c r="E14" s="2"/>
      <c r="F14" s="2"/>
      <c r="G14" s="2"/>
      <c r="H14" s="2"/>
      <c r="I14" s="5" t="s">
        <v>1240</v>
      </c>
    </row>
    <row r="15" spans="1:9" ht="24" customHeight="1" x14ac:dyDescent="0.2">
      <c r="A15" s="8" t="s">
        <v>1277</v>
      </c>
      <c r="B15" s="8" t="s">
        <v>1278</v>
      </c>
      <c r="C15" s="2"/>
      <c r="D15" s="2"/>
      <c r="E15" s="2"/>
      <c r="F15" s="2"/>
      <c r="G15" s="2"/>
      <c r="H15" s="2"/>
      <c r="I15" s="5" t="s">
        <v>1279</v>
      </c>
    </row>
  </sheetData>
  <autoFilter ref="A1:I15" xr:uid="{00000000-0009-0000-0000-000013000000}"/>
  <pageMargins left="0.25" right="0.25" top="0.4" bottom="0.4" header="0.511811023622047" footer="0.511811023622047"/>
  <pageSetup fitToHeight="0" orientation="portrait" horizontalDpi="300" verticalDpi="300"/>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J56"/>
  <sheetViews>
    <sheetView showGridLines="0" rightToLeft="1" zoomScaleNormal="100" workbookViewId="0">
      <pane ySplit="1" topLeftCell="A2" activePane="bottomLeft" state="frozen"/>
      <selection pane="bottomLeft"/>
    </sheetView>
  </sheetViews>
  <sheetFormatPr baseColWidth="10" defaultColWidth="8.6640625" defaultRowHeight="15" customHeight="1" x14ac:dyDescent="0.2"/>
  <cols>
    <col min="1" max="1" width="14" customWidth="1"/>
    <col min="2" max="2" width="10" customWidth="1"/>
    <col min="3" max="4" width="42" customWidth="1"/>
    <col min="5" max="5" width="27.6640625" customWidth="1"/>
    <col min="6" max="6" width="25.83203125" customWidth="1"/>
    <col min="7" max="10" width="42" customWidth="1"/>
  </cols>
  <sheetData>
    <row r="1" spans="1:10" ht="34" customHeight="1" x14ac:dyDescent="0.2">
      <c r="A1" s="36" t="s">
        <v>1280</v>
      </c>
      <c r="B1" s="36" t="s">
        <v>94</v>
      </c>
      <c r="C1" s="36" t="s">
        <v>1281</v>
      </c>
      <c r="D1" s="36" t="s">
        <v>1282</v>
      </c>
      <c r="E1" s="36" t="s">
        <v>1283</v>
      </c>
      <c r="F1" s="36" t="s">
        <v>1284</v>
      </c>
      <c r="G1" s="36" t="s">
        <v>1285</v>
      </c>
      <c r="H1" s="36" t="s">
        <v>1286</v>
      </c>
      <c r="I1" s="36" t="s">
        <v>1287</v>
      </c>
      <c r="J1" s="36" t="s">
        <v>1288</v>
      </c>
    </row>
    <row r="2" spans="1:10" ht="28" customHeight="1" x14ac:dyDescent="0.2">
      <c r="A2" s="10" t="s">
        <v>1022</v>
      </c>
      <c r="B2" s="10" t="s">
        <v>137</v>
      </c>
      <c r="C2" s="10" t="s">
        <v>1289</v>
      </c>
      <c r="D2" s="10" t="s">
        <v>1290</v>
      </c>
      <c r="E2" s="10" t="s">
        <v>1291</v>
      </c>
      <c r="F2" s="10" t="s">
        <v>1292</v>
      </c>
      <c r="G2" s="15" t="s">
        <v>1293</v>
      </c>
      <c r="H2" s="10" t="s">
        <v>1294</v>
      </c>
      <c r="I2" s="10" t="s">
        <v>1295</v>
      </c>
      <c r="J2" s="5" t="s">
        <v>1296</v>
      </c>
    </row>
    <row r="3" spans="1:10" ht="24" customHeight="1" x14ac:dyDescent="0.2">
      <c r="A3" s="37" t="s">
        <v>1022</v>
      </c>
      <c r="B3" s="37" t="s">
        <v>137</v>
      </c>
      <c r="C3" s="37" t="s">
        <v>1297</v>
      </c>
      <c r="D3" s="37" t="s">
        <v>1298</v>
      </c>
      <c r="E3" s="37" t="s">
        <v>1299</v>
      </c>
      <c r="F3" s="37" t="s">
        <v>1292</v>
      </c>
      <c r="G3" s="39" t="s">
        <v>1300</v>
      </c>
      <c r="H3" s="37" t="s">
        <v>1301</v>
      </c>
      <c r="I3" s="37" t="s">
        <v>1295</v>
      </c>
      <c r="J3" s="38" t="s">
        <v>1296</v>
      </c>
    </row>
    <row r="4" spans="1:10" ht="24" customHeight="1" x14ac:dyDescent="0.2">
      <c r="A4" s="10" t="s">
        <v>1022</v>
      </c>
      <c r="B4" s="10" t="s">
        <v>140</v>
      </c>
      <c r="C4" s="10" t="s">
        <v>1302</v>
      </c>
      <c r="D4" s="10" t="s">
        <v>1298</v>
      </c>
      <c r="E4" s="10" t="s">
        <v>1303</v>
      </c>
      <c r="F4" s="10" t="s">
        <v>1292</v>
      </c>
      <c r="G4" s="15" t="s">
        <v>1304</v>
      </c>
      <c r="H4" s="10" t="s">
        <v>1305</v>
      </c>
      <c r="I4" s="10" t="s">
        <v>1295</v>
      </c>
      <c r="J4" s="5" t="s">
        <v>1296</v>
      </c>
    </row>
    <row r="5" spans="1:10" ht="24" customHeight="1" x14ac:dyDescent="0.2">
      <c r="A5" s="8" t="s">
        <v>1022</v>
      </c>
      <c r="B5" s="8" t="s">
        <v>140</v>
      </c>
      <c r="C5" s="8" t="s">
        <v>1306</v>
      </c>
      <c r="D5" s="8" t="s">
        <v>1298</v>
      </c>
      <c r="E5" s="8" t="s">
        <v>1307</v>
      </c>
      <c r="F5" s="8" t="s">
        <v>1292</v>
      </c>
      <c r="G5" s="15" t="s">
        <v>1308</v>
      </c>
      <c r="H5" s="8" t="s">
        <v>1309</v>
      </c>
      <c r="I5" s="8" t="s">
        <v>1295</v>
      </c>
      <c r="J5" s="5" t="s">
        <v>1296</v>
      </c>
    </row>
    <row r="6" spans="1:10" ht="24" customHeight="1" x14ac:dyDescent="0.2">
      <c r="A6" s="10" t="s">
        <v>1022</v>
      </c>
      <c r="B6" s="10" t="s">
        <v>143</v>
      </c>
      <c r="C6" s="10" t="s">
        <v>1310</v>
      </c>
      <c r="D6" s="10" t="s">
        <v>1311</v>
      </c>
      <c r="E6" s="10" t="s">
        <v>1312</v>
      </c>
      <c r="F6" s="10" t="s">
        <v>1313</v>
      </c>
      <c r="G6" s="15" t="s">
        <v>1314</v>
      </c>
      <c r="H6" s="10" t="s">
        <v>1294</v>
      </c>
      <c r="I6" s="10" t="s">
        <v>1295</v>
      </c>
      <c r="J6" s="5" t="s">
        <v>1296</v>
      </c>
    </row>
    <row r="7" spans="1:10" ht="24" customHeight="1" x14ac:dyDescent="0.2">
      <c r="A7" s="8" t="s">
        <v>1022</v>
      </c>
      <c r="B7" s="8" t="s">
        <v>143</v>
      </c>
      <c r="C7" s="8" t="s">
        <v>1315</v>
      </c>
      <c r="D7" s="8" t="s">
        <v>1311</v>
      </c>
      <c r="E7" s="8" t="s">
        <v>1316</v>
      </c>
      <c r="F7" s="8" t="s">
        <v>1317</v>
      </c>
      <c r="G7" s="15" t="s">
        <v>1318</v>
      </c>
      <c r="H7" s="8" t="s">
        <v>1301</v>
      </c>
      <c r="I7" s="8" t="s">
        <v>1295</v>
      </c>
      <c r="J7" s="5" t="s">
        <v>1296</v>
      </c>
    </row>
    <row r="8" spans="1:10" ht="24" customHeight="1" x14ac:dyDescent="0.2">
      <c r="A8" s="10" t="s">
        <v>1031</v>
      </c>
      <c r="B8" s="10" t="s">
        <v>20</v>
      </c>
      <c r="C8" s="10" t="s">
        <v>1319</v>
      </c>
      <c r="D8" s="10" t="s">
        <v>1320</v>
      </c>
      <c r="E8" s="10" t="s">
        <v>1321</v>
      </c>
      <c r="F8" s="10" t="s">
        <v>1322</v>
      </c>
      <c r="G8" s="10" t="s">
        <v>1323</v>
      </c>
      <c r="H8" s="10" t="s">
        <v>1324</v>
      </c>
      <c r="I8" s="10" t="s">
        <v>1325</v>
      </c>
      <c r="J8" s="5" t="s">
        <v>1296</v>
      </c>
    </row>
    <row r="9" spans="1:10" ht="24" customHeight="1" x14ac:dyDescent="0.2">
      <c r="A9" s="8" t="s">
        <v>1031</v>
      </c>
      <c r="B9" s="8" t="s">
        <v>20</v>
      </c>
      <c r="C9" s="8" t="s">
        <v>1326</v>
      </c>
      <c r="D9" s="8" t="s">
        <v>1327</v>
      </c>
      <c r="E9" s="8" t="s">
        <v>1328</v>
      </c>
      <c r="F9" s="8" t="s">
        <v>1329</v>
      </c>
      <c r="G9" s="8" t="s">
        <v>1323</v>
      </c>
      <c r="H9" s="8" t="s">
        <v>1330</v>
      </c>
      <c r="I9" s="8" t="s">
        <v>1325</v>
      </c>
      <c r="J9" s="5" t="s">
        <v>1296</v>
      </c>
    </row>
    <row r="10" spans="1:10" ht="24" customHeight="1" x14ac:dyDescent="0.2">
      <c r="A10" s="10" t="s">
        <v>1031</v>
      </c>
      <c r="B10" s="10" t="s">
        <v>151</v>
      </c>
      <c r="C10" s="10" t="s">
        <v>1331</v>
      </c>
      <c r="D10" s="10" t="s">
        <v>1332</v>
      </c>
      <c r="E10" s="10" t="s">
        <v>1333</v>
      </c>
      <c r="F10" s="10" t="s">
        <v>1292</v>
      </c>
      <c r="G10" s="15" t="s">
        <v>1334</v>
      </c>
      <c r="H10" s="10" t="s">
        <v>1335</v>
      </c>
      <c r="I10" s="10" t="s">
        <v>1325</v>
      </c>
      <c r="J10" s="5" t="s">
        <v>1296</v>
      </c>
    </row>
    <row r="11" spans="1:10" ht="24" customHeight="1" x14ac:dyDescent="0.2">
      <c r="A11" s="8" t="s">
        <v>1031</v>
      </c>
      <c r="B11" s="8" t="s">
        <v>151</v>
      </c>
      <c r="C11" s="8" t="s">
        <v>1336</v>
      </c>
      <c r="D11" s="8" t="s">
        <v>1337</v>
      </c>
      <c r="E11" s="8" t="s">
        <v>1328</v>
      </c>
      <c r="F11" s="8" t="s">
        <v>1338</v>
      </c>
      <c r="G11" s="15" t="s">
        <v>1339</v>
      </c>
      <c r="H11" s="8" t="s">
        <v>1340</v>
      </c>
      <c r="I11" s="8" t="s">
        <v>1325</v>
      </c>
      <c r="J11" s="5" t="s">
        <v>1296</v>
      </c>
    </row>
    <row r="12" spans="1:10" ht="24" customHeight="1" x14ac:dyDescent="0.2">
      <c r="A12" s="10" t="s">
        <v>1031</v>
      </c>
      <c r="B12" s="10" t="s">
        <v>157</v>
      </c>
      <c r="C12" s="10" t="s">
        <v>1341</v>
      </c>
      <c r="D12" s="10" t="s">
        <v>1342</v>
      </c>
      <c r="E12" s="10" t="s">
        <v>1321</v>
      </c>
      <c r="F12" s="10" t="s">
        <v>1343</v>
      </c>
      <c r="G12" s="10" t="s">
        <v>1344</v>
      </c>
      <c r="H12" s="10" t="s">
        <v>1345</v>
      </c>
      <c r="I12" s="10" t="s">
        <v>1325</v>
      </c>
      <c r="J12" s="5" t="s">
        <v>1296</v>
      </c>
    </row>
    <row r="13" spans="1:10" ht="24" customHeight="1" x14ac:dyDescent="0.2">
      <c r="A13" s="8" t="s">
        <v>1031</v>
      </c>
      <c r="B13" s="8" t="s">
        <v>157</v>
      </c>
      <c r="C13" s="8" t="s">
        <v>1346</v>
      </c>
      <c r="D13" s="8" t="s">
        <v>1347</v>
      </c>
      <c r="E13" s="8" t="s">
        <v>1328</v>
      </c>
      <c r="F13" s="8" t="s">
        <v>1292</v>
      </c>
      <c r="G13" s="8" t="s">
        <v>1344</v>
      </c>
      <c r="H13" s="8" t="s">
        <v>1348</v>
      </c>
      <c r="I13" s="8" t="s">
        <v>1325</v>
      </c>
      <c r="J13" s="5" t="s">
        <v>1296</v>
      </c>
    </row>
    <row r="14" spans="1:10" ht="24" customHeight="1" x14ac:dyDescent="0.2">
      <c r="A14" s="10" t="s">
        <v>1031</v>
      </c>
      <c r="B14" s="10" t="s">
        <v>24</v>
      </c>
      <c r="C14" s="10" t="s">
        <v>1349</v>
      </c>
      <c r="D14" s="10" t="s">
        <v>1342</v>
      </c>
      <c r="E14" s="10" t="s">
        <v>1321</v>
      </c>
      <c r="F14" s="10" t="s">
        <v>1350</v>
      </c>
      <c r="G14" s="15" t="s">
        <v>216</v>
      </c>
      <c r="H14" s="10" t="s">
        <v>1351</v>
      </c>
      <c r="I14" s="10" t="s">
        <v>1325</v>
      </c>
      <c r="J14" s="5" t="s">
        <v>1296</v>
      </c>
    </row>
    <row r="15" spans="1:10" ht="24" customHeight="1" x14ac:dyDescent="0.2">
      <c r="A15" s="8" t="s">
        <v>1038</v>
      </c>
      <c r="B15" s="8" t="s">
        <v>159</v>
      </c>
      <c r="C15" s="8" t="s">
        <v>1352</v>
      </c>
      <c r="D15" s="8" t="s">
        <v>1353</v>
      </c>
      <c r="E15" s="8" t="s">
        <v>1321</v>
      </c>
      <c r="F15" s="8" t="s">
        <v>1354</v>
      </c>
      <c r="G15" s="15" t="s">
        <v>1355</v>
      </c>
      <c r="H15" s="8" t="s">
        <v>1356</v>
      </c>
      <c r="I15" s="8" t="s">
        <v>1357</v>
      </c>
      <c r="J15" s="5" t="s">
        <v>1296</v>
      </c>
    </row>
    <row r="16" spans="1:10" ht="24" customHeight="1" x14ac:dyDescent="0.2">
      <c r="A16" s="10" t="s">
        <v>1038</v>
      </c>
      <c r="B16" s="10" t="s">
        <v>159</v>
      </c>
      <c r="C16" s="10" t="s">
        <v>1358</v>
      </c>
      <c r="D16" s="10" t="s">
        <v>1353</v>
      </c>
      <c r="E16" s="10" t="s">
        <v>1328</v>
      </c>
      <c r="F16" s="10" t="s">
        <v>1354</v>
      </c>
      <c r="G16" s="15" t="s">
        <v>1359</v>
      </c>
      <c r="H16" s="10" t="s">
        <v>1360</v>
      </c>
      <c r="I16" s="10" t="s">
        <v>1357</v>
      </c>
      <c r="J16" s="5" t="s">
        <v>1296</v>
      </c>
    </row>
    <row r="17" spans="1:10" ht="24" customHeight="1" x14ac:dyDescent="0.2">
      <c r="A17" s="8" t="s">
        <v>1038</v>
      </c>
      <c r="B17" s="8" t="s">
        <v>162</v>
      </c>
      <c r="C17" s="8" t="s">
        <v>1361</v>
      </c>
      <c r="D17" s="8" t="s">
        <v>1353</v>
      </c>
      <c r="E17" s="8" t="s">
        <v>1321</v>
      </c>
      <c r="F17" s="8" t="s">
        <v>1354</v>
      </c>
      <c r="G17" s="15" t="s">
        <v>1362</v>
      </c>
      <c r="H17" s="8" t="s">
        <v>1356</v>
      </c>
      <c r="I17" s="8" t="s">
        <v>1357</v>
      </c>
      <c r="J17" s="5" t="s">
        <v>1296</v>
      </c>
    </row>
    <row r="18" spans="1:10" ht="24" customHeight="1" x14ac:dyDescent="0.2">
      <c r="A18" s="10" t="s">
        <v>1038</v>
      </c>
      <c r="B18" s="10" t="s">
        <v>162</v>
      </c>
      <c r="C18" s="10" t="s">
        <v>1363</v>
      </c>
      <c r="D18" s="10" t="s">
        <v>1353</v>
      </c>
      <c r="E18" s="10" t="s">
        <v>1328</v>
      </c>
      <c r="F18" s="10" t="s">
        <v>1364</v>
      </c>
      <c r="G18" s="15" t="s">
        <v>1365</v>
      </c>
      <c r="H18" s="10" t="s">
        <v>1360</v>
      </c>
      <c r="I18" s="10" t="s">
        <v>1357</v>
      </c>
      <c r="J18" s="5" t="s">
        <v>1296</v>
      </c>
    </row>
    <row r="19" spans="1:10" ht="24" customHeight="1" x14ac:dyDescent="0.2">
      <c r="A19" s="8" t="s">
        <v>1038</v>
      </c>
      <c r="B19" s="8" t="s">
        <v>165</v>
      </c>
      <c r="C19" s="8" t="s">
        <v>1366</v>
      </c>
      <c r="D19" s="8" t="s">
        <v>1353</v>
      </c>
      <c r="E19" s="8" t="s">
        <v>1321</v>
      </c>
      <c r="F19" s="8" t="s">
        <v>1354</v>
      </c>
      <c r="G19" s="15" t="s">
        <v>1367</v>
      </c>
      <c r="H19" s="8" t="s">
        <v>1356</v>
      </c>
      <c r="I19" s="8" t="s">
        <v>1357</v>
      </c>
      <c r="J19" s="5" t="s">
        <v>1296</v>
      </c>
    </row>
    <row r="20" spans="1:10" ht="24" customHeight="1" x14ac:dyDescent="0.2">
      <c r="A20" s="10" t="s">
        <v>1038</v>
      </c>
      <c r="B20" s="10" t="s">
        <v>165</v>
      </c>
      <c r="C20" s="10" t="s">
        <v>1368</v>
      </c>
      <c r="D20" s="10" t="s">
        <v>1353</v>
      </c>
      <c r="E20" s="10" t="s">
        <v>1328</v>
      </c>
      <c r="F20" s="10" t="s">
        <v>1354</v>
      </c>
      <c r="G20" s="15" t="s">
        <v>1369</v>
      </c>
      <c r="H20" s="10" t="s">
        <v>1360</v>
      </c>
      <c r="I20" s="10" t="s">
        <v>1357</v>
      </c>
      <c r="J20" s="5" t="s">
        <v>1296</v>
      </c>
    </row>
    <row r="21" spans="1:10" ht="24" customHeight="1" x14ac:dyDescent="0.2">
      <c r="A21" s="8" t="s">
        <v>1038</v>
      </c>
      <c r="B21" s="8" t="s">
        <v>168</v>
      </c>
      <c r="C21" s="8" t="s">
        <v>1370</v>
      </c>
      <c r="D21" s="8" t="s">
        <v>1311</v>
      </c>
      <c r="E21" s="8" t="s">
        <v>1321</v>
      </c>
      <c r="F21" s="8" t="s">
        <v>1371</v>
      </c>
      <c r="G21" s="15" t="s">
        <v>1372</v>
      </c>
      <c r="H21" s="8" t="s">
        <v>1356</v>
      </c>
      <c r="I21" s="8" t="s">
        <v>1357</v>
      </c>
      <c r="J21" s="5" t="s">
        <v>1296</v>
      </c>
    </row>
    <row r="22" spans="1:10" ht="24" customHeight="1" x14ac:dyDescent="0.2">
      <c r="A22" s="10" t="s">
        <v>1038</v>
      </c>
      <c r="B22" s="10" t="s">
        <v>168</v>
      </c>
      <c r="C22" s="10" t="s">
        <v>1373</v>
      </c>
      <c r="D22" s="10" t="s">
        <v>1374</v>
      </c>
      <c r="E22" s="10" t="s">
        <v>1328</v>
      </c>
      <c r="F22" s="10" t="s">
        <v>1375</v>
      </c>
      <c r="G22" s="15" t="s">
        <v>1376</v>
      </c>
      <c r="H22" s="10" t="s">
        <v>1360</v>
      </c>
      <c r="I22" s="10" t="s">
        <v>1357</v>
      </c>
      <c r="J22" s="5" t="s">
        <v>1296</v>
      </c>
    </row>
    <row r="23" spans="1:10" ht="24" customHeight="1" x14ac:dyDescent="0.2">
      <c r="A23" s="8" t="s">
        <v>1045</v>
      </c>
      <c r="B23" s="8" t="s">
        <v>171</v>
      </c>
      <c r="C23" s="8" t="s">
        <v>1377</v>
      </c>
      <c r="D23" s="8" t="s">
        <v>1311</v>
      </c>
      <c r="E23" s="8" t="s">
        <v>1321</v>
      </c>
      <c r="F23" s="8" t="s">
        <v>1378</v>
      </c>
      <c r="G23" s="15" t="s">
        <v>1379</v>
      </c>
      <c r="H23" s="8" t="s">
        <v>1356</v>
      </c>
      <c r="I23" s="8" t="s">
        <v>1380</v>
      </c>
      <c r="J23" s="5" t="s">
        <v>1296</v>
      </c>
    </row>
    <row r="24" spans="1:10" ht="24" customHeight="1" x14ac:dyDescent="0.2">
      <c r="A24" s="10" t="s">
        <v>1045</v>
      </c>
      <c r="B24" s="10" t="s">
        <v>171</v>
      </c>
      <c r="C24" s="10" t="s">
        <v>1381</v>
      </c>
      <c r="D24" s="10" t="s">
        <v>1311</v>
      </c>
      <c r="E24" s="10" t="s">
        <v>1328</v>
      </c>
      <c r="F24" s="10" t="s">
        <v>1382</v>
      </c>
      <c r="G24" s="15" t="s">
        <v>1383</v>
      </c>
      <c r="H24" s="10" t="s">
        <v>1384</v>
      </c>
      <c r="I24" s="10" t="s">
        <v>1380</v>
      </c>
      <c r="J24" s="5" t="s">
        <v>1296</v>
      </c>
    </row>
    <row r="25" spans="1:10" ht="24" customHeight="1" x14ac:dyDescent="0.2">
      <c r="A25" s="8" t="s">
        <v>1045</v>
      </c>
      <c r="B25" s="8" t="s">
        <v>174</v>
      </c>
      <c r="C25" s="8" t="s">
        <v>1385</v>
      </c>
      <c r="D25" s="8" t="s">
        <v>1311</v>
      </c>
      <c r="E25" s="8" t="s">
        <v>1321</v>
      </c>
      <c r="F25" s="8" t="s">
        <v>1378</v>
      </c>
      <c r="G25" s="15" t="s">
        <v>1386</v>
      </c>
      <c r="H25" s="8" t="s">
        <v>1387</v>
      </c>
      <c r="I25" s="8" t="s">
        <v>1380</v>
      </c>
      <c r="J25" s="5" t="s">
        <v>1296</v>
      </c>
    </row>
    <row r="26" spans="1:10" ht="24" customHeight="1" x14ac:dyDescent="0.2">
      <c r="A26" s="10" t="s">
        <v>1045</v>
      </c>
      <c r="B26" s="10" t="s">
        <v>174</v>
      </c>
      <c r="C26" s="10" t="s">
        <v>1388</v>
      </c>
      <c r="D26" s="10" t="s">
        <v>1353</v>
      </c>
      <c r="E26" s="10" t="s">
        <v>1328</v>
      </c>
      <c r="F26" s="10" t="s">
        <v>1354</v>
      </c>
      <c r="G26" s="15" t="s">
        <v>1389</v>
      </c>
      <c r="H26" s="10" t="s">
        <v>1360</v>
      </c>
      <c r="I26" s="10" t="s">
        <v>1380</v>
      </c>
      <c r="J26" s="5" t="s">
        <v>1296</v>
      </c>
    </row>
    <row r="27" spans="1:10" ht="24" customHeight="1" x14ac:dyDescent="0.2">
      <c r="A27" s="8" t="s">
        <v>1045</v>
      </c>
      <c r="B27" s="8" t="s">
        <v>179</v>
      </c>
      <c r="C27" s="8" t="s">
        <v>1390</v>
      </c>
      <c r="D27" s="8" t="s">
        <v>1353</v>
      </c>
      <c r="E27" s="8" t="s">
        <v>1321</v>
      </c>
      <c r="F27" s="8" t="s">
        <v>1354</v>
      </c>
      <c r="G27" s="15" t="s">
        <v>1391</v>
      </c>
      <c r="H27" s="8" t="s">
        <v>1392</v>
      </c>
      <c r="I27" s="8" t="s">
        <v>1380</v>
      </c>
      <c r="J27" s="5" t="s">
        <v>1296</v>
      </c>
    </row>
    <row r="28" spans="1:10" ht="24" customHeight="1" x14ac:dyDescent="0.2">
      <c r="A28" s="10" t="s">
        <v>1045</v>
      </c>
      <c r="B28" s="10" t="s">
        <v>179</v>
      </c>
      <c r="C28" s="10" t="s">
        <v>1393</v>
      </c>
      <c r="D28" s="10" t="s">
        <v>1353</v>
      </c>
      <c r="E28" s="10" t="s">
        <v>1328</v>
      </c>
      <c r="F28" s="10" t="s">
        <v>1354</v>
      </c>
      <c r="G28" s="15" t="s">
        <v>1394</v>
      </c>
      <c r="H28" s="10" t="s">
        <v>1360</v>
      </c>
      <c r="I28" s="10" t="s">
        <v>1380</v>
      </c>
      <c r="J28" s="5" t="s">
        <v>1296</v>
      </c>
    </row>
    <row r="29" spans="1:10" ht="24" customHeight="1" x14ac:dyDescent="0.2">
      <c r="A29" s="8" t="s">
        <v>1045</v>
      </c>
      <c r="B29" s="8" t="s">
        <v>182</v>
      </c>
      <c r="C29" s="8" t="s">
        <v>1395</v>
      </c>
      <c r="D29" s="8" t="s">
        <v>1311</v>
      </c>
      <c r="E29" s="8" t="s">
        <v>1321</v>
      </c>
      <c r="F29" s="8" t="s">
        <v>1396</v>
      </c>
      <c r="G29" s="15" t="s">
        <v>1397</v>
      </c>
      <c r="H29" s="8" t="s">
        <v>1356</v>
      </c>
      <c r="I29" s="8" t="s">
        <v>1380</v>
      </c>
      <c r="J29" s="5" t="s">
        <v>1296</v>
      </c>
    </row>
    <row r="30" spans="1:10" ht="24" customHeight="1" x14ac:dyDescent="0.2">
      <c r="A30" s="10" t="s">
        <v>1045</v>
      </c>
      <c r="B30" s="10" t="s">
        <v>182</v>
      </c>
      <c r="C30" s="10" t="s">
        <v>1398</v>
      </c>
      <c r="D30" s="10" t="s">
        <v>1311</v>
      </c>
      <c r="E30" s="10" t="s">
        <v>1328</v>
      </c>
      <c r="F30" s="10" t="s">
        <v>1399</v>
      </c>
      <c r="G30" s="15" t="s">
        <v>1400</v>
      </c>
      <c r="H30" s="10" t="s">
        <v>1360</v>
      </c>
      <c r="I30" s="10" t="s">
        <v>1380</v>
      </c>
      <c r="J30" s="5" t="s">
        <v>1296</v>
      </c>
    </row>
    <row r="31" spans="1:10" ht="24" customHeight="1" x14ac:dyDescent="0.2">
      <c r="A31" s="8" t="s">
        <v>1053</v>
      </c>
      <c r="B31" s="8" t="s">
        <v>187</v>
      </c>
      <c r="C31" s="8" t="s">
        <v>1401</v>
      </c>
      <c r="D31" s="8" t="s">
        <v>1311</v>
      </c>
      <c r="E31" s="8" t="s">
        <v>1321</v>
      </c>
      <c r="F31" s="8" t="s">
        <v>1402</v>
      </c>
      <c r="G31" s="15" t="s">
        <v>1403</v>
      </c>
      <c r="H31" s="8" t="s">
        <v>1356</v>
      </c>
      <c r="I31" s="8" t="s">
        <v>1404</v>
      </c>
      <c r="J31" s="5" t="s">
        <v>1296</v>
      </c>
    </row>
    <row r="32" spans="1:10" ht="24" customHeight="1" x14ac:dyDescent="0.2">
      <c r="A32" s="10" t="s">
        <v>1053</v>
      </c>
      <c r="B32" s="10" t="s">
        <v>187</v>
      </c>
      <c r="C32" s="10" t="s">
        <v>1405</v>
      </c>
      <c r="D32" s="10" t="s">
        <v>1353</v>
      </c>
      <c r="E32" s="10" t="s">
        <v>1328</v>
      </c>
      <c r="F32" s="10" t="s">
        <v>1354</v>
      </c>
      <c r="G32" s="15" t="s">
        <v>1406</v>
      </c>
      <c r="H32" s="10" t="s">
        <v>1407</v>
      </c>
      <c r="I32" s="10" t="s">
        <v>1404</v>
      </c>
      <c r="J32" s="5" t="s">
        <v>1296</v>
      </c>
    </row>
    <row r="33" spans="1:10" ht="24" customHeight="1" x14ac:dyDescent="0.2">
      <c r="A33" s="8" t="s">
        <v>1053</v>
      </c>
      <c r="B33" s="8" t="s">
        <v>187</v>
      </c>
      <c r="C33" s="8" t="s">
        <v>1408</v>
      </c>
      <c r="D33" s="8" t="s">
        <v>1353</v>
      </c>
      <c r="E33" s="8" t="s">
        <v>1328</v>
      </c>
      <c r="F33" s="8" t="s">
        <v>1354</v>
      </c>
      <c r="G33" s="15" t="s">
        <v>1409</v>
      </c>
      <c r="H33" s="8" t="s">
        <v>1410</v>
      </c>
      <c r="I33" s="8" t="s">
        <v>1404</v>
      </c>
      <c r="J33" s="5" t="s">
        <v>1296</v>
      </c>
    </row>
    <row r="34" spans="1:10" ht="24" customHeight="1" x14ac:dyDescent="0.2">
      <c r="A34" s="10" t="s">
        <v>1053</v>
      </c>
      <c r="B34" s="10" t="s">
        <v>190</v>
      </c>
      <c r="C34" s="10" t="s">
        <v>1411</v>
      </c>
      <c r="D34" s="10" t="s">
        <v>1311</v>
      </c>
      <c r="E34" s="10" t="s">
        <v>1321</v>
      </c>
      <c r="F34" s="10" t="s">
        <v>1412</v>
      </c>
      <c r="G34" s="15" t="s">
        <v>1413</v>
      </c>
      <c r="H34" s="10" t="s">
        <v>1356</v>
      </c>
      <c r="I34" s="10" t="s">
        <v>1404</v>
      </c>
      <c r="J34" s="5" t="s">
        <v>1296</v>
      </c>
    </row>
    <row r="35" spans="1:10" ht="24" customHeight="1" x14ac:dyDescent="0.2">
      <c r="A35" s="8" t="s">
        <v>1053</v>
      </c>
      <c r="B35" s="8" t="s">
        <v>190</v>
      </c>
      <c r="C35" s="8" t="s">
        <v>1414</v>
      </c>
      <c r="D35" s="8" t="s">
        <v>1353</v>
      </c>
      <c r="E35" s="8" t="s">
        <v>1321</v>
      </c>
      <c r="F35" s="8" t="s">
        <v>1354</v>
      </c>
      <c r="G35" s="15" t="s">
        <v>1415</v>
      </c>
      <c r="H35" s="8" t="s">
        <v>1416</v>
      </c>
      <c r="I35" s="8" t="s">
        <v>1404</v>
      </c>
      <c r="J35" s="5" t="s">
        <v>1296</v>
      </c>
    </row>
    <row r="36" spans="1:10" ht="24" customHeight="1" x14ac:dyDescent="0.2">
      <c r="A36" s="10" t="s">
        <v>1053</v>
      </c>
      <c r="B36" s="10" t="s">
        <v>190</v>
      </c>
      <c r="C36" s="10" t="s">
        <v>1417</v>
      </c>
      <c r="D36" s="10" t="s">
        <v>1353</v>
      </c>
      <c r="E36" s="10" t="s">
        <v>1328</v>
      </c>
      <c r="F36" s="10" t="s">
        <v>1354</v>
      </c>
      <c r="G36" s="15" t="s">
        <v>1418</v>
      </c>
      <c r="H36" s="10" t="s">
        <v>1419</v>
      </c>
      <c r="I36" s="10" t="s">
        <v>1404</v>
      </c>
      <c r="J36" s="5" t="s">
        <v>1296</v>
      </c>
    </row>
    <row r="37" spans="1:10" ht="24" customHeight="1" x14ac:dyDescent="0.2">
      <c r="A37" s="8" t="s">
        <v>1053</v>
      </c>
      <c r="B37" s="8" t="s">
        <v>196</v>
      </c>
      <c r="C37" s="8" t="s">
        <v>1420</v>
      </c>
      <c r="D37" s="8" t="s">
        <v>1311</v>
      </c>
      <c r="E37" s="8" t="s">
        <v>1321</v>
      </c>
      <c r="F37" s="8" t="s">
        <v>1421</v>
      </c>
      <c r="G37" s="15" t="s">
        <v>1422</v>
      </c>
      <c r="H37" s="8" t="s">
        <v>1356</v>
      </c>
      <c r="I37" s="8" t="s">
        <v>1404</v>
      </c>
      <c r="J37" s="5" t="s">
        <v>1296</v>
      </c>
    </row>
    <row r="38" spans="1:10" ht="24" customHeight="1" x14ac:dyDescent="0.2">
      <c r="A38" s="10" t="s">
        <v>1053</v>
      </c>
      <c r="B38" s="10" t="s">
        <v>196</v>
      </c>
      <c r="C38" s="10" t="s">
        <v>1423</v>
      </c>
      <c r="D38" s="10" t="s">
        <v>1311</v>
      </c>
      <c r="E38" s="10" t="s">
        <v>1328</v>
      </c>
      <c r="F38" s="10" t="s">
        <v>1424</v>
      </c>
      <c r="G38" s="15" t="s">
        <v>1425</v>
      </c>
      <c r="H38" s="10" t="s">
        <v>1426</v>
      </c>
      <c r="I38" s="10" t="s">
        <v>1404</v>
      </c>
      <c r="J38" s="5" t="s">
        <v>1296</v>
      </c>
    </row>
    <row r="39" spans="1:10" ht="24" customHeight="1" x14ac:dyDescent="0.2">
      <c r="A39" s="8" t="s">
        <v>1053</v>
      </c>
      <c r="B39" s="8" t="s">
        <v>196</v>
      </c>
      <c r="C39" s="8" t="s">
        <v>1427</v>
      </c>
      <c r="D39" s="8" t="s">
        <v>1353</v>
      </c>
      <c r="E39" s="8" t="s">
        <v>1328</v>
      </c>
      <c r="F39" s="8" t="s">
        <v>1354</v>
      </c>
      <c r="G39" s="15" t="s">
        <v>1428</v>
      </c>
      <c r="H39" s="8" t="s">
        <v>1429</v>
      </c>
      <c r="I39" s="8" t="s">
        <v>1404</v>
      </c>
      <c r="J39" s="5" t="s">
        <v>1296</v>
      </c>
    </row>
    <row r="40" spans="1:10" ht="24" customHeight="1" x14ac:dyDescent="0.2">
      <c r="A40" s="10" t="s">
        <v>1053</v>
      </c>
      <c r="B40" s="10" t="s">
        <v>196</v>
      </c>
      <c r="C40" s="10" t="s">
        <v>1430</v>
      </c>
      <c r="D40" s="10" t="s">
        <v>1353</v>
      </c>
      <c r="E40" s="10" t="s">
        <v>1328</v>
      </c>
      <c r="F40" s="10" t="s">
        <v>1354</v>
      </c>
      <c r="G40" s="15" t="s">
        <v>1431</v>
      </c>
      <c r="H40" s="10" t="s">
        <v>1432</v>
      </c>
      <c r="I40" s="10" t="s">
        <v>1404</v>
      </c>
      <c r="J40" s="5" t="s">
        <v>1296</v>
      </c>
    </row>
    <row r="41" spans="1:10" ht="24" customHeight="1" x14ac:dyDescent="0.2">
      <c r="A41" s="8" t="s">
        <v>1053</v>
      </c>
      <c r="B41" s="8" t="s">
        <v>199</v>
      </c>
      <c r="C41" s="8" t="s">
        <v>1433</v>
      </c>
      <c r="D41" s="8" t="s">
        <v>1311</v>
      </c>
      <c r="E41" s="8" t="s">
        <v>1321</v>
      </c>
      <c r="F41" s="8" t="s">
        <v>1434</v>
      </c>
      <c r="G41" s="15" t="s">
        <v>1435</v>
      </c>
      <c r="H41" s="8" t="s">
        <v>1356</v>
      </c>
      <c r="I41" s="8" t="s">
        <v>1404</v>
      </c>
      <c r="J41" s="5" t="s">
        <v>1296</v>
      </c>
    </row>
    <row r="42" spans="1:10" ht="24" customHeight="1" x14ac:dyDescent="0.2">
      <c r="A42" s="10" t="s">
        <v>1053</v>
      </c>
      <c r="B42" s="10" t="s">
        <v>199</v>
      </c>
      <c r="C42" s="10" t="s">
        <v>1436</v>
      </c>
      <c r="D42" s="10" t="s">
        <v>1311</v>
      </c>
      <c r="E42" s="10" t="s">
        <v>1328</v>
      </c>
      <c r="F42" s="10" t="s">
        <v>1434</v>
      </c>
      <c r="G42" s="15" t="s">
        <v>1437</v>
      </c>
      <c r="H42" s="10" t="s">
        <v>1360</v>
      </c>
      <c r="I42" s="10" t="s">
        <v>1404</v>
      </c>
      <c r="J42" s="5" t="s">
        <v>1296</v>
      </c>
    </row>
    <row r="43" spans="1:10" ht="24" customHeight="1" x14ac:dyDescent="0.2">
      <c r="A43" s="8" t="s">
        <v>1053</v>
      </c>
      <c r="B43" s="8" t="s">
        <v>199</v>
      </c>
      <c r="C43" s="8" t="s">
        <v>1438</v>
      </c>
      <c r="D43" s="8" t="s">
        <v>1439</v>
      </c>
      <c r="E43" s="8" t="s">
        <v>1328</v>
      </c>
      <c r="F43" s="8" t="s">
        <v>1354</v>
      </c>
      <c r="G43" s="15" t="s">
        <v>1440</v>
      </c>
      <c r="H43" s="8" t="s">
        <v>1441</v>
      </c>
      <c r="I43" s="8" t="s">
        <v>1404</v>
      </c>
      <c r="J43" s="5" t="s">
        <v>1296</v>
      </c>
    </row>
    <row r="44" spans="1:10" ht="24" customHeight="1" x14ac:dyDescent="0.2">
      <c r="A44" s="10" t="s">
        <v>1053</v>
      </c>
      <c r="B44" s="10" t="s">
        <v>199</v>
      </c>
      <c r="C44" s="10" t="s">
        <v>1442</v>
      </c>
      <c r="D44" s="10" t="s">
        <v>1353</v>
      </c>
      <c r="E44" s="10" t="s">
        <v>1328</v>
      </c>
      <c r="F44" s="10" t="s">
        <v>1354</v>
      </c>
      <c r="G44" s="15" t="s">
        <v>1443</v>
      </c>
      <c r="H44" s="10" t="s">
        <v>1444</v>
      </c>
      <c r="I44" s="10" t="s">
        <v>1404</v>
      </c>
      <c r="J44" s="5" t="s">
        <v>1296</v>
      </c>
    </row>
    <row r="45" spans="1:10" ht="24" customHeight="1" x14ac:dyDescent="0.2">
      <c r="A45" s="8" t="s">
        <v>1062</v>
      </c>
      <c r="B45" s="8" t="s">
        <v>202</v>
      </c>
      <c r="C45" s="8" t="s">
        <v>1445</v>
      </c>
      <c r="D45" s="8" t="s">
        <v>1353</v>
      </c>
      <c r="E45" s="8" t="s">
        <v>1321</v>
      </c>
      <c r="F45" s="8" t="s">
        <v>1354</v>
      </c>
      <c r="G45" s="15" t="s">
        <v>1446</v>
      </c>
      <c r="H45" s="8" t="s">
        <v>1447</v>
      </c>
      <c r="I45" s="8" t="s">
        <v>1448</v>
      </c>
      <c r="J45" s="5" t="s">
        <v>1296</v>
      </c>
    </row>
    <row r="46" spans="1:10" ht="24" customHeight="1" x14ac:dyDescent="0.2">
      <c r="A46" s="10" t="s">
        <v>1062</v>
      </c>
      <c r="B46" s="10" t="s">
        <v>202</v>
      </c>
      <c r="C46" s="10" t="s">
        <v>1449</v>
      </c>
      <c r="D46" s="10" t="s">
        <v>1353</v>
      </c>
      <c r="E46" s="10" t="s">
        <v>1328</v>
      </c>
      <c r="F46" s="10" t="s">
        <v>1354</v>
      </c>
      <c r="G46" s="15" t="s">
        <v>1450</v>
      </c>
      <c r="H46" s="10" t="s">
        <v>1451</v>
      </c>
      <c r="I46" s="10" t="s">
        <v>1448</v>
      </c>
      <c r="J46" s="5" t="s">
        <v>1296</v>
      </c>
    </row>
    <row r="47" spans="1:10" ht="24" customHeight="1" x14ac:dyDescent="0.2">
      <c r="A47" s="8" t="s">
        <v>1062</v>
      </c>
      <c r="B47" s="8" t="s">
        <v>206</v>
      </c>
      <c r="C47" s="8" t="s">
        <v>1452</v>
      </c>
      <c r="D47" s="8" t="s">
        <v>1311</v>
      </c>
      <c r="E47" s="8" t="s">
        <v>1321</v>
      </c>
      <c r="F47" s="8" t="s">
        <v>1453</v>
      </c>
      <c r="G47" s="15" t="s">
        <v>1454</v>
      </c>
      <c r="H47" s="8" t="s">
        <v>1447</v>
      </c>
      <c r="I47" s="8" t="s">
        <v>1448</v>
      </c>
      <c r="J47" s="5" t="s">
        <v>1296</v>
      </c>
    </row>
    <row r="48" spans="1:10" ht="24" customHeight="1" x14ac:dyDescent="0.2">
      <c r="A48" s="10" t="s">
        <v>1062</v>
      </c>
      <c r="B48" s="10" t="s">
        <v>206</v>
      </c>
      <c r="C48" s="10" t="s">
        <v>1455</v>
      </c>
      <c r="D48" s="10" t="s">
        <v>1311</v>
      </c>
      <c r="E48" s="10" t="s">
        <v>1328</v>
      </c>
      <c r="F48" s="10" t="s">
        <v>1453</v>
      </c>
      <c r="G48" s="15" t="s">
        <v>1456</v>
      </c>
      <c r="H48" s="10" t="s">
        <v>1457</v>
      </c>
      <c r="I48" s="10" t="s">
        <v>1448</v>
      </c>
      <c r="J48" s="5" t="s">
        <v>1296</v>
      </c>
    </row>
    <row r="49" spans="1:10" ht="24" customHeight="1" x14ac:dyDescent="0.2">
      <c r="A49" s="8" t="s">
        <v>1062</v>
      </c>
      <c r="B49" s="8" t="s">
        <v>206</v>
      </c>
      <c r="C49" s="8" t="s">
        <v>1458</v>
      </c>
      <c r="D49" s="8" t="s">
        <v>1353</v>
      </c>
      <c r="E49" s="8" t="s">
        <v>1328</v>
      </c>
      <c r="F49" s="8" t="s">
        <v>1354</v>
      </c>
      <c r="G49" s="15" t="s">
        <v>1459</v>
      </c>
      <c r="H49" s="8" t="s">
        <v>1460</v>
      </c>
      <c r="I49" s="8" t="s">
        <v>1448</v>
      </c>
      <c r="J49" s="5" t="s">
        <v>1296</v>
      </c>
    </row>
    <row r="50" spans="1:10" ht="24" customHeight="1" x14ac:dyDescent="0.2">
      <c r="A50" s="10" t="s">
        <v>1062</v>
      </c>
      <c r="B50" s="10" t="s">
        <v>209</v>
      </c>
      <c r="C50" s="10" t="s">
        <v>1461</v>
      </c>
      <c r="D50" s="10" t="s">
        <v>1353</v>
      </c>
      <c r="E50" s="10" t="s">
        <v>1321</v>
      </c>
      <c r="F50" s="10" t="s">
        <v>1354</v>
      </c>
      <c r="G50" s="15" t="s">
        <v>1462</v>
      </c>
      <c r="H50" s="10" t="s">
        <v>1463</v>
      </c>
      <c r="I50" s="10" t="s">
        <v>1448</v>
      </c>
      <c r="J50" s="5" t="s">
        <v>1296</v>
      </c>
    </row>
    <row r="51" spans="1:10" ht="24" customHeight="1" x14ac:dyDescent="0.2">
      <c r="A51" s="8" t="s">
        <v>1062</v>
      </c>
      <c r="B51" s="8" t="s">
        <v>209</v>
      </c>
      <c r="C51" s="8" t="s">
        <v>1464</v>
      </c>
      <c r="D51" s="8" t="s">
        <v>1353</v>
      </c>
      <c r="E51" s="8" t="s">
        <v>1328</v>
      </c>
      <c r="F51" s="8" t="s">
        <v>1354</v>
      </c>
      <c r="G51" s="15" t="s">
        <v>1465</v>
      </c>
      <c r="H51" s="8" t="s">
        <v>1466</v>
      </c>
      <c r="I51" s="8" t="s">
        <v>1448</v>
      </c>
      <c r="J51" s="5" t="s">
        <v>1296</v>
      </c>
    </row>
    <row r="52" spans="1:10" ht="24" customHeight="1" x14ac:dyDescent="0.2">
      <c r="A52" s="10" t="s">
        <v>1062</v>
      </c>
      <c r="B52" s="10" t="s">
        <v>212</v>
      </c>
      <c r="C52" s="10" t="s">
        <v>1467</v>
      </c>
      <c r="D52" s="10" t="s">
        <v>1311</v>
      </c>
      <c r="E52" s="10" t="s">
        <v>1321</v>
      </c>
      <c r="F52" s="10" t="s">
        <v>1468</v>
      </c>
      <c r="G52" s="15" t="s">
        <v>1469</v>
      </c>
      <c r="H52" s="10" t="s">
        <v>1447</v>
      </c>
      <c r="I52" s="10" t="s">
        <v>1448</v>
      </c>
      <c r="J52" s="5" t="s">
        <v>1296</v>
      </c>
    </row>
    <row r="53" spans="1:10" ht="24" customHeight="1" x14ac:dyDescent="0.2">
      <c r="A53" s="8" t="s">
        <v>1062</v>
      </c>
      <c r="B53" s="8" t="s">
        <v>212</v>
      </c>
      <c r="C53" s="8" t="s">
        <v>1470</v>
      </c>
      <c r="D53" s="8" t="s">
        <v>1311</v>
      </c>
      <c r="E53" s="8" t="s">
        <v>1328</v>
      </c>
      <c r="F53" s="8" t="s">
        <v>1471</v>
      </c>
      <c r="G53" s="15" t="s">
        <v>1472</v>
      </c>
      <c r="H53" s="8" t="s">
        <v>1457</v>
      </c>
      <c r="I53" s="8" t="s">
        <v>1448</v>
      </c>
      <c r="J53" s="5" t="s">
        <v>1296</v>
      </c>
    </row>
    <row r="54" spans="1:10" ht="24" customHeight="1" x14ac:dyDescent="0.2">
      <c r="A54" s="10" t="s">
        <v>1062</v>
      </c>
      <c r="B54" s="10" t="s">
        <v>24</v>
      </c>
      <c r="C54" s="10" t="s">
        <v>1349</v>
      </c>
      <c r="D54" s="10" t="s">
        <v>1311</v>
      </c>
      <c r="E54" s="10" t="s">
        <v>1321</v>
      </c>
      <c r="F54" s="10" t="s">
        <v>1473</v>
      </c>
      <c r="G54" s="15" t="s">
        <v>216</v>
      </c>
      <c r="H54" s="10" t="s">
        <v>1474</v>
      </c>
      <c r="I54" s="10" t="s">
        <v>1448</v>
      </c>
      <c r="J54" s="5" t="s">
        <v>1296</v>
      </c>
    </row>
    <row r="55" spans="1:10" ht="24" customHeight="1" x14ac:dyDescent="0.2">
      <c r="A55" s="8" t="s">
        <v>1475</v>
      </c>
      <c r="B55" s="8" t="s">
        <v>135</v>
      </c>
      <c r="C55" s="8" t="s">
        <v>1476</v>
      </c>
      <c r="D55" s="1"/>
      <c r="E55" s="2"/>
      <c r="F55" s="2"/>
      <c r="G55" s="1"/>
      <c r="H55" s="8" t="s">
        <v>1477</v>
      </c>
      <c r="I55" s="8" t="s">
        <v>1478</v>
      </c>
      <c r="J55" s="5" t="s">
        <v>1296</v>
      </c>
    </row>
    <row r="56" spans="1:10" ht="24" customHeight="1" x14ac:dyDescent="0.2">
      <c r="A56" s="10" t="s">
        <v>1475</v>
      </c>
      <c r="B56" s="10" t="s">
        <v>137</v>
      </c>
      <c r="C56" s="10" t="s">
        <v>1479</v>
      </c>
      <c r="D56" s="1"/>
      <c r="E56" s="2"/>
      <c r="F56" s="2"/>
      <c r="G56" s="1"/>
      <c r="H56" s="10" t="s">
        <v>1480</v>
      </c>
      <c r="I56" s="10" t="s">
        <v>1478</v>
      </c>
      <c r="J56" s="5" t="s">
        <v>1296</v>
      </c>
    </row>
  </sheetData>
  <autoFilter ref="A1:J56" xr:uid="{00000000-0009-0000-0000-000014000000}"/>
  <hyperlinks>
    <hyperlink ref="G2" r:id="rId1" xr:uid="{00000000-0004-0000-1400-000000000000}"/>
    <hyperlink ref="G3" r:id="rId2" xr:uid="{00000000-0004-0000-1400-000001000000}"/>
    <hyperlink ref="G4" r:id="rId3" xr:uid="{00000000-0004-0000-1400-000002000000}"/>
    <hyperlink ref="G5" r:id="rId4" xr:uid="{00000000-0004-0000-1400-000003000000}"/>
    <hyperlink ref="G6" r:id="rId5" xr:uid="{00000000-0004-0000-1400-000004000000}"/>
    <hyperlink ref="G7" r:id="rId6" xr:uid="{00000000-0004-0000-1400-000005000000}"/>
    <hyperlink ref="G10" r:id="rId7" xr:uid="{00000000-0004-0000-1400-000006000000}"/>
    <hyperlink ref="G11" r:id="rId8" xr:uid="{00000000-0004-0000-1400-000007000000}"/>
    <hyperlink ref="G14" r:id="rId9" xr:uid="{00000000-0004-0000-1400-000008000000}"/>
    <hyperlink ref="G15" r:id="rId10" xr:uid="{00000000-0004-0000-1400-000009000000}"/>
    <hyperlink ref="G16" r:id="rId11" xr:uid="{00000000-0004-0000-1400-00000A000000}"/>
    <hyperlink ref="G17" r:id="rId12" xr:uid="{00000000-0004-0000-1400-00000B000000}"/>
    <hyperlink ref="G18" r:id="rId13" xr:uid="{00000000-0004-0000-1400-00000C000000}"/>
    <hyperlink ref="G19" r:id="rId14" xr:uid="{00000000-0004-0000-1400-00000D000000}"/>
    <hyperlink ref="G20" r:id="rId15" xr:uid="{00000000-0004-0000-1400-00000E000000}"/>
    <hyperlink ref="G21" r:id="rId16" xr:uid="{00000000-0004-0000-1400-00000F000000}"/>
    <hyperlink ref="G22" r:id="rId17" xr:uid="{00000000-0004-0000-1400-000010000000}"/>
    <hyperlink ref="G23" r:id="rId18" xr:uid="{00000000-0004-0000-1400-000011000000}"/>
    <hyperlink ref="G24" r:id="rId19" xr:uid="{00000000-0004-0000-1400-000012000000}"/>
    <hyperlink ref="G25" r:id="rId20" xr:uid="{00000000-0004-0000-1400-000013000000}"/>
    <hyperlink ref="G26" r:id="rId21" xr:uid="{00000000-0004-0000-1400-000014000000}"/>
    <hyperlink ref="G27" r:id="rId22" xr:uid="{00000000-0004-0000-1400-000015000000}"/>
    <hyperlink ref="G28" r:id="rId23" xr:uid="{00000000-0004-0000-1400-000016000000}"/>
    <hyperlink ref="G29" r:id="rId24" xr:uid="{00000000-0004-0000-1400-000017000000}"/>
    <hyperlink ref="G30" r:id="rId25" xr:uid="{00000000-0004-0000-1400-000018000000}"/>
    <hyperlink ref="G31" r:id="rId26" xr:uid="{00000000-0004-0000-1400-000019000000}"/>
    <hyperlink ref="G32" r:id="rId27" xr:uid="{00000000-0004-0000-1400-00001A000000}"/>
    <hyperlink ref="G33" r:id="rId28" xr:uid="{00000000-0004-0000-1400-00001B000000}"/>
    <hyperlink ref="G34" r:id="rId29" xr:uid="{00000000-0004-0000-1400-00001C000000}"/>
    <hyperlink ref="G35" r:id="rId30" xr:uid="{00000000-0004-0000-1400-00001D000000}"/>
    <hyperlink ref="G36" r:id="rId31" xr:uid="{00000000-0004-0000-1400-00001E000000}"/>
    <hyperlink ref="G37" r:id="rId32" xr:uid="{00000000-0004-0000-1400-00001F000000}"/>
    <hyperlink ref="G38" r:id="rId33" xr:uid="{00000000-0004-0000-1400-000020000000}"/>
    <hyperlink ref="G39" r:id="rId34" xr:uid="{00000000-0004-0000-1400-000021000000}"/>
    <hyperlink ref="G40" r:id="rId35" xr:uid="{00000000-0004-0000-1400-000022000000}"/>
    <hyperlink ref="G41" r:id="rId36" xr:uid="{00000000-0004-0000-1400-000023000000}"/>
    <hyperlink ref="G42" r:id="rId37" xr:uid="{00000000-0004-0000-1400-000024000000}"/>
    <hyperlink ref="G43" r:id="rId38" xr:uid="{00000000-0004-0000-1400-000025000000}"/>
    <hyperlink ref="G44" r:id="rId39" xr:uid="{00000000-0004-0000-1400-000026000000}"/>
    <hyperlink ref="G45" r:id="rId40" xr:uid="{00000000-0004-0000-1400-000027000000}"/>
    <hyperlink ref="G46" r:id="rId41" xr:uid="{00000000-0004-0000-1400-000028000000}"/>
    <hyperlink ref="G47" r:id="rId42" xr:uid="{00000000-0004-0000-1400-000029000000}"/>
    <hyperlink ref="G48" r:id="rId43" xr:uid="{00000000-0004-0000-1400-00002A000000}"/>
    <hyperlink ref="G49" r:id="rId44" xr:uid="{00000000-0004-0000-1400-00002B000000}"/>
    <hyperlink ref="G50" r:id="rId45" xr:uid="{00000000-0004-0000-1400-00002C000000}"/>
    <hyperlink ref="G51" r:id="rId46" xr:uid="{00000000-0004-0000-1400-00002D000000}"/>
    <hyperlink ref="G52" r:id="rId47" xr:uid="{00000000-0004-0000-1400-00002E000000}"/>
    <hyperlink ref="G53" r:id="rId48" xr:uid="{00000000-0004-0000-1400-00002F000000}"/>
    <hyperlink ref="G54" r:id="rId49" xr:uid="{00000000-0004-0000-1400-000030000000}"/>
  </hyperlinks>
  <pageMargins left="0.25" right="0.25" top="0.4" bottom="0.4" header="0.511811023622047" footer="0.511811023622047"/>
  <pageSetup fitToHeight="0"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E9"/>
  <sheetViews>
    <sheetView showGridLines="0" rightToLeft="1" zoomScaleNormal="100" workbookViewId="0">
      <pane ySplit="1" topLeftCell="A2" activePane="bottomLeft" state="frozen"/>
      <selection pane="bottomLeft"/>
    </sheetView>
  </sheetViews>
  <sheetFormatPr baseColWidth="10" defaultColWidth="8.6640625" defaultRowHeight="15" customHeight="1" x14ac:dyDescent="0.2"/>
  <cols>
    <col min="1" max="1" width="14" customWidth="1"/>
    <col min="2" max="3" width="42" customWidth="1"/>
    <col min="4" max="4" width="27.6640625" customWidth="1"/>
    <col min="5" max="5" width="42" customWidth="1"/>
  </cols>
  <sheetData>
    <row r="1" spans="1:5" ht="34" customHeight="1" x14ac:dyDescent="0.2">
      <c r="A1" s="36" t="s">
        <v>1481</v>
      </c>
      <c r="B1" s="36" t="s">
        <v>1482</v>
      </c>
      <c r="C1" s="36" t="s">
        <v>1483</v>
      </c>
      <c r="D1" s="36" t="s">
        <v>1484</v>
      </c>
      <c r="E1" s="36" t="s">
        <v>1485</v>
      </c>
    </row>
    <row r="2" spans="1:5" ht="28" customHeight="1" x14ac:dyDescent="0.2">
      <c r="A2" s="10" t="s">
        <v>1475</v>
      </c>
      <c r="B2" s="10" t="s">
        <v>1486</v>
      </c>
      <c r="C2" s="10" t="s">
        <v>1487</v>
      </c>
      <c r="D2" s="10" t="s">
        <v>1488</v>
      </c>
      <c r="E2" s="5" t="s">
        <v>1478</v>
      </c>
    </row>
    <row r="3" spans="1:5" ht="24" customHeight="1" x14ac:dyDescent="0.2">
      <c r="A3" s="37" t="s">
        <v>1022</v>
      </c>
      <c r="B3" s="37" t="s">
        <v>1489</v>
      </c>
      <c r="C3" s="37" t="s">
        <v>1490</v>
      </c>
      <c r="D3" s="37" t="s">
        <v>1491</v>
      </c>
      <c r="E3" s="38" t="s">
        <v>1492</v>
      </c>
    </row>
    <row r="4" spans="1:5" ht="24" customHeight="1" x14ac:dyDescent="0.2">
      <c r="A4" s="10" t="s">
        <v>1031</v>
      </c>
      <c r="B4" s="10" t="s">
        <v>1493</v>
      </c>
      <c r="C4" s="10" t="s">
        <v>1494</v>
      </c>
      <c r="D4" s="10" t="s">
        <v>1495</v>
      </c>
      <c r="E4" s="5" t="s">
        <v>1496</v>
      </c>
    </row>
    <row r="5" spans="1:5" ht="24" customHeight="1" x14ac:dyDescent="0.2">
      <c r="A5" s="8" t="s">
        <v>1038</v>
      </c>
      <c r="B5" s="8" t="s">
        <v>1497</v>
      </c>
      <c r="C5" s="8" t="s">
        <v>1498</v>
      </c>
      <c r="D5" s="8" t="s">
        <v>1499</v>
      </c>
      <c r="E5" s="5" t="s">
        <v>1500</v>
      </c>
    </row>
    <row r="6" spans="1:5" ht="24" customHeight="1" x14ac:dyDescent="0.2">
      <c r="A6" s="10" t="s">
        <v>1045</v>
      </c>
      <c r="B6" s="10" t="s">
        <v>1501</v>
      </c>
      <c r="C6" s="10" t="s">
        <v>1502</v>
      </c>
      <c r="D6" s="10" t="s">
        <v>1503</v>
      </c>
      <c r="E6" s="5" t="s">
        <v>1504</v>
      </c>
    </row>
    <row r="7" spans="1:5" ht="24" customHeight="1" x14ac:dyDescent="0.2">
      <c r="A7" s="8" t="s">
        <v>1053</v>
      </c>
      <c r="B7" s="8" t="s">
        <v>1505</v>
      </c>
      <c r="C7" s="8" t="s">
        <v>1506</v>
      </c>
      <c r="D7" s="8" t="s">
        <v>1507</v>
      </c>
      <c r="E7" s="5" t="s">
        <v>1508</v>
      </c>
    </row>
    <row r="8" spans="1:5" ht="24" customHeight="1" x14ac:dyDescent="0.2">
      <c r="A8" s="10" t="s">
        <v>1062</v>
      </c>
      <c r="B8" s="10" t="s">
        <v>1509</v>
      </c>
      <c r="C8" s="10" t="s">
        <v>1510</v>
      </c>
      <c r="D8" s="10" t="s">
        <v>1511</v>
      </c>
      <c r="E8" s="5" t="s">
        <v>1512</v>
      </c>
    </row>
    <row r="9" spans="1:5" ht="24" customHeight="1" x14ac:dyDescent="0.2">
      <c r="A9" s="8" t="s">
        <v>1513</v>
      </c>
      <c r="B9" s="8" t="s">
        <v>1514</v>
      </c>
      <c r="C9" s="8" t="s">
        <v>1515</v>
      </c>
      <c r="D9" s="8" t="s">
        <v>1516</v>
      </c>
      <c r="E9" s="5" t="s">
        <v>1517</v>
      </c>
    </row>
  </sheetData>
  <autoFilter ref="A1:E9" xr:uid="{00000000-0009-0000-0000-000015000000}"/>
  <pageMargins left="0.25" right="0.25" top="0.4" bottom="0.4" header="0.511811023622047" footer="0.511811023622047"/>
  <pageSetup fitToHeight="0" orientation="portrait" horizontalDpi="300" verticalDpi="300"/>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14"/>
  <sheetViews>
    <sheetView showGridLines="0" rightToLeft="1" zoomScaleNormal="100" workbookViewId="0">
      <pane ySplit="1" topLeftCell="A2" activePane="bottomLeft" state="frozen"/>
      <selection pane="bottomLeft"/>
    </sheetView>
  </sheetViews>
  <sheetFormatPr baseColWidth="10" defaultColWidth="8.6640625" defaultRowHeight="15" customHeight="1" x14ac:dyDescent="0.2"/>
  <cols>
    <col min="1" max="1" width="42" customWidth="1"/>
    <col min="2" max="2" width="10" customWidth="1"/>
    <col min="3" max="4" width="42" customWidth="1"/>
  </cols>
  <sheetData>
    <row r="1" spans="1:4" ht="34" customHeight="1" x14ac:dyDescent="0.2">
      <c r="A1" s="36" t="s">
        <v>339</v>
      </c>
      <c r="B1" s="36" t="s">
        <v>376</v>
      </c>
      <c r="C1" s="36" t="s">
        <v>4</v>
      </c>
      <c r="D1" s="36" t="s">
        <v>1485</v>
      </c>
    </row>
    <row r="2" spans="1:4" ht="28" customHeight="1" x14ac:dyDescent="0.2">
      <c r="A2" s="10" t="s">
        <v>1518</v>
      </c>
      <c r="B2" s="9" t="s">
        <v>1519</v>
      </c>
      <c r="C2" s="10" t="s">
        <v>1520</v>
      </c>
      <c r="D2" s="5" t="s">
        <v>1521</v>
      </c>
    </row>
    <row r="3" spans="1:4" ht="24" customHeight="1" x14ac:dyDescent="0.2">
      <c r="A3" s="37" t="s">
        <v>1522</v>
      </c>
      <c r="B3" s="37" t="s">
        <v>1519</v>
      </c>
      <c r="C3" s="37" t="s">
        <v>1523</v>
      </c>
      <c r="D3" s="38" t="s">
        <v>1524</v>
      </c>
    </row>
    <row r="4" spans="1:4" ht="24" customHeight="1" x14ac:dyDescent="0.2">
      <c r="A4" s="10" t="s">
        <v>1525</v>
      </c>
      <c r="B4" s="9" t="s">
        <v>729</v>
      </c>
      <c r="C4" s="10" t="s">
        <v>1526</v>
      </c>
      <c r="D4" s="5" t="s">
        <v>1527</v>
      </c>
    </row>
    <row r="5" spans="1:4" ht="24" customHeight="1" x14ac:dyDescent="0.2">
      <c r="A5" s="8" t="s">
        <v>1528</v>
      </c>
      <c r="B5" s="9" t="s">
        <v>1519</v>
      </c>
      <c r="C5" s="8" t="s">
        <v>565</v>
      </c>
      <c r="D5" s="5" t="s">
        <v>1529</v>
      </c>
    </row>
    <row r="6" spans="1:4" ht="24" customHeight="1" x14ac:dyDescent="0.2">
      <c r="A6" s="10" t="s">
        <v>1530</v>
      </c>
      <c r="B6" s="9" t="s">
        <v>1519</v>
      </c>
      <c r="C6" s="10" t="s">
        <v>1531</v>
      </c>
      <c r="D6" s="5" t="s">
        <v>1532</v>
      </c>
    </row>
    <row r="7" spans="1:4" ht="24" customHeight="1" x14ac:dyDescent="0.2">
      <c r="A7" s="8" t="s">
        <v>1533</v>
      </c>
      <c r="B7" s="9" t="s">
        <v>1519</v>
      </c>
      <c r="C7" s="8" t="s">
        <v>1534</v>
      </c>
      <c r="D7" s="5" t="s">
        <v>1535</v>
      </c>
    </row>
    <row r="8" spans="1:4" ht="24" customHeight="1" x14ac:dyDescent="0.2">
      <c r="A8" s="10" t="s">
        <v>1536</v>
      </c>
      <c r="B8" s="9" t="s">
        <v>1519</v>
      </c>
      <c r="C8" s="10" t="s">
        <v>1537</v>
      </c>
      <c r="D8" s="5" t="s">
        <v>1538</v>
      </c>
    </row>
    <row r="9" spans="1:4" ht="24" customHeight="1" x14ac:dyDescent="0.2">
      <c r="A9" s="8" t="s">
        <v>1539</v>
      </c>
      <c r="B9" s="9" t="s">
        <v>1519</v>
      </c>
      <c r="C9" s="8" t="s">
        <v>1540</v>
      </c>
      <c r="D9" s="5" t="s">
        <v>1541</v>
      </c>
    </row>
    <row r="10" spans="1:4" ht="24" customHeight="1" x14ac:dyDescent="0.2">
      <c r="A10" s="10" t="s">
        <v>1542</v>
      </c>
      <c r="B10" s="9" t="s">
        <v>1519</v>
      </c>
      <c r="C10" s="10" t="s">
        <v>1543</v>
      </c>
      <c r="D10" s="5" t="s">
        <v>1544</v>
      </c>
    </row>
    <row r="11" spans="1:4" ht="24" customHeight="1" x14ac:dyDescent="0.2">
      <c r="A11" s="8" t="s">
        <v>1545</v>
      </c>
      <c r="B11" s="9" t="s">
        <v>1519</v>
      </c>
      <c r="C11" s="8" t="s">
        <v>1546</v>
      </c>
      <c r="D11" s="5" t="s">
        <v>1547</v>
      </c>
    </row>
    <row r="12" spans="1:4" ht="76" customHeight="1" x14ac:dyDescent="0.2">
      <c r="A12" s="8" t="s">
        <v>1548</v>
      </c>
      <c r="B12" s="9" t="s">
        <v>1549</v>
      </c>
      <c r="C12" s="8" t="s">
        <v>1550</v>
      </c>
      <c r="D12" s="5" t="s">
        <v>1551</v>
      </c>
    </row>
    <row r="13" spans="1:4" ht="76" customHeight="1" x14ac:dyDescent="0.2">
      <c r="A13" s="8" t="s">
        <v>1552</v>
      </c>
      <c r="B13" s="9" t="s">
        <v>1553</v>
      </c>
      <c r="C13" s="8" t="s">
        <v>1554</v>
      </c>
      <c r="D13" s="5" t="s">
        <v>9</v>
      </c>
    </row>
    <row r="14" spans="1:4" ht="76" customHeight="1" x14ac:dyDescent="0.2">
      <c r="A14" s="8" t="s">
        <v>1555</v>
      </c>
      <c r="B14" s="9" t="s">
        <v>1549</v>
      </c>
      <c r="C14" s="8" t="s">
        <v>1556</v>
      </c>
      <c r="D14" s="5" t="s">
        <v>51</v>
      </c>
    </row>
  </sheetData>
  <autoFilter ref="A1:D11" xr:uid="{00000000-0009-0000-0000-000016000000}"/>
  <pageMargins left="0.25" right="0.25" top="0.4" bottom="0.4" header="0.511811023622047" footer="0.511811023622047"/>
  <pageSetup fitToHeight="0" orientation="portrait" horizontalDpi="300" verticalDpi="300"/>
  <legacy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D11"/>
  <sheetViews>
    <sheetView showGridLines="0" rightToLeft="1" workbookViewId="0">
      <pane ySplit="3" topLeftCell="A4" activePane="bottomLeft" state="frozen"/>
      <selection pane="bottomLeft"/>
    </sheetView>
  </sheetViews>
  <sheetFormatPr baseColWidth="10" defaultColWidth="8.83203125" defaultRowHeight="15" x14ac:dyDescent="0.2"/>
  <cols>
    <col min="1" max="1" width="42" customWidth="1"/>
    <col min="2" max="2" width="18.1640625" customWidth="1"/>
    <col min="3" max="3" width="42" customWidth="1"/>
    <col min="4" max="4" width="36.1640625" customWidth="1"/>
  </cols>
  <sheetData>
    <row r="1" spans="1:4" ht="34" customHeight="1" x14ac:dyDescent="0.2">
      <c r="A1" s="79" t="s">
        <v>1557</v>
      </c>
      <c r="B1" s="76"/>
      <c r="C1" s="76"/>
      <c r="D1" s="76"/>
    </row>
    <row r="2" spans="1:4" ht="28" customHeight="1" x14ac:dyDescent="0.2">
      <c r="A2" s="85" t="s">
        <v>1558</v>
      </c>
      <c r="B2" s="76"/>
      <c r="C2" s="76"/>
      <c r="D2" s="76"/>
    </row>
    <row r="3" spans="1:4" ht="30" customHeight="1" x14ac:dyDescent="0.2">
      <c r="A3" s="40" t="s">
        <v>535</v>
      </c>
      <c r="B3" s="40" t="s">
        <v>1559</v>
      </c>
      <c r="C3" s="40" t="s">
        <v>1482</v>
      </c>
      <c r="D3" s="40" t="s">
        <v>620</v>
      </c>
    </row>
    <row r="4" spans="1:4" ht="20" customHeight="1" x14ac:dyDescent="0.2">
      <c r="A4" s="23" t="s">
        <v>409</v>
      </c>
      <c r="B4" s="23" t="s">
        <v>1560</v>
      </c>
      <c r="C4" s="23" t="s">
        <v>1561</v>
      </c>
      <c r="D4" s="23" t="s">
        <v>1562</v>
      </c>
    </row>
    <row r="5" spans="1:4" ht="20" customHeight="1" x14ac:dyDescent="0.2">
      <c r="A5" s="25" t="s">
        <v>409</v>
      </c>
      <c r="B5" s="25" t="s">
        <v>1563</v>
      </c>
      <c r="C5" s="25" t="s">
        <v>1564</v>
      </c>
      <c r="D5" s="25" t="s">
        <v>1565</v>
      </c>
    </row>
    <row r="6" spans="1:4" ht="20" customHeight="1" x14ac:dyDescent="0.2">
      <c r="A6" s="23" t="s">
        <v>409</v>
      </c>
      <c r="B6" s="23" t="s">
        <v>1566</v>
      </c>
      <c r="C6" s="23" t="s">
        <v>1567</v>
      </c>
      <c r="D6" s="23" t="s">
        <v>1568</v>
      </c>
    </row>
    <row r="7" spans="1:4" ht="29" customHeight="1" x14ac:dyDescent="0.2">
      <c r="A7" s="25" t="s">
        <v>1569</v>
      </c>
      <c r="B7" s="25" t="s">
        <v>1570</v>
      </c>
      <c r="C7" s="25" t="s">
        <v>1571</v>
      </c>
      <c r="D7" s="25" t="s">
        <v>1572</v>
      </c>
    </row>
    <row r="8" spans="1:4" ht="20" customHeight="1" x14ac:dyDescent="0.2">
      <c r="A8" s="23" t="s">
        <v>1569</v>
      </c>
      <c r="B8" s="23" t="s">
        <v>1573</v>
      </c>
      <c r="C8" s="23" t="s">
        <v>1574</v>
      </c>
      <c r="D8" s="23" t="s">
        <v>1572</v>
      </c>
    </row>
    <row r="9" spans="1:4" ht="20" customHeight="1" x14ac:dyDescent="0.2">
      <c r="A9" s="25" t="s">
        <v>380</v>
      </c>
      <c r="B9" s="25" t="s">
        <v>1575</v>
      </c>
      <c r="C9" s="25" t="s">
        <v>1576</v>
      </c>
      <c r="D9" s="25" t="s">
        <v>1236</v>
      </c>
    </row>
    <row r="10" spans="1:4" ht="29" customHeight="1" x14ac:dyDescent="0.2">
      <c r="A10" s="23" t="s">
        <v>1577</v>
      </c>
      <c r="B10" s="23" t="s">
        <v>1578</v>
      </c>
      <c r="C10" s="23" t="s">
        <v>1579</v>
      </c>
      <c r="D10" s="23" t="s">
        <v>1580</v>
      </c>
    </row>
    <row r="11" spans="1:4" ht="20" customHeight="1" x14ac:dyDescent="0.2">
      <c r="A11" s="25" t="s">
        <v>1581</v>
      </c>
      <c r="B11" s="25" t="s">
        <v>376</v>
      </c>
      <c r="C11" s="25" t="s">
        <v>1582</v>
      </c>
      <c r="D11" s="25" t="s">
        <v>1236</v>
      </c>
    </row>
  </sheetData>
  <mergeCells count="2">
    <mergeCell ref="A1:D1"/>
    <mergeCell ref="A2:D2"/>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19"/>
  <sheetViews>
    <sheetView showGridLines="0" rightToLeft="1" workbookViewId="0">
      <pane ySplit="3" topLeftCell="A4" activePane="bottomLeft" state="frozen"/>
      <selection pane="bottomLeft"/>
    </sheetView>
  </sheetViews>
  <sheetFormatPr baseColWidth="10" defaultColWidth="8.83203125" defaultRowHeight="15" x14ac:dyDescent="0.2"/>
  <cols>
    <col min="1" max="1" width="33.33203125" customWidth="1"/>
    <col min="2" max="3" width="42" customWidth="1"/>
  </cols>
  <sheetData>
    <row r="1" spans="1:3" ht="34" customHeight="1" x14ac:dyDescent="0.2">
      <c r="A1" s="79" t="s">
        <v>1583</v>
      </c>
      <c r="B1" s="76"/>
      <c r="C1" s="76"/>
    </row>
    <row r="2" spans="1:3" ht="28" customHeight="1" x14ac:dyDescent="0.2"/>
    <row r="3" spans="1:3" ht="24" customHeight="1" x14ac:dyDescent="0.2">
      <c r="A3" s="41" t="s">
        <v>1207</v>
      </c>
      <c r="B3" s="41" t="s">
        <v>228</v>
      </c>
      <c r="C3" s="41" t="s">
        <v>4</v>
      </c>
    </row>
    <row r="4" spans="1:3" ht="22" customHeight="1" x14ac:dyDescent="0.2">
      <c r="A4" s="42" t="s">
        <v>1584</v>
      </c>
      <c r="B4" s="42">
        <f>COUNTA('Audit شرکت ها'!B4:B33)</f>
        <v>30</v>
      </c>
      <c r="C4" s="42" t="s">
        <v>342</v>
      </c>
    </row>
    <row r="5" spans="1:3" ht="22" customHeight="1" x14ac:dyDescent="0.2">
      <c r="A5" s="42" t="s">
        <v>1585</v>
      </c>
      <c r="B5" s="42">
        <f>'CR1A v39'!B49</f>
        <v>30</v>
      </c>
      <c r="C5" s="42" t="s">
        <v>1586</v>
      </c>
    </row>
    <row r="6" spans="1:3" ht="22" customHeight="1" x14ac:dyDescent="0.2">
      <c r="A6" s="42" t="s">
        <v>1587</v>
      </c>
      <c r="B6" s="42">
        <f>COUNTA('Audit Measureها'!A4:A18)</f>
        <v>15</v>
      </c>
      <c r="C6" s="42" t="s">
        <v>1588</v>
      </c>
    </row>
    <row r="7" spans="1:3" ht="22" customHeight="1" x14ac:dyDescent="0.2">
      <c r="A7" s="42" t="s">
        <v>1589</v>
      </c>
      <c r="B7" s="42">
        <f>COUNTIF('Audit Measureها'!D4:D18,"VERIFIED")</f>
        <v>0</v>
      </c>
      <c r="C7" s="43"/>
    </row>
    <row r="8" spans="1:3" ht="22" customHeight="1" x14ac:dyDescent="0.2">
      <c r="A8" s="44" t="s">
        <v>824</v>
      </c>
      <c r="B8" s="42">
        <f>COUNTIF('Audit Measureها'!D4:D18,"VERIFIED_WITH_LIMITATION")</f>
        <v>8</v>
      </c>
      <c r="C8" s="43"/>
    </row>
    <row r="9" spans="1:3" ht="22" customHeight="1" x14ac:dyDescent="0.2">
      <c r="A9" s="45" t="s">
        <v>836</v>
      </c>
      <c r="B9" s="42">
        <f>COUNTIF('Audit Measureها'!D4:D18,"NEEDS_CORRECTION")</f>
        <v>5</v>
      </c>
      <c r="C9" s="43"/>
    </row>
    <row r="10" spans="1:3" ht="22" customHeight="1" x14ac:dyDescent="0.2">
      <c r="A10" s="46" t="s">
        <v>752</v>
      </c>
      <c r="B10" s="42">
        <f>COUNTIF('Audit Measureها'!D4:D18,"NEEDS_SOURCE_REVIEW")</f>
        <v>2</v>
      </c>
      <c r="C10" s="43"/>
    </row>
    <row r="11" spans="1:3" ht="22" customHeight="1" x14ac:dyDescent="0.2">
      <c r="A11" s="42" t="s">
        <v>1590</v>
      </c>
      <c r="B11" s="42">
        <f>COUNTIF('Audit منابع'!I4:I33,"SOURCE_GAP")</f>
        <v>9</v>
      </c>
      <c r="C11" s="42" t="s">
        <v>1591</v>
      </c>
    </row>
    <row r="12" spans="1:3" ht="22" customHeight="1" x14ac:dyDescent="0.2">
      <c r="A12" s="42" t="s">
        <v>1592</v>
      </c>
      <c r="B12" s="42">
        <v>0</v>
      </c>
      <c r="C12" s="42" t="s">
        <v>1593</v>
      </c>
    </row>
    <row r="13" spans="1:3" ht="22" customHeight="1" x14ac:dyDescent="0.2">
      <c r="A13" s="42" t="s">
        <v>1594</v>
      </c>
      <c r="B13" s="42">
        <f>COUNTA('Conflict Log'!A4:A25)</f>
        <v>22</v>
      </c>
      <c r="C13" s="42" t="s">
        <v>1595</v>
      </c>
    </row>
    <row r="14" spans="1:3" ht="22" customHeight="1" x14ac:dyDescent="0.2">
      <c r="A14" s="42" t="s">
        <v>1596</v>
      </c>
      <c r="B14" s="42">
        <f>COUNTIF('Audit Turnover'!L4:L33,"FAIL")</f>
        <v>0</v>
      </c>
      <c r="C14" s="43"/>
    </row>
    <row r="15" spans="1:3" ht="22" customHeight="1" x14ac:dyDescent="0.2">
      <c r="A15" s="42" t="s">
        <v>1597</v>
      </c>
      <c r="B15" s="42">
        <f>COUNTIF('Audit Turnover'!N4:N33,"FAIL")</f>
        <v>1</v>
      </c>
      <c r="C15" s="43"/>
    </row>
    <row r="16" spans="1:3" ht="22" customHeight="1" x14ac:dyDescent="0.2">
      <c r="A16" s="42" t="s">
        <v>1598</v>
      </c>
      <c r="B16" s="42">
        <f>COUNTIF('Audit Turnover'!O4:O33,"FAIL")</f>
        <v>3</v>
      </c>
      <c r="C16" s="43"/>
    </row>
    <row r="17" spans="1:3" ht="22" customHeight="1" x14ac:dyDescent="0.2">
      <c r="A17" s="42" t="s">
        <v>1599</v>
      </c>
      <c r="B17" s="42">
        <f>'Audit Coverage'!F9</f>
        <v>23</v>
      </c>
      <c r="C17" s="43"/>
    </row>
    <row r="18" spans="1:3" ht="22" customHeight="1" x14ac:dyDescent="0.2">
      <c r="A18" s="42" t="s">
        <v>1600</v>
      </c>
      <c r="B18" s="42">
        <f>'Audit Coverage'!H14</f>
        <v>0.9642857142857143</v>
      </c>
      <c r="C18" s="43"/>
    </row>
    <row r="19" spans="1:3" ht="22" customHeight="1" x14ac:dyDescent="0.2">
      <c r="A19" s="42" t="s">
        <v>1601</v>
      </c>
      <c r="B19" s="47" t="s">
        <v>710</v>
      </c>
      <c r="C19" s="42" t="s">
        <v>1602</v>
      </c>
    </row>
  </sheetData>
  <mergeCells count="1">
    <mergeCell ref="A1:C1"/>
  </mergeCells>
  <pageMargins left="0.75" right="0.75" top="1" bottom="1" header="0.5" footer="0.5"/>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D12"/>
  <sheetViews>
    <sheetView showGridLines="0" rightToLeft="1" workbookViewId="0">
      <pane ySplit="3" topLeftCell="A4" activePane="bottomLeft" state="frozen"/>
      <selection pane="bottomLeft"/>
    </sheetView>
  </sheetViews>
  <sheetFormatPr baseColWidth="10" defaultColWidth="8.83203125" defaultRowHeight="15" x14ac:dyDescent="0.2"/>
  <cols>
    <col min="1" max="2" width="42" customWidth="1"/>
    <col min="3" max="3" width="41" customWidth="1"/>
    <col min="4" max="4" width="10" customWidth="1"/>
  </cols>
  <sheetData>
    <row r="1" spans="1:4" ht="34" customHeight="1" x14ac:dyDescent="0.2">
      <c r="A1" s="79" t="s">
        <v>1603</v>
      </c>
      <c r="B1" s="76"/>
      <c r="C1" s="76"/>
      <c r="D1" s="76"/>
    </row>
    <row r="2" spans="1:4" ht="28" customHeight="1" x14ac:dyDescent="0.2">
      <c r="A2" s="86" t="s">
        <v>1604</v>
      </c>
      <c r="B2" s="76"/>
      <c r="C2" s="76"/>
      <c r="D2" s="76"/>
    </row>
    <row r="3" spans="1:4" ht="30" customHeight="1" x14ac:dyDescent="0.2">
      <c r="A3" s="48" t="s">
        <v>1605</v>
      </c>
      <c r="B3" s="48" t="s">
        <v>3</v>
      </c>
      <c r="C3" s="48" t="s">
        <v>620</v>
      </c>
      <c r="D3" s="48" t="s">
        <v>376</v>
      </c>
    </row>
    <row r="4" spans="1:4" ht="20" customHeight="1" x14ac:dyDescent="0.2">
      <c r="A4" s="42" t="s">
        <v>1606</v>
      </c>
      <c r="B4" s="42">
        <v>15</v>
      </c>
      <c r="C4" s="42" t="s">
        <v>119</v>
      </c>
      <c r="D4" s="49" t="s">
        <v>1607</v>
      </c>
    </row>
    <row r="5" spans="1:4" ht="20" customHeight="1" x14ac:dyDescent="0.2">
      <c r="A5" s="50" t="s">
        <v>1608</v>
      </c>
      <c r="B5" s="50">
        <v>30</v>
      </c>
      <c r="C5" s="50" t="s">
        <v>1609</v>
      </c>
      <c r="D5" s="49" t="s">
        <v>1607</v>
      </c>
    </row>
    <row r="6" spans="1:4" ht="20" customHeight="1" x14ac:dyDescent="0.2">
      <c r="A6" s="42" t="s">
        <v>1610</v>
      </c>
      <c r="B6" s="42">
        <v>0</v>
      </c>
      <c r="C6" s="42" t="s">
        <v>1611</v>
      </c>
      <c r="D6" s="49" t="s">
        <v>1607</v>
      </c>
    </row>
    <row r="7" spans="1:4" ht="29" customHeight="1" x14ac:dyDescent="0.2">
      <c r="A7" s="50" t="s">
        <v>1612</v>
      </c>
      <c r="B7" s="50">
        <v>9</v>
      </c>
      <c r="C7" s="50" t="s">
        <v>1613</v>
      </c>
      <c r="D7" s="47" t="s">
        <v>1614</v>
      </c>
    </row>
    <row r="8" spans="1:4" ht="20" customHeight="1" x14ac:dyDescent="0.2">
      <c r="A8" s="42" t="s">
        <v>1615</v>
      </c>
      <c r="B8" s="42" t="s">
        <v>1616</v>
      </c>
      <c r="C8" s="42" t="s">
        <v>1617</v>
      </c>
      <c r="D8" s="47" t="s">
        <v>1614</v>
      </c>
    </row>
    <row r="9" spans="1:4" ht="20" customHeight="1" x14ac:dyDescent="0.2">
      <c r="A9" s="50" t="s">
        <v>1618</v>
      </c>
      <c r="B9" s="50" t="s">
        <v>1619</v>
      </c>
      <c r="C9" s="50" t="s">
        <v>1620</v>
      </c>
      <c r="D9" s="47" t="s">
        <v>1614</v>
      </c>
    </row>
    <row r="10" spans="1:4" ht="20" customHeight="1" x14ac:dyDescent="0.2">
      <c r="A10" s="42" t="s">
        <v>1621</v>
      </c>
      <c r="B10" s="42" t="s">
        <v>1622</v>
      </c>
      <c r="C10" s="42" t="s">
        <v>1623</v>
      </c>
      <c r="D10" s="47" t="s">
        <v>1614</v>
      </c>
    </row>
    <row r="11" spans="1:4" ht="29" customHeight="1" x14ac:dyDescent="0.2">
      <c r="A11" s="50" t="s">
        <v>1624</v>
      </c>
      <c r="B11" s="50" t="s">
        <v>1625</v>
      </c>
      <c r="C11" s="50" t="s">
        <v>1626</v>
      </c>
      <c r="D11" s="47" t="s">
        <v>1614</v>
      </c>
    </row>
    <row r="12" spans="1:4" ht="20" customHeight="1" x14ac:dyDescent="0.2">
      <c r="A12" s="42" t="s">
        <v>1627</v>
      </c>
      <c r="B12" s="42">
        <v>0</v>
      </c>
      <c r="C12" s="42" t="s">
        <v>1628</v>
      </c>
      <c r="D12" s="49" t="s">
        <v>1607</v>
      </c>
    </row>
  </sheetData>
  <mergeCells count="2">
    <mergeCell ref="A1:D1"/>
    <mergeCell ref="A2:D2"/>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33"/>
  <sheetViews>
    <sheetView showGridLines="0" rightToLeft="1" workbookViewId="0">
      <pane ySplit="3" topLeftCell="A4" activePane="bottomLeft" state="frozen"/>
      <selection pane="bottomLeft"/>
    </sheetView>
  </sheetViews>
  <sheetFormatPr baseColWidth="10" defaultColWidth="8.83203125" defaultRowHeight="15" x14ac:dyDescent="0.2"/>
  <cols>
    <col min="1" max="1" width="42" customWidth="1"/>
    <col min="2" max="2" width="10" customWidth="1"/>
    <col min="3" max="3" width="15.33203125" customWidth="1"/>
    <col min="4" max="4" width="18.1640625" customWidth="1"/>
    <col min="5" max="5" width="42" customWidth="1"/>
    <col min="6" max="6" width="16.33203125" customWidth="1"/>
    <col min="7" max="7" width="18.1640625" customWidth="1"/>
    <col min="8" max="8" width="42" customWidth="1"/>
    <col min="9" max="9" width="25.83203125" customWidth="1"/>
    <col min="10" max="10" width="42" customWidth="1"/>
  </cols>
  <sheetData>
    <row r="1" spans="1:10" ht="34" customHeight="1" x14ac:dyDescent="0.2">
      <c r="A1" s="79" t="s">
        <v>1629</v>
      </c>
      <c r="B1" s="76"/>
      <c r="C1" s="76"/>
      <c r="D1" s="76"/>
      <c r="E1" s="76"/>
      <c r="F1" s="76"/>
      <c r="G1" s="76"/>
      <c r="H1" s="76"/>
      <c r="I1" s="76"/>
      <c r="J1" s="76"/>
    </row>
    <row r="2" spans="1:10" ht="28" customHeight="1" x14ac:dyDescent="0.2">
      <c r="A2" s="86" t="s">
        <v>1630</v>
      </c>
      <c r="B2" s="76"/>
      <c r="C2" s="76"/>
      <c r="D2" s="76"/>
      <c r="E2" s="76"/>
      <c r="F2" s="76"/>
      <c r="G2" s="76"/>
      <c r="H2" s="76"/>
      <c r="I2" s="76"/>
      <c r="J2" s="76"/>
    </row>
    <row r="3" spans="1:10" ht="30" customHeight="1" x14ac:dyDescent="0.2">
      <c r="A3" s="48" t="s">
        <v>1631</v>
      </c>
      <c r="B3" s="48" t="s">
        <v>94</v>
      </c>
      <c r="C3" s="48" t="s">
        <v>1632</v>
      </c>
      <c r="D3" s="48" t="s">
        <v>1633</v>
      </c>
      <c r="E3" s="48" t="s">
        <v>1083</v>
      </c>
      <c r="F3" s="48" t="s">
        <v>1634</v>
      </c>
      <c r="G3" s="48" t="s">
        <v>1635</v>
      </c>
      <c r="H3" s="48" t="s">
        <v>1281</v>
      </c>
      <c r="I3" s="48" t="s">
        <v>706</v>
      </c>
      <c r="J3" s="48" t="s">
        <v>107</v>
      </c>
    </row>
    <row r="4" spans="1:10" ht="43.5" customHeight="1" x14ac:dyDescent="0.2">
      <c r="A4" s="42">
        <v>1</v>
      </c>
      <c r="B4" s="42" t="s">
        <v>109</v>
      </c>
      <c r="C4" s="42" t="s">
        <v>1011</v>
      </c>
      <c r="D4" s="42" t="s">
        <v>1010</v>
      </c>
      <c r="E4" s="42" t="s">
        <v>1012</v>
      </c>
      <c r="F4" s="42" t="s">
        <v>1636</v>
      </c>
      <c r="G4" s="42" t="s">
        <v>111</v>
      </c>
      <c r="H4" s="42" t="s">
        <v>1637</v>
      </c>
      <c r="I4" s="44" t="s">
        <v>824</v>
      </c>
      <c r="J4" s="43"/>
    </row>
    <row r="5" spans="1:10" ht="43.5" customHeight="1" x14ac:dyDescent="0.2">
      <c r="A5" s="50">
        <v>2</v>
      </c>
      <c r="B5" s="50" t="s">
        <v>117</v>
      </c>
      <c r="C5" s="50" t="s">
        <v>1011</v>
      </c>
      <c r="D5" s="50" t="s">
        <v>1021</v>
      </c>
      <c r="E5" s="50" t="s">
        <v>1012</v>
      </c>
      <c r="F5" s="50" t="s">
        <v>1638</v>
      </c>
      <c r="G5" s="50" t="s">
        <v>111</v>
      </c>
      <c r="H5" s="50" t="s">
        <v>1637</v>
      </c>
      <c r="I5" s="46" t="s">
        <v>752</v>
      </c>
      <c r="J5" s="50" t="s">
        <v>1639</v>
      </c>
    </row>
    <row r="6" spans="1:10" ht="43.5" customHeight="1" x14ac:dyDescent="0.2">
      <c r="A6" s="42">
        <v>3</v>
      </c>
      <c r="B6" s="42" t="s">
        <v>126</v>
      </c>
      <c r="C6" s="42" t="s">
        <v>1011</v>
      </c>
      <c r="D6" s="42" t="s">
        <v>1010</v>
      </c>
      <c r="E6" s="42" t="s">
        <v>1012</v>
      </c>
      <c r="F6" s="42" t="s">
        <v>1640</v>
      </c>
      <c r="G6" s="42" t="s">
        <v>111</v>
      </c>
      <c r="H6" s="42" t="s">
        <v>1637</v>
      </c>
      <c r="I6" s="45" t="s">
        <v>836</v>
      </c>
      <c r="J6" s="42" t="s">
        <v>1641</v>
      </c>
    </row>
    <row r="7" spans="1:10" ht="43.5" customHeight="1" x14ac:dyDescent="0.2">
      <c r="A7" s="50">
        <v>4</v>
      </c>
      <c r="B7" s="50" t="s">
        <v>131</v>
      </c>
      <c r="C7" s="50" t="s">
        <v>1011</v>
      </c>
      <c r="D7" s="50" t="s">
        <v>1021</v>
      </c>
      <c r="E7" s="50" t="s">
        <v>1642</v>
      </c>
      <c r="F7" s="50" t="s">
        <v>1636</v>
      </c>
      <c r="G7" s="50" t="s">
        <v>111</v>
      </c>
      <c r="H7" s="50" t="s">
        <v>1643</v>
      </c>
      <c r="I7" s="45" t="s">
        <v>836</v>
      </c>
      <c r="J7" s="50" t="s">
        <v>1641</v>
      </c>
    </row>
    <row r="8" spans="1:10" ht="43.5" customHeight="1" x14ac:dyDescent="0.2">
      <c r="A8" s="42">
        <v>5</v>
      </c>
      <c r="B8" s="42" t="s">
        <v>135</v>
      </c>
      <c r="C8" s="42" t="s">
        <v>1011</v>
      </c>
      <c r="D8" s="42" t="s">
        <v>1010</v>
      </c>
      <c r="E8" s="42" t="s">
        <v>1012</v>
      </c>
      <c r="F8" s="42" t="s">
        <v>1636</v>
      </c>
      <c r="G8" s="42" t="s">
        <v>111</v>
      </c>
      <c r="H8" s="42" t="s">
        <v>1644</v>
      </c>
      <c r="I8" s="46" t="s">
        <v>752</v>
      </c>
      <c r="J8" s="42" t="s">
        <v>1645</v>
      </c>
    </row>
    <row r="9" spans="1:10" ht="43.5" customHeight="1" x14ac:dyDescent="0.2">
      <c r="A9" s="50">
        <v>6</v>
      </c>
      <c r="B9" s="50" t="s">
        <v>137</v>
      </c>
      <c r="C9" s="50" t="s">
        <v>1022</v>
      </c>
      <c r="D9" s="50" t="s">
        <v>1021</v>
      </c>
      <c r="E9" s="50" t="s">
        <v>1023</v>
      </c>
      <c r="F9" s="50" t="s">
        <v>1636</v>
      </c>
      <c r="G9" s="50" t="s">
        <v>119</v>
      </c>
      <c r="H9" s="50" t="s">
        <v>1646</v>
      </c>
      <c r="I9" s="44" t="s">
        <v>824</v>
      </c>
      <c r="J9" s="51"/>
    </row>
    <row r="10" spans="1:10" ht="43.5" customHeight="1" x14ac:dyDescent="0.2">
      <c r="A10" s="42">
        <v>7</v>
      </c>
      <c r="B10" s="42" t="s">
        <v>140</v>
      </c>
      <c r="C10" s="42" t="s">
        <v>1022</v>
      </c>
      <c r="D10" s="42" t="s">
        <v>1021</v>
      </c>
      <c r="E10" s="42" t="s">
        <v>1026</v>
      </c>
      <c r="F10" s="42" t="s">
        <v>1636</v>
      </c>
      <c r="G10" s="42" t="s">
        <v>119</v>
      </c>
      <c r="H10" s="42" t="s">
        <v>1647</v>
      </c>
      <c r="I10" s="44" t="s">
        <v>824</v>
      </c>
      <c r="J10" s="43"/>
    </row>
    <row r="11" spans="1:10" ht="43.5" customHeight="1" x14ac:dyDescent="0.2">
      <c r="A11" s="50">
        <v>8</v>
      </c>
      <c r="B11" s="50" t="s">
        <v>143</v>
      </c>
      <c r="C11" s="50" t="s">
        <v>1022</v>
      </c>
      <c r="D11" s="50" t="s">
        <v>1010</v>
      </c>
      <c r="E11" s="50" t="s">
        <v>1012</v>
      </c>
      <c r="F11" s="50" t="s">
        <v>1636</v>
      </c>
      <c r="G11" s="50" t="s">
        <v>119</v>
      </c>
      <c r="H11" s="50" t="s">
        <v>1648</v>
      </c>
      <c r="I11" s="44" t="s">
        <v>824</v>
      </c>
      <c r="J11" s="51"/>
    </row>
    <row r="12" spans="1:10" ht="43.5" customHeight="1" x14ac:dyDescent="0.2">
      <c r="A12" s="42">
        <v>9</v>
      </c>
      <c r="B12" s="42" t="s">
        <v>20</v>
      </c>
      <c r="C12" s="42" t="s">
        <v>1031</v>
      </c>
      <c r="D12" s="42" t="s">
        <v>1010</v>
      </c>
      <c r="E12" s="42" t="s">
        <v>1032</v>
      </c>
      <c r="F12" s="42" t="s">
        <v>1636</v>
      </c>
      <c r="G12" s="42" t="s">
        <v>111</v>
      </c>
      <c r="H12" s="42" t="s">
        <v>1649</v>
      </c>
      <c r="I12" s="46" t="s">
        <v>752</v>
      </c>
      <c r="J12" s="42" t="s">
        <v>1650</v>
      </c>
    </row>
    <row r="13" spans="1:10" ht="43.5" customHeight="1" x14ac:dyDescent="0.2">
      <c r="A13" s="50">
        <v>10</v>
      </c>
      <c r="B13" s="50" t="s">
        <v>151</v>
      </c>
      <c r="C13" s="50" t="s">
        <v>1031</v>
      </c>
      <c r="D13" s="50" t="s">
        <v>1021</v>
      </c>
      <c r="E13" s="50" t="s">
        <v>1026</v>
      </c>
      <c r="F13" s="50" t="s">
        <v>1636</v>
      </c>
      <c r="G13" s="50" t="s">
        <v>119</v>
      </c>
      <c r="H13" s="50" t="s">
        <v>1651</v>
      </c>
      <c r="I13" s="44" t="s">
        <v>824</v>
      </c>
      <c r="J13" s="51"/>
    </row>
    <row r="14" spans="1:10" ht="43.5" customHeight="1" x14ac:dyDescent="0.2">
      <c r="A14" s="42">
        <v>11</v>
      </c>
      <c r="B14" s="42" t="s">
        <v>157</v>
      </c>
      <c r="C14" s="42" t="s">
        <v>1031</v>
      </c>
      <c r="D14" s="42" t="s">
        <v>1010</v>
      </c>
      <c r="E14" s="42" t="s">
        <v>1036</v>
      </c>
      <c r="F14" s="42" t="s">
        <v>1636</v>
      </c>
      <c r="G14" s="42" t="s">
        <v>111</v>
      </c>
      <c r="H14" s="42" t="s">
        <v>1652</v>
      </c>
      <c r="I14" s="44" t="s">
        <v>824</v>
      </c>
      <c r="J14" s="43"/>
    </row>
    <row r="15" spans="1:10" ht="43.5" customHeight="1" x14ac:dyDescent="0.2">
      <c r="A15" s="50">
        <v>12</v>
      </c>
      <c r="B15" s="50" t="s">
        <v>159</v>
      </c>
      <c r="C15" s="50" t="s">
        <v>1038</v>
      </c>
      <c r="D15" s="50" t="s">
        <v>1010</v>
      </c>
      <c r="E15" s="50" t="s">
        <v>1039</v>
      </c>
      <c r="F15" s="50" t="s">
        <v>1640</v>
      </c>
      <c r="G15" s="50" t="s">
        <v>119</v>
      </c>
      <c r="H15" s="50" t="s">
        <v>1653</v>
      </c>
      <c r="I15" s="44" t="s">
        <v>824</v>
      </c>
      <c r="J15" s="51"/>
    </row>
    <row r="16" spans="1:10" ht="43.5" customHeight="1" x14ac:dyDescent="0.2">
      <c r="A16" s="42">
        <v>13</v>
      </c>
      <c r="B16" s="42" t="s">
        <v>162</v>
      </c>
      <c r="C16" s="42" t="s">
        <v>1038</v>
      </c>
      <c r="D16" s="42" t="s">
        <v>1010</v>
      </c>
      <c r="E16" s="42" t="s">
        <v>1039</v>
      </c>
      <c r="F16" s="42" t="s">
        <v>1636</v>
      </c>
      <c r="G16" s="42" t="s">
        <v>119</v>
      </c>
      <c r="H16" s="42" t="s">
        <v>1654</v>
      </c>
      <c r="I16" s="44" t="s">
        <v>824</v>
      </c>
      <c r="J16" s="43"/>
    </row>
    <row r="17" spans="1:10" ht="43.5" customHeight="1" x14ac:dyDescent="0.2">
      <c r="A17" s="50">
        <v>14</v>
      </c>
      <c r="B17" s="50" t="s">
        <v>165</v>
      </c>
      <c r="C17" s="50" t="s">
        <v>1038</v>
      </c>
      <c r="D17" s="50" t="s">
        <v>1010</v>
      </c>
      <c r="E17" s="50" t="s">
        <v>1039</v>
      </c>
      <c r="F17" s="50" t="s">
        <v>1655</v>
      </c>
      <c r="G17" s="50" t="s">
        <v>119</v>
      </c>
      <c r="H17" s="50" t="s">
        <v>1656</v>
      </c>
      <c r="I17" s="44" t="s">
        <v>824</v>
      </c>
      <c r="J17" s="51"/>
    </row>
    <row r="18" spans="1:10" ht="43.5" customHeight="1" x14ac:dyDescent="0.2">
      <c r="A18" s="42">
        <v>15</v>
      </c>
      <c r="B18" s="42" t="s">
        <v>168</v>
      </c>
      <c r="C18" s="42" t="s">
        <v>1038</v>
      </c>
      <c r="D18" s="42" t="s">
        <v>1042</v>
      </c>
      <c r="E18" s="42" t="s">
        <v>1043</v>
      </c>
      <c r="F18" s="42" t="s">
        <v>1636</v>
      </c>
      <c r="G18" s="42" t="s">
        <v>119</v>
      </c>
      <c r="H18" s="42" t="s">
        <v>1657</v>
      </c>
      <c r="I18" s="44" t="s">
        <v>824</v>
      </c>
      <c r="J18" s="43"/>
    </row>
    <row r="19" spans="1:10" ht="43.5" customHeight="1" x14ac:dyDescent="0.2">
      <c r="A19" s="50">
        <v>16</v>
      </c>
      <c r="B19" s="50" t="s">
        <v>171</v>
      </c>
      <c r="C19" s="50" t="s">
        <v>1045</v>
      </c>
      <c r="D19" s="50" t="s">
        <v>1010</v>
      </c>
      <c r="E19" s="50" t="s">
        <v>1046</v>
      </c>
      <c r="F19" s="50" t="s">
        <v>1636</v>
      </c>
      <c r="G19" s="50" t="s">
        <v>119</v>
      </c>
      <c r="H19" s="50" t="s">
        <v>1658</v>
      </c>
      <c r="I19" s="44" t="s">
        <v>824</v>
      </c>
      <c r="J19" s="51"/>
    </row>
    <row r="20" spans="1:10" ht="43.5" customHeight="1" x14ac:dyDescent="0.2">
      <c r="A20" s="42">
        <v>17</v>
      </c>
      <c r="B20" s="42" t="s">
        <v>174</v>
      </c>
      <c r="C20" s="42" t="s">
        <v>1045</v>
      </c>
      <c r="D20" s="42" t="s">
        <v>1010</v>
      </c>
      <c r="E20" s="42" t="s">
        <v>1043</v>
      </c>
      <c r="F20" s="42" t="s">
        <v>1636</v>
      </c>
      <c r="G20" s="42" t="s">
        <v>119</v>
      </c>
      <c r="H20" s="42" t="s">
        <v>1659</v>
      </c>
      <c r="I20" s="46" t="s">
        <v>752</v>
      </c>
      <c r="J20" s="42" t="s">
        <v>1660</v>
      </c>
    </row>
    <row r="21" spans="1:10" ht="43.5" customHeight="1" x14ac:dyDescent="0.2">
      <c r="A21" s="50">
        <v>18</v>
      </c>
      <c r="B21" s="50" t="s">
        <v>179</v>
      </c>
      <c r="C21" s="50" t="s">
        <v>1045</v>
      </c>
      <c r="D21" s="50" t="s">
        <v>1010</v>
      </c>
      <c r="E21" s="50" t="s">
        <v>1039</v>
      </c>
      <c r="F21" s="50" t="s">
        <v>1636</v>
      </c>
      <c r="G21" s="50" t="s">
        <v>119</v>
      </c>
      <c r="H21" s="50" t="s">
        <v>1661</v>
      </c>
      <c r="I21" s="44" t="s">
        <v>824</v>
      </c>
      <c r="J21" s="51"/>
    </row>
    <row r="22" spans="1:10" ht="43.5" customHeight="1" x14ac:dyDescent="0.2">
      <c r="A22" s="42">
        <v>19</v>
      </c>
      <c r="B22" s="42" t="s">
        <v>182</v>
      </c>
      <c r="C22" s="42" t="s">
        <v>1045</v>
      </c>
      <c r="D22" s="42" t="s">
        <v>1010</v>
      </c>
      <c r="E22" s="42" t="s">
        <v>1046</v>
      </c>
      <c r="F22" s="42" t="s">
        <v>1662</v>
      </c>
      <c r="G22" s="42" t="s">
        <v>119</v>
      </c>
      <c r="H22" s="42" t="s">
        <v>1663</v>
      </c>
      <c r="I22" s="46" t="s">
        <v>752</v>
      </c>
      <c r="J22" s="42" t="s">
        <v>1664</v>
      </c>
    </row>
    <row r="23" spans="1:10" ht="43.5" customHeight="1" x14ac:dyDescent="0.2">
      <c r="A23" s="50">
        <v>20</v>
      </c>
      <c r="B23" s="50" t="s">
        <v>187</v>
      </c>
      <c r="C23" s="50" t="s">
        <v>1053</v>
      </c>
      <c r="D23" s="50" t="s">
        <v>1010</v>
      </c>
      <c r="E23" s="50" t="s">
        <v>1054</v>
      </c>
      <c r="F23" s="50" t="s">
        <v>1636</v>
      </c>
      <c r="G23" s="50" t="s">
        <v>119</v>
      </c>
      <c r="H23" s="50" t="s">
        <v>1665</v>
      </c>
      <c r="I23" s="44" t="s">
        <v>824</v>
      </c>
      <c r="J23" s="51"/>
    </row>
    <row r="24" spans="1:10" ht="43.5" customHeight="1" x14ac:dyDescent="0.2">
      <c r="A24" s="42">
        <v>21</v>
      </c>
      <c r="B24" s="42" t="s">
        <v>190</v>
      </c>
      <c r="C24" s="42" t="s">
        <v>1053</v>
      </c>
      <c r="D24" s="42" t="s">
        <v>1010</v>
      </c>
      <c r="E24" s="42" t="s">
        <v>1043</v>
      </c>
      <c r="F24" s="42" t="s">
        <v>1636</v>
      </c>
      <c r="G24" s="42" t="s">
        <v>119</v>
      </c>
      <c r="H24" s="42" t="s">
        <v>1666</v>
      </c>
      <c r="I24" s="46" t="s">
        <v>752</v>
      </c>
      <c r="J24" s="42" t="s">
        <v>1667</v>
      </c>
    </row>
    <row r="25" spans="1:10" ht="43.5" customHeight="1" x14ac:dyDescent="0.2">
      <c r="A25" s="50">
        <v>22</v>
      </c>
      <c r="B25" s="50" t="s">
        <v>196</v>
      </c>
      <c r="C25" s="50" t="s">
        <v>1053</v>
      </c>
      <c r="D25" s="50" t="s">
        <v>1010</v>
      </c>
      <c r="E25" s="50" t="s">
        <v>1058</v>
      </c>
      <c r="F25" s="50" t="s">
        <v>1636</v>
      </c>
      <c r="G25" s="50" t="s">
        <v>119</v>
      </c>
      <c r="H25" s="50" t="s">
        <v>1668</v>
      </c>
      <c r="I25" s="44" t="s">
        <v>824</v>
      </c>
      <c r="J25" s="51"/>
    </row>
    <row r="26" spans="1:10" ht="43.5" customHeight="1" x14ac:dyDescent="0.2">
      <c r="A26" s="42">
        <v>23</v>
      </c>
      <c r="B26" s="42" t="s">
        <v>199</v>
      </c>
      <c r="C26" s="42" t="s">
        <v>1053</v>
      </c>
      <c r="D26" s="42" t="s">
        <v>1010</v>
      </c>
      <c r="E26" s="42" t="s">
        <v>1060</v>
      </c>
      <c r="F26" s="42" t="s">
        <v>1669</v>
      </c>
      <c r="G26" s="42" t="s">
        <v>119</v>
      </c>
      <c r="H26" s="42" t="s">
        <v>1670</v>
      </c>
      <c r="I26" s="44" t="s">
        <v>824</v>
      </c>
      <c r="J26" s="43"/>
    </row>
    <row r="27" spans="1:10" ht="43.5" customHeight="1" x14ac:dyDescent="0.2">
      <c r="A27" s="50">
        <v>24</v>
      </c>
      <c r="B27" s="50" t="s">
        <v>202</v>
      </c>
      <c r="C27" s="50" t="s">
        <v>1062</v>
      </c>
      <c r="D27" s="50" t="s">
        <v>1010</v>
      </c>
      <c r="E27" s="50" t="s">
        <v>1039</v>
      </c>
      <c r="F27" s="50" t="s">
        <v>1636</v>
      </c>
      <c r="G27" s="50" t="s">
        <v>119</v>
      </c>
      <c r="H27" s="50" t="s">
        <v>1671</v>
      </c>
      <c r="I27" s="46" t="s">
        <v>752</v>
      </c>
      <c r="J27" s="50" t="s">
        <v>1667</v>
      </c>
    </row>
    <row r="28" spans="1:10" ht="43.5" customHeight="1" x14ac:dyDescent="0.2">
      <c r="A28" s="42">
        <v>25</v>
      </c>
      <c r="B28" s="42" t="s">
        <v>206</v>
      </c>
      <c r="C28" s="42" t="s">
        <v>1062</v>
      </c>
      <c r="D28" s="42" t="s">
        <v>1010</v>
      </c>
      <c r="E28" s="42" t="s">
        <v>1065</v>
      </c>
      <c r="F28" s="42" t="s">
        <v>1636</v>
      </c>
      <c r="G28" s="42" t="s">
        <v>119</v>
      </c>
      <c r="H28" s="42" t="s">
        <v>1672</v>
      </c>
      <c r="I28" s="44" t="s">
        <v>824</v>
      </c>
      <c r="J28" s="43"/>
    </row>
    <row r="29" spans="1:10" ht="43.5" customHeight="1" x14ac:dyDescent="0.2">
      <c r="A29" s="50">
        <v>26</v>
      </c>
      <c r="B29" s="50" t="s">
        <v>209</v>
      </c>
      <c r="C29" s="50" t="s">
        <v>1062</v>
      </c>
      <c r="D29" s="50" t="s">
        <v>1010</v>
      </c>
      <c r="E29" s="50" t="s">
        <v>1039</v>
      </c>
      <c r="F29" s="50" t="s">
        <v>1636</v>
      </c>
      <c r="G29" s="50" t="s">
        <v>119</v>
      </c>
      <c r="H29" s="50" t="s">
        <v>1673</v>
      </c>
      <c r="I29" s="44" t="s">
        <v>824</v>
      </c>
      <c r="J29" s="51"/>
    </row>
    <row r="30" spans="1:10" ht="43.5" customHeight="1" x14ac:dyDescent="0.2">
      <c r="A30" s="42">
        <v>27</v>
      </c>
      <c r="B30" s="42" t="s">
        <v>212</v>
      </c>
      <c r="C30" s="42" t="s">
        <v>1062</v>
      </c>
      <c r="D30" s="42" t="s">
        <v>1010</v>
      </c>
      <c r="E30" s="42" t="s">
        <v>1046</v>
      </c>
      <c r="F30" s="42" t="s">
        <v>1636</v>
      </c>
      <c r="G30" s="42" t="s">
        <v>119</v>
      </c>
      <c r="H30" s="42" t="s">
        <v>1674</v>
      </c>
      <c r="I30" s="44" t="s">
        <v>824</v>
      </c>
      <c r="J30" s="43"/>
    </row>
    <row r="31" spans="1:10" ht="43.5" customHeight="1" x14ac:dyDescent="0.2">
      <c r="A31" s="50">
        <v>28</v>
      </c>
      <c r="B31" s="50" t="s">
        <v>24</v>
      </c>
      <c r="C31" s="50" t="s">
        <v>1062</v>
      </c>
      <c r="D31" s="50" t="s">
        <v>1070</v>
      </c>
      <c r="E31" s="50" t="s">
        <v>1071</v>
      </c>
      <c r="F31" s="50" t="s">
        <v>1636</v>
      </c>
      <c r="G31" s="50" t="s">
        <v>119</v>
      </c>
      <c r="H31" s="50" t="s">
        <v>1675</v>
      </c>
      <c r="I31" s="46" t="s">
        <v>752</v>
      </c>
      <c r="J31" s="50" t="s">
        <v>1676</v>
      </c>
    </row>
    <row r="32" spans="1:10" ht="43.5" customHeight="1" x14ac:dyDescent="0.2">
      <c r="A32" s="42">
        <v>29</v>
      </c>
      <c r="B32" s="42" t="s">
        <v>28</v>
      </c>
      <c r="C32" s="42" t="s">
        <v>1074</v>
      </c>
      <c r="D32" s="42" t="s">
        <v>1073</v>
      </c>
      <c r="E32" s="42" t="s">
        <v>1075</v>
      </c>
      <c r="F32" s="42" t="s">
        <v>1636</v>
      </c>
      <c r="G32" s="42" t="s">
        <v>111</v>
      </c>
      <c r="H32" s="42" t="s">
        <v>1677</v>
      </c>
      <c r="I32" s="44" t="s">
        <v>824</v>
      </c>
      <c r="J32" s="42" t="s">
        <v>1678</v>
      </c>
    </row>
    <row r="33" spans="1:10" ht="43.5" customHeight="1" x14ac:dyDescent="0.2">
      <c r="A33" s="50">
        <v>30</v>
      </c>
      <c r="B33" s="50" t="s">
        <v>222</v>
      </c>
      <c r="C33" s="50" t="s">
        <v>1074</v>
      </c>
      <c r="D33" s="50" t="s">
        <v>1679</v>
      </c>
      <c r="E33" s="50" t="s">
        <v>1680</v>
      </c>
      <c r="F33" s="50" t="s">
        <v>1636</v>
      </c>
      <c r="G33" s="50" t="s">
        <v>111</v>
      </c>
      <c r="H33" s="50" t="s">
        <v>1681</v>
      </c>
      <c r="I33" s="44" t="s">
        <v>824</v>
      </c>
      <c r="J33" s="50" t="s">
        <v>1678</v>
      </c>
    </row>
  </sheetData>
  <mergeCells count="2">
    <mergeCell ref="A1:J1"/>
    <mergeCell ref="A2:J2"/>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18"/>
  <sheetViews>
    <sheetView showGridLines="0" rightToLeft="1" workbookViewId="0">
      <pane xSplit="1" ySplit="3" topLeftCell="B4" activePane="bottomRight" state="frozen"/>
      <selection pane="topRight"/>
      <selection pane="bottomLeft"/>
      <selection pane="bottomRight"/>
    </sheetView>
  </sheetViews>
  <sheetFormatPr baseColWidth="10" defaultColWidth="8.83203125" defaultRowHeight="15" x14ac:dyDescent="0.2"/>
  <cols>
    <col min="1" max="1" width="42" customWidth="1"/>
    <col min="2" max="2" width="32.5" customWidth="1"/>
    <col min="3" max="3" width="17.1640625" customWidth="1"/>
    <col min="4" max="4" width="25.83203125" customWidth="1"/>
    <col min="5" max="5" width="30.5" customWidth="1"/>
    <col min="6" max="6" width="20.1640625" customWidth="1"/>
    <col min="7" max="9" width="42" customWidth="1"/>
  </cols>
  <sheetData>
    <row r="1" spans="1:9" ht="34" customHeight="1" x14ac:dyDescent="0.2">
      <c r="A1" s="79" t="s">
        <v>1682</v>
      </c>
      <c r="B1" s="76"/>
      <c r="C1" s="76"/>
      <c r="D1" s="76"/>
      <c r="E1" s="76"/>
      <c r="F1" s="76"/>
      <c r="G1" s="76"/>
      <c r="H1" s="76"/>
      <c r="I1" s="76"/>
    </row>
    <row r="2" spans="1:9" ht="28" customHeight="1" x14ac:dyDescent="0.2">
      <c r="A2" s="86" t="s">
        <v>1683</v>
      </c>
      <c r="B2" s="76"/>
      <c r="C2" s="76"/>
      <c r="D2" s="76"/>
      <c r="E2" s="76"/>
      <c r="F2" s="76"/>
      <c r="G2" s="76"/>
      <c r="H2" s="76"/>
      <c r="I2" s="76"/>
    </row>
    <row r="3" spans="1:9" ht="30" customHeight="1" x14ac:dyDescent="0.2">
      <c r="A3" s="48" t="s">
        <v>1684</v>
      </c>
      <c r="B3" s="48" t="s">
        <v>1685</v>
      </c>
      <c r="C3" s="48" t="s">
        <v>804</v>
      </c>
      <c r="D3" s="48" t="s">
        <v>706</v>
      </c>
      <c r="E3" s="48" t="s">
        <v>935</v>
      </c>
      <c r="F3" s="48" t="s">
        <v>811</v>
      </c>
      <c r="G3" s="48" t="s">
        <v>813</v>
      </c>
      <c r="H3" s="48" t="s">
        <v>1686</v>
      </c>
      <c r="I3" s="48" t="s">
        <v>1687</v>
      </c>
    </row>
    <row r="4" spans="1:9" ht="29" customHeight="1" x14ac:dyDescent="0.2">
      <c r="A4" s="42" t="s">
        <v>449</v>
      </c>
      <c r="B4" s="42" t="s">
        <v>937</v>
      </c>
      <c r="C4" s="42" t="s">
        <v>816</v>
      </c>
      <c r="D4" s="44" t="s">
        <v>824</v>
      </c>
      <c r="E4" s="44" t="s">
        <v>820</v>
      </c>
      <c r="F4" s="42" t="s">
        <v>818</v>
      </c>
      <c r="G4" s="42" t="s">
        <v>1688</v>
      </c>
      <c r="H4" s="42" t="s">
        <v>1689</v>
      </c>
      <c r="I4" s="42" t="s">
        <v>1690</v>
      </c>
    </row>
    <row r="5" spans="1:9" ht="29" customHeight="1" x14ac:dyDescent="0.2">
      <c r="A5" s="50" t="s">
        <v>457</v>
      </c>
      <c r="B5" s="50" t="s">
        <v>458</v>
      </c>
      <c r="C5" s="50" t="s">
        <v>826</v>
      </c>
      <c r="D5" s="44" t="s">
        <v>824</v>
      </c>
      <c r="E5" s="44" t="s">
        <v>820</v>
      </c>
      <c r="F5" s="50" t="s">
        <v>827</v>
      </c>
      <c r="G5" s="50" t="s">
        <v>1691</v>
      </c>
      <c r="H5" s="50" t="s">
        <v>830</v>
      </c>
      <c r="I5" s="50" t="s">
        <v>1690</v>
      </c>
    </row>
    <row r="6" spans="1:9" ht="29" customHeight="1" x14ac:dyDescent="0.2">
      <c r="A6" s="42" t="s">
        <v>462</v>
      </c>
      <c r="B6" s="42" t="s">
        <v>1692</v>
      </c>
      <c r="C6" s="42" t="s">
        <v>1693</v>
      </c>
      <c r="D6" s="45" t="s">
        <v>836</v>
      </c>
      <c r="E6" s="52" t="s">
        <v>765</v>
      </c>
      <c r="F6" s="42" t="s">
        <v>827</v>
      </c>
      <c r="G6" s="42" t="s">
        <v>1694</v>
      </c>
      <c r="H6" s="42" t="s">
        <v>835</v>
      </c>
      <c r="I6" s="42" t="s">
        <v>1690</v>
      </c>
    </row>
    <row r="7" spans="1:9" ht="29" customHeight="1" x14ac:dyDescent="0.2">
      <c r="A7" s="50" t="s">
        <v>467</v>
      </c>
      <c r="B7" s="50" t="s">
        <v>943</v>
      </c>
      <c r="C7" s="50" t="s">
        <v>1695</v>
      </c>
      <c r="D7" s="44" t="s">
        <v>824</v>
      </c>
      <c r="E7" s="52" t="s">
        <v>765</v>
      </c>
      <c r="F7" s="50" t="s">
        <v>827</v>
      </c>
      <c r="G7" s="50" t="s">
        <v>1696</v>
      </c>
      <c r="H7" s="50" t="s">
        <v>841</v>
      </c>
      <c r="I7" s="50" t="s">
        <v>1690</v>
      </c>
    </row>
    <row r="8" spans="1:9" ht="29" customHeight="1" x14ac:dyDescent="0.2">
      <c r="A8" s="42" t="s">
        <v>67</v>
      </c>
      <c r="B8" s="42" t="s">
        <v>1697</v>
      </c>
      <c r="C8" s="42" t="s">
        <v>842</v>
      </c>
      <c r="D8" s="45" t="s">
        <v>752</v>
      </c>
      <c r="E8" s="53" t="s">
        <v>846</v>
      </c>
      <c r="F8" s="42" t="s">
        <v>844</v>
      </c>
      <c r="G8" s="42" t="s">
        <v>1698</v>
      </c>
      <c r="H8" s="42" t="s">
        <v>1699</v>
      </c>
      <c r="I8" s="42" t="s">
        <v>1700</v>
      </c>
    </row>
    <row r="9" spans="1:9" ht="29" customHeight="1" x14ac:dyDescent="0.2">
      <c r="A9" s="50" t="s">
        <v>478</v>
      </c>
      <c r="B9" s="50" t="s">
        <v>479</v>
      </c>
      <c r="C9" s="50" t="s">
        <v>851</v>
      </c>
      <c r="D9" s="45" t="s">
        <v>836</v>
      </c>
      <c r="E9" s="52" t="s">
        <v>765</v>
      </c>
      <c r="F9" s="50" t="s">
        <v>827</v>
      </c>
      <c r="G9" s="50" t="s">
        <v>1701</v>
      </c>
      <c r="H9" s="50" t="s">
        <v>1702</v>
      </c>
      <c r="I9" s="50" t="s">
        <v>1690</v>
      </c>
    </row>
    <row r="10" spans="1:9" ht="29" customHeight="1" x14ac:dyDescent="0.2">
      <c r="A10" s="42" t="s">
        <v>483</v>
      </c>
      <c r="B10" s="42" t="s">
        <v>484</v>
      </c>
      <c r="C10" s="42" t="s">
        <v>851</v>
      </c>
      <c r="D10" s="45" t="s">
        <v>836</v>
      </c>
      <c r="E10" s="53" t="s">
        <v>858</v>
      </c>
      <c r="F10" s="42" t="s">
        <v>856</v>
      </c>
      <c r="G10" s="42" t="s">
        <v>1703</v>
      </c>
      <c r="H10" s="42" t="s">
        <v>1704</v>
      </c>
      <c r="I10" s="42" t="s">
        <v>1690</v>
      </c>
    </row>
    <row r="11" spans="1:9" ht="29" customHeight="1" x14ac:dyDescent="0.2">
      <c r="A11" s="50" t="s">
        <v>488</v>
      </c>
      <c r="B11" s="50" t="s">
        <v>950</v>
      </c>
      <c r="C11" s="50" t="s">
        <v>863</v>
      </c>
      <c r="D11" s="44" t="s">
        <v>824</v>
      </c>
      <c r="E11" s="54" t="s">
        <v>866</v>
      </c>
      <c r="F11" s="50" t="s">
        <v>844</v>
      </c>
      <c r="G11" s="50" t="s">
        <v>1705</v>
      </c>
      <c r="H11" s="50" t="s">
        <v>869</v>
      </c>
      <c r="I11" s="50" t="s">
        <v>1690</v>
      </c>
    </row>
    <row r="12" spans="1:9" ht="29" customHeight="1" x14ac:dyDescent="0.2">
      <c r="A12" s="42" t="s">
        <v>493</v>
      </c>
      <c r="B12" s="42" t="s">
        <v>958</v>
      </c>
      <c r="C12" s="42" t="s">
        <v>863</v>
      </c>
      <c r="D12" s="44" t="s">
        <v>824</v>
      </c>
      <c r="E12" s="53" t="s">
        <v>858</v>
      </c>
      <c r="F12" s="42" t="s">
        <v>844</v>
      </c>
      <c r="G12" s="42" t="s">
        <v>1706</v>
      </c>
      <c r="H12" s="42" t="s">
        <v>873</v>
      </c>
      <c r="I12" s="42" t="s">
        <v>1690</v>
      </c>
    </row>
    <row r="13" spans="1:9" ht="29" customHeight="1" x14ac:dyDescent="0.2">
      <c r="A13" s="50" t="s">
        <v>496</v>
      </c>
      <c r="B13" s="50" t="s">
        <v>1707</v>
      </c>
      <c r="C13" s="50" t="s">
        <v>875</v>
      </c>
      <c r="D13" s="45" t="s">
        <v>836</v>
      </c>
      <c r="E13" s="53" t="s">
        <v>846</v>
      </c>
      <c r="F13" s="50" t="s">
        <v>827</v>
      </c>
      <c r="G13" s="50" t="s">
        <v>1708</v>
      </c>
      <c r="H13" s="50" t="s">
        <v>1709</v>
      </c>
      <c r="I13" s="50" t="s">
        <v>1690</v>
      </c>
    </row>
    <row r="14" spans="1:9" ht="29" customHeight="1" x14ac:dyDescent="0.2">
      <c r="A14" s="42" t="s">
        <v>501</v>
      </c>
      <c r="B14" s="42" t="s">
        <v>1710</v>
      </c>
      <c r="C14" s="42" t="s">
        <v>881</v>
      </c>
      <c r="D14" s="45" t="s">
        <v>836</v>
      </c>
      <c r="E14" s="52" t="s">
        <v>765</v>
      </c>
      <c r="F14" s="42" t="s">
        <v>818</v>
      </c>
      <c r="G14" s="42" t="s">
        <v>1711</v>
      </c>
      <c r="H14" s="42" t="s">
        <v>1712</v>
      </c>
      <c r="I14" s="42" t="s">
        <v>1690</v>
      </c>
    </row>
    <row r="15" spans="1:9" ht="29" customHeight="1" x14ac:dyDescent="0.2">
      <c r="A15" s="50" t="s">
        <v>506</v>
      </c>
      <c r="B15" s="50" t="s">
        <v>960</v>
      </c>
      <c r="C15" s="50" t="s">
        <v>887</v>
      </c>
      <c r="D15" s="46" t="s">
        <v>752</v>
      </c>
      <c r="E15" s="45" t="s">
        <v>889</v>
      </c>
      <c r="F15" s="50" t="s">
        <v>844</v>
      </c>
      <c r="G15" s="50" t="s">
        <v>1713</v>
      </c>
      <c r="H15" s="50" t="s">
        <v>1714</v>
      </c>
      <c r="I15" s="50" t="s">
        <v>1690</v>
      </c>
    </row>
    <row r="16" spans="1:9" ht="29" customHeight="1" x14ac:dyDescent="0.2">
      <c r="A16" s="42" t="s">
        <v>510</v>
      </c>
      <c r="B16" s="42" t="s">
        <v>1715</v>
      </c>
      <c r="C16" s="42" t="s">
        <v>1716</v>
      </c>
      <c r="D16" s="44" t="s">
        <v>824</v>
      </c>
      <c r="E16" s="53" t="s">
        <v>858</v>
      </c>
      <c r="F16" s="42" t="s">
        <v>844</v>
      </c>
      <c r="G16" s="42" t="s">
        <v>1717</v>
      </c>
      <c r="H16" s="42" t="s">
        <v>1718</v>
      </c>
      <c r="I16" s="42" t="s">
        <v>1690</v>
      </c>
    </row>
    <row r="17" spans="1:9" ht="29" customHeight="1" x14ac:dyDescent="0.2">
      <c r="A17" s="50" t="s">
        <v>515</v>
      </c>
      <c r="B17" s="50" t="s">
        <v>1719</v>
      </c>
      <c r="C17" s="50" t="s">
        <v>1716</v>
      </c>
      <c r="D17" s="44" t="s">
        <v>824</v>
      </c>
      <c r="E17" s="53" t="s">
        <v>858</v>
      </c>
      <c r="F17" s="50" t="s">
        <v>818</v>
      </c>
      <c r="G17" s="50" t="s">
        <v>1720</v>
      </c>
      <c r="H17" s="50" t="s">
        <v>1721</v>
      </c>
      <c r="I17" s="50" t="s">
        <v>1690</v>
      </c>
    </row>
    <row r="18" spans="1:9" ht="29" customHeight="1" x14ac:dyDescent="0.2">
      <c r="A18" s="42" t="s">
        <v>520</v>
      </c>
      <c r="B18" s="42" t="s">
        <v>1722</v>
      </c>
      <c r="C18" s="42" t="s">
        <v>1716</v>
      </c>
      <c r="D18" s="44" t="s">
        <v>824</v>
      </c>
      <c r="E18" s="42" t="s">
        <v>1723</v>
      </c>
      <c r="F18" s="42" t="s">
        <v>818</v>
      </c>
      <c r="G18" s="42" t="s">
        <v>1724</v>
      </c>
      <c r="H18" s="42" t="s">
        <v>1725</v>
      </c>
      <c r="I18" s="42" t="s">
        <v>1690</v>
      </c>
    </row>
  </sheetData>
  <mergeCells count="2">
    <mergeCell ref="A1:I1"/>
    <mergeCell ref="A2:I2"/>
  </mergeCells>
  <pageMargins left="0.75" right="0.75" top="1" bottom="1" header="0.5" footer="0.5"/>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J18"/>
  <sheetViews>
    <sheetView showGridLines="0" rightToLeft="1" workbookViewId="0">
      <pane xSplit="1" ySplit="3" topLeftCell="B4" activePane="bottomRight" state="frozen"/>
      <selection pane="topRight"/>
      <selection pane="bottomLeft"/>
      <selection pane="bottomRight"/>
    </sheetView>
  </sheetViews>
  <sheetFormatPr baseColWidth="10" defaultColWidth="8.83203125" defaultRowHeight="15" x14ac:dyDescent="0.2"/>
  <cols>
    <col min="1" max="4" width="42" customWidth="1"/>
    <col min="5" max="6" width="32.5" customWidth="1"/>
    <col min="7" max="7" width="20.1640625" customWidth="1"/>
    <col min="8" max="8" width="42" customWidth="1"/>
    <col min="9" max="9" width="25.83203125" customWidth="1"/>
    <col min="10" max="10" width="39.1640625" customWidth="1"/>
  </cols>
  <sheetData>
    <row r="1" spans="1:10" ht="34" customHeight="1" x14ac:dyDescent="0.2">
      <c r="A1" s="79" t="s">
        <v>1726</v>
      </c>
      <c r="B1" s="76"/>
      <c r="C1" s="76"/>
      <c r="D1" s="76"/>
      <c r="E1" s="76"/>
      <c r="F1" s="76"/>
      <c r="G1" s="76"/>
      <c r="H1" s="76"/>
      <c r="I1" s="76"/>
      <c r="J1" s="76"/>
    </row>
    <row r="2" spans="1:10" ht="28" customHeight="1" x14ac:dyDescent="0.2">
      <c r="A2" s="86" t="s">
        <v>1727</v>
      </c>
      <c r="B2" s="76"/>
      <c r="C2" s="76"/>
      <c r="D2" s="76"/>
      <c r="E2" s="76"/>
      <c r="F2" s="76"/>
      <c r="G2" s="76"/>
      <c r="H2" s="76"/>
      <c r="I2" s="76"/>
      <c r="J2" s="76"/>
    </row>
    <row r="3" spans="1:10" ht="30" customHeight="1" x14ac:dyDescent="0.2">
      <c r="A3" s="48" t="s">
        <v>1684</v>
      </c>
      <c r="B3" s="48" t="s">
        <v>1728</v>
      </c>
      <c r="C3" s="48" t="s">
        <v>1729</v>
      </c>
      <c r="D3" s="48" t="s">
        <v>1730</v>
      </c>
      <c r="E3" s="48" t="s">
        <v>1731</v>
      </c>
      <c r="F3" s="48" t="s">
        <v>1732</v>
      </c>
      <c r="G3" s="48" t="s">
        <v>811</v>
      </c>
      <c r="H3" s="48" t="s">
        <v>1733</v>
      </c>
      <c r="I3" s="48" t="s">
        <v>706</v>
      </c>
      <c r="J3" s="48" t="s">
        <v>1734</v>
      </c>
    </row>
    <row r="4" spans="1:10" ht="29" customHeight="1" x14ac:dyDescent="0.2">
      <c r="A4" s="42" t="s">
        <v>1735</v>
      </c>
      <c r="B4" s="42" t="s">
        <v>1736</v>
      </c>
      <c r="C4" s="42" t="s">
        <v>1737</v>
      </c>
      <c r="D4" s="42" t="s">
        <v>1738</v>
      </c>
      <c r="E4" s="42" t="s">
        <v>1739</v>
      </c>
      <c r="F4" s="42" t="s">
        <v>1740</v>
      </c>
      <c r="G4" s="42" t="s">
        <v>818</v>
      </c>
      <c r="H4" s="42" t="s">
        <v>1741</v>
      </c>
      <c r="I4" s="44" t="s">
        <v>824</v>
      </c>
      <c r="J4" s="42" t="s">
        <v>1742</v>
      </c>
    </row>
    <row r="5" spans="1:10" ht="29" customHeight="1" x14ac:dyDescent="0.2">
      <c r="A5" s="50" t="s">
        <v>1743</v>
      </c>
      <c r="B5" s="50" t="s">
        <v>1744</v>
      </c>
      <c r="C5" s="50" t="s">
        <v>1745</v>
      </c>
      <c r="D5" s="50" t="s">
        <v>1746</v>
      </c>
      <c r="E5" s="50" t="s">
        <v>1747</v>
      </c>
      <c r="F5" s="50" t="s">
        <v>1748</v>
      </c>
      <c r="G5" s="50" t="s">
        <v>844</v>
      </c>
      <c r="H5" s="50" t="s">
        <v>1749</v>
      </c>
      <c r="I5" s="46" t="s">
        <v>752</v>
      </c>
      <c r="J5" s="50" t="s">
        <v>1742</v>
      </c>
    </row>
    <row r="6" spans="1:10" ht="29" customHeight="1" x14ac:dyDescent="0.2">
      <c r="A6" s="42" t="s">
        <v>1750</v>
      </c>
      <c r="B6" s="42" t="s">
        <v>1744</v>
      </c>
      <c r="C6" s="42" t="s">
        <v>1751</v>
      </c>
      <c r="D6" s="42" t="s">
        <v>1752</v>
      </c>
      <c r="E6" s="42" t="s">
        <v>1752</v>
      </c>
      <c r="F6" s="42" t="s">
        <v>1752</v>
      </c>
      <c r="G6" s="42" t="s">
        <v>844</v>
      </c>
      <c r="H6" s="42" t="s">
        <v>1753</v>
      </c>
      <c r="I6" s="44" t="s">
        <v>824</v>
      </c>
      <c r="J6" s="42" t="s">
        <v>1742</v>
      </c>
    </row>
    <row r="7" spans="1:10" ht="29" customHeight="1" x14ac:dyDescent="0.2">
      <c r="A7" s="50" t="s">
        <v>1715</v>
      </c>
      <c r="B7" s="50" t="s">
        <v>1754</v>
      </c>
      <c r="C7" s="50" t="s">
        <v>1755</v>
      </c>
      <c r="D7" s="50" t="s">
        <v>1756</v>
      </c>
      <c r="E7" s="50" t="s">
        <v>1757</v>
      </c>
      <c r="F7" s="50" t="s">
        <v>1758</v>
      </c>
      <c r="G7" s="50" t="s">
        <v>844</v>
      </c>
      <c r="H7" s="50" t="s">
        <v>1759</v>
      </c>
      <c r="I7" s="44" t="s">
        <v>824</v>
      </c>
      <c r="J7" s="50" t="s">
        <v>1742</v>
      </c>
    </row>
    <row r="8" spans="1:10" ht="29" customHeight="1" x14ac:dyDescent="0.2">
      <c r="A8" s="42" t="s">
        <v>1719</v>
      </c>
      <c r="B8" s="42" t="s">
        <v>1760</v>
      </c>
      <c r="C8" s="42" t="s">
        <v>1761</v>
      </c>
      <c r="D8" s="42" t="s">
        <v>1762</v>
      </c>
      <c r="E8" s="42" t="s">
        <v>1763</v>
      </c>
      <c r="F8" s="42" t="s">
        <v>1764</v>
      </c>
      <c r="G8" s="42" t="s">
        <v>818</v>
      </c>
      <c r="H8" s="42" t="s">
        <v>1765</v>
      </c>
      <c r="I8" s="44" t="s">
        <v>824</v>
      </c>
      <c r="J8" s="42" t="s">
        <v>1742</v>
      </c>
    </row>
    <row r="9" spans="1:10" ht="29" customHeight="1" x14ac:dyDescent="0.2">
      <c r="A9" s="50" t="s">
        <v>1722</v>
      </c>
      <c r="B9" s="50" t="s">
        <v>1766</v>
      </c>
      <c r="C9" s="50" t="s">
        <v>1767</v>
      </c>
      <c r="D9" s="50" t="s">
        <v>1768</v>
      </c>
      <c r="E9" s="50" t="s">
        <v>1769</v>
      </c>
      <c r="F9" s="50" t="s">
        <v>1769</v>
      </c>
      <c r="G9" s="50" t="s">
        <v>818</v>
      </c>
      <c r="H9" s="50" t="s">
        <v>1770</v>
      </c>
      <c r="I9" s="44" t="s">
        <v>824</v>
      </c>
      <c r="J9" s="50" t="s">
        <v>1742</v>
      </c>
    </row>
    <row r="10" spans="1:10" ht="43.5" customHeight="1" x14ac:dyDescent="0.2">
      <c r="A10" s="42" t="s">
        <v>1771</v>
      </c>
      <c r="B10" s="42" t="s">
        <v>1772</v>
      </c>
      <c r="C10" s="42" t="s">
        <v>1773</v>
      </c>
      <c r="D10" s="42" t="s">
        <v>1774</v>
      </c>
      <c r="E10" s="42" t="s">
        <v>1775</v>
      </c>
      <c r="F10" s="42" t="s">
        <v>1776</v>
      </c>
      <c r="G10" s="42" t="s">
        <v>844</v>
      </c>
      <c r="H10" s="42" t="s">
        <v>1777</v>
      </c>
      <c r="I10" s="45" t="s">
        <v>1778</v>
      </c>
      <c r="J10" s="42" t="s">
        <v>1779</v>
      </c>
    </row>
    <row r="11" spans="1:10" ht="29" customHeight="1" x14ac:dyDescent="0.2">
      <c r="A11" s="50" t="s">
        <v>1780</v>
      </c>
      <c r="B11" s="50" t="s">
        <v>1781</v>
      </c>
      <c r="C11" s="50" t="s">
        <v>1782</v>
      </c>
      <c r="D11" s="50" t="s">
        <v>1783</v>
      </c>
      <c r="E11" s="50" t="s">
        <v>1784</v>
      </c>
      <c r="F11" s="50" t="s">
        <v>1785</v>
      </c>
      <c r="G11" s="50" t="s">
        <v>827</v>
      </c>
      <c r="H11" s="50" t="s">
        <v>1786</v>
      </c>
      <c r="I11" s="44" t="s">
        <v>824</v>
      </c>
      <c r="J11" s="50" t="s">
        <v>1742</v>
      </c>
    </row>
    <row r="12" spans="1:10" ht="29" customHeight="1" x14ac:dyDescent="0.2">
      <c r="A12" s="42" t="s">
        <v>1787</v>
      </c>
      <c r="B12" s="42" t="s">
        <v>1788</v>
      </c>
      <c r="C12" s="42" t="s">
        <v>1789</v>
      </c>
      <c r="D12" s="42" t="s">
        <v>1790</v>
      </c>
      <c r="E12" s="42" t="s">
        <v>1791</v>
      </c>
      <c r="F12" s="42" t="s">
        <v>1792</v>
      </c>
      <c r="G12" s="42" t="s">
        <v>827</v>
      </c>
      <c r="H12" s="42" t="s">
        <v>1793</v>
      </c>
      <c r="I12" s="45" t="s">
        <v>836</v>
      </c>
      <c r="J12" s="42" t="s">
        <v>1742</v>
      </c>
    </row>
    <row r="13" spans="1:10" ht="29" customHeight="1" x14ac:dyDescent="0.2">
      <c r="A13" s="50" t="s">
        <v>1794</v>
      </c>
      <c r="B13" s="50" t="s">
        <v>1795</v>
      </c>
      <c r="C13" s="50" t="s">
        <v>1796</v>
      </c>
      <c r="D13" s="50" t="s">
        <v>1797</v>
      </c>
      <c r="E13" s="50" t="s">
        <v>1798</v>
      </c>
      <c r="F13" s="50" t="s">
        <v>1799</v>
      </c>
      <c r="G13" s="50" t="s">
        <v>827</v>
      </c>
      <c r="H13" s="50" t="s">
        <v>1800</v>
      </c>
      <c r="I13" s="44" t="s">
        <v>824</v>
      </c>
      <c r="J13" s="50" t="s">
        <v>1742</v>
      </c>
    </row>
    <row r="14" spans="1:10" ht="29" customHeight="1" x14ac:dyDescent="0.2">
      <c r="A14" s="42" t="s">
        <v>1801</v>
      </c>
      <c r="B14" s="42" t="s">
        <v>1802</v>
      </c>
      <c r="C14" s="42" t="s">
        <v>1803</v>
      </c>
      <c r="D14" s="42" t="s">
        <v>1804</v>
      </c>
      <c r="E14" s="42" t="s">
        <v>1805</v>
      </c>
      <c r="F14" s="42" t="s">
        <v>1806</v>
      </c>
      <c r="G14" s="42" t="s">
        <v>818</v>
      </c>
      <c r="H14" s="42" t="s">
        <v>1807</v>
      </c>
      <c r="I14" s="44" t="s">
        <v>824</v>
      </c>
      <c r="J14" s="42" t="s">
        <v>1742</v>
      </c>
    </row>
    <row r="15" spans="1:10" ht="29" customHeight="1" x14ac:dyDescent="0.2">
      <c r="A15" s="50" t="s">
        <v>1808</v>
      </c>
      <c r="B15" s="50" t="s">
        <v>1809</v>
      </c>
      <c r="C15" s="50" t="s">
        <v>1810</v>
      </c>
      <c r="D15" s="50" t="s">
        <v>1811</v>
      </c>
      <c r="E15" s="50" t="s">
        <v>1812</v>
      </c>
      <c r="F15" s="50" t="s">
        <v>1813</v>
      </c>
      <c r="G15" s="50" t="s">
        <v>827</v>
      </c>
      <c r="H15" s="50" t="s">
        <v>1814</v>
      </c>
      <c r="I15" s="45" t="s">
        <v>836</v>
      </c>
      <c r="J15" s="50" t="s">
        <v>1742</v>
      </c>
    </row>
    <row r="16" spans="1:10" ht="29" customHeight="1" x14ac:dyDescent="0.2">
      <c r="A16" s="42" t="s">
        <v>1815</v>
      </c>
      <c r="B16" s="42" t="s">
        <v>1816</v>
      </c>
      <c r="C16" s="42" t="s">
        <v>1817</v>
      </c>
      <c r="D16" s="42" t="s">
        <v>1236</v>
      </c>
      <c r="E16" s="42" t="s">
        <v>1818</v>
      </c>
      <c r="F16" s="42" t="s">
        <v>1819</v>
      </c>
      <c r="G16" s="42" t="s">
        <v>856</v>
      </c>
      <c r="H16" s="42" t="s">
        <v>1820</v>
      </c>
      <c r="I16" s="45" t="s">
        <v>836</v>
      </c>
      <c r="J16" s="42" t="s">
        <v>1742</v>
      </c>
    </row>
    <row r="17" spans="1:10" ht="29" customHeight="1" x14ac:dyDescent="0.2">
      <c r="A17" s="50" t="s">
        <v>1821</v>
      </c>
      <c r="B17" s="50" t="s">
        <v>1822</v>
      </c>
      <c r="C17" s="50" t="s">
        <v>1823</v>
      </c>
      <c r="D17" s="50" t="s">
        <v>1824</v>
      </c>
      <c r="E17" s="50" t="s">
        <v>1825</v>
      </c>
      <c r="F17" s="50" t="s">
        <v>1758</v>
      </c>
      <c r="G17" s="50" t="s">
        <v>844</v>
      </c>
      <c r="H17" s="50" t="s">
        <v>1826</v>
      </c>
      <c r="I17" s="44" t="s">
        <v>824</v>
      </c>
      <c r="J17" s="50" t="s">
        <v>1742</v>
      </c>
    </row>
    <row r="18" spans="1:10" ht="29" customHeight="1" x14ac:dyDescent="0.2">
      <c r="A18" s="42" t="s">
        <v>1827</v>
      </c>
      <c r="B18" s="42" t="s">
        <v>1828</v>
      </c>
      <c r="C18" s="42" t="s">
        <v>1829</v>
      </c>
      <c r="D18" s="42" t="s">
        <v>1830</v>
      </c>
      <c r="E18" s="42" t="s">
        <v>1831</v>
      </c>
      <c r="F18" s="42" t="s">
        <v>1832</v>
      </c>
      <c r="G18" s="42" t="s">
        <v>827</v>
      </c>
      <c r="H18" s="42" t="s">
        <v>1623</v>
      </c>
      <c r="I18" s="45" t="s">
        <v>836</v>
      </c>
      <c r="J18" s="42" t="s">
        <v>1742</v>
      </c>
    </row>
  </sheetData>
  <mergeCells count="2">
    <mergeCell ref="A1:J1"/>
    <mergeCell ref="A2:J2"/>
  </mergeCells>
  <pageMargins left="0.75" right="0.75" top="1" bottom="1" header="0.5" footer="0.5"/>
  <legacy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J33"/>
  <sheetViews>
    <sheetView showGridLines="0" rightToLeft="1" workbookViewId="0">
      <pane xSplit="1" ySplit="3" topLeftCell="B4" activePane="bottomRight" state="frozen"/>
      <selection pane="topRight"/>
      <selection pane="bottomLeft"/>
      <selection pane="bottomRight"/>
    </sheetView>
  </sheetViews>
  <sheetFormatPr baseColWidth="10" defaultColWidth="8.83203125" defaultRowHeight="15" x14ac:dyDescent="0.2"/>
  <cols>
    <col min="1" max="2" width="42" customWidth="1"/>
    <col min="3" max="3" width="35.33203125" customWidth="1"/>
    <col min="4" max="4" width="15.33203125" customWidth="1"/>
    <col min="5" max="5" width="33.33203125" customWidth="1"/>
    <col min="6" max="7" width="42" customWidth="1"/>
    <col min="8" max="8" width="22" customWidth="1"/>
    <col min="9" max="9" width="12.5" customWidth="1"/>
    <col min="10" max="10" width="21" customWidth="1"/>
  </cols>
  <sheetData>
    <row r="1" spans="1:10" ht="34" customHeight="1" x14ac:dyDescent="0.2">
      <c r="A1" s="79" t="s">
        <v>1833</v>
      </c>
      <c r="B1" s="76"/>
      <c r="C1" s="76"/>
      <c r="D1" s="76"/>
      <c r="E1" s="76"/>
      <c r="F1" s="76"/>
      <c r="G1" s="76"/>
      <c r="H1" s="76"/>
      <c r="I1" s="76"/>
      <c r="J1" s="76"/>
    </row>
    <row r="2" spans="1:10" ht="28" customHeight="1" x14ac:dyDescent="0.2">
      <c r="A2" s="86" t="s">
        <v>1834</v>
      </c>
      <c r="B2" s="76"/>
      <c r="C2" s="76"/>
      <c r="D2" s="76"/>
      <c r="E2" s="76"/>
      <c r="F2" s="76"/>
      <c r="G2" s="76"/>
      <c r="H2" s="76"/>
      <c r="I2" s="76"/>
      <c r="J2" s="76"/>
    </row>
    <row r="3" spans="1:10" ht="30" customHeight="1" x14ac:dyDescent="0.2">
      <c r="A3" s="48" t="s">
        <v>94</v>
      </c>
      <c r="B3" s="48" t="s">
        <v>1281</v>
      </c>
      <c r="C3" s="48" t="s">
        <v>1835</v>
      </c>
      <c r="D3" s="48" t="s">
        <v>1836</v>
      </c>
      <c r="E3" s="48" t="s">
        <v>1837</v>
      </c>
      <c r="F3" s="48" t="s">
        <v>1838</v>
      </c>
      <c r="G3" s="48" t="s">
        <v>1839</v>
      </c>
      <c r="H3" s="48" t="s">
        <v>1840</v>
      </c>
      <c r="I3" s="48" t="s">
        <v>1841</v>
      </c>
      <c r="J3" s="48" t="s">
        <v>376</v>
      </c>
    </row>
    <row r="4" spans="1:10" ht="72.5" customHeight="1" x14ac:dyDescent="0.2">
      <c r="A4" s="42" t="s">
        <v>109</v>
      </c>
      <c r="B4" s="42" t="s">
        <v>113</v>
      </c>
      <c r="C4" s="42" t="s">
        <v>1842</v>
      </c>
      <c r="D4" s="42" t="s">
        <v>1843</v>
      </c>
      <c r="E4" s="42" t="s">
        <v>1844</v>
      </c>
      <c r="F4" s="42" t="s">
        <v>1236</v>
      </c>
      <c r="G4" s="42" t="s">
        <v>1012</v>
      </c>
      <c r="H4" s="42" t="s">
        <v>1010</v>
      </c>
      <c r="I4" s="42" t="s">
        <v>1845</v>
      </c>
      <c r="J4" s="46" t="s">
        <v>752</v>
      </c>
    </row>
    <row r="5" spans="1:10" ht="72.5" customHeight="1" x14ac:dyDescent="0.2">
      <c r="A5" s="50" t="s">
        <v>117</v>
      </c>
      <c r="B5" s="50" t="s">
        <v>113</v>
      </c>
      <c r="C5" s="50" t="s">
        <v>1842</v>
      </c>
      <c r="D5" s="50" t="s">
        <v>1843</v>
      </c>
      <c r="E5" s="50" t="s">
        <v>1844</v>
      </c>
      <c r="F5" s="50" t="s">
        <v>1236</v>
      </c>
      <c r="G5" s="50" t="s">
        <v>1012</v>
      </c>
      <c r="H5" s="50" t="s">
        <v>1021</v>
      </c>
      <c r="I5" s="50" t="s">
        <v>1845</v>
      </c>
      <c r="J5" s="46" t="s">
        <v>752</v>
      </c>
    </row>
    <row r="6" spans="1:10" ht="101.5" customHeight="1" x14ac:dyDescent="0.2">
      <c r="A6" s="42" t="s">
        <v>126</v>
      </c>
      <c r="B6" s="42" t="s">
        <v>129</v>
      </c>
      <c r="C6" s="42" t="s">
        <v>1842</v>
      </c>
      <c r="D6" s="42" t="s">
        <v>1843</v>
      </c>
      <c r="E6" s="42" t="s">
        <v>1844</v>
      </c>
      <c r="F6" s="42" t="s">
        <v>1236</v>
      </c>
      <c r="G6" s="42" t="s">
        <v>1012</v>
      </c>
      <c r="H6" s="42" t="s">
        <v>1010</v>
      </c>
      <c r="I6" s="42" t="s">
        <v>1845</v>
      </c>
      <c r="J6" s="46" t="s">
        <v>752</v>
      </c>
    </row>
    <row r="7" spans="1:10" ht="58" customHeight="1" x14ac:dyDescent="0.2">
      <c r="A7" s="50" t="s">
        <v>131</v>
      </c>
      <c r="B7" s="50" t="s">
        <v>1019</v>
      </c>
      <c r="C7" s="50" t="s">
        <v>1842</v>
      </c>
      <c r="D7" s="50" t="s">
        <v>1843</v>
      </c>
      <c r="E7" s="50" t="s">
        <v>1844</v>
      </c>
      <c r="F7" s="50" t="s">
        <v>1236</v>
      </c>
      <c r="G7" s="50" t="s">
        <v>1642</v>
      </c>
      <c r="H7" s="50" t="s">
        <v>1021</v>
      </c>
      <c r="I7" s="50" t="s">
        <v>1845</v>
      </c>
      <c r="J7" s="46" t="s">
        <v>752</v>
      </c>
    </row>
    <row r="8" spans="1:10" ht="116" customHeight="1" x14ac:dyDescent="0.2">
      <c r="A8" s="42" t="s">
        <v>135</v>
      </c>
      <c r="B8" s="42" t="s">
        <v>136</v>
      </c>
      <c r="C8" s="42" t="s">
        <v>1842</v>
      </c>
      <c r="D8" s="42" t="s">
        <v>1843</v>
      </c>
      <c r="E8" s="42" t="s">
        <v>1844</v>
      </c>
      <c r="F8" s="42" t="s">
        <v>1236</v>
      </c>
      <c r="G8" s="42" t="s">
        <v>1012</v>
      </c>
      <c r="H8" s="42" t="s">
        <v>1010</v>
      </c>
      <c r="I8" s="42" t="s">
        <v>1845</v>
      </c>
      <c r="J8" s="46" t="s">
        <v>752</v>
      </c>
    </row>
    <row r="9" spans="1:10" ht="145" customHeight="1" x14ac:dyDescent="0.2">
      <c r="A9" s="50" t="s">
        <v>137</v>
      </c>
      <c r="B9" s="50" t="s">
        <v>1025</v>
      </c>
      <c r="C9" s="50" t="s">
        <v>1842</v>
      </c>
      <c r="D9" s="50" t="s">
        <v>1843</v>
      </c>
      <c r="E9" s="50" t="s">
        <v>1846</v>
      </c>
      <c r="F9" s="50" t="s">
        <v>139</v>
      </c>
      <c r="G9" s="50" t="s">
        <v>1023</v>
      </c>
      <c r="H9" s="50" t="s">
        <v>1021</v>
      </c>
      <c r="I9" s="50" t="s">
        <v>1607</v>
      </c>
      <c r="J9" s="44" t="s">
        <v>1847</v>
      </c>
    </row>
    <row r="10" spans="1:10" ht="116" customHeight="1" x14ac:dyDescent="0.2">
      <c r="A10" s="42" t="s">
        <v>140</v>
      </c>
      <c r="B10" s="42" t="s">
        <v>141</v>
      </c>
      <c r="C10" s="42" t="s">
        <v>1842</v>
      </c>
      <c r="D10" s="42" t="s">
        <v>1843</v>
      </c>
      <c r="E10" s="42" t="s">
        <v>1846</v>
      </c>
      <c r="F10" s="42" t="s">
        <v>142</v>
      </c>
      <c r="G10" s="42" t="s">
        <v>1026</v>
      </c>
      <c r="H10" s="42" t="s">
        <v>1021</v>
      </c>
      <c r="I10" s="42" t="s">
        <v>1607</v>
      </c>
      <c r="J10" s="44" t="s">
        <v>1847</v>
      </c>
    </row>
    <row r="11" spans="1:10" ht="116" customHeight="1" x14ac:dyDescent="0.2">
      <c r="A11" s="50" t="s">
        <v>143</v>
      </c>
      <c r="B11" s="50" t="s">
        <v>144</v>
      </c>
      <c r="C11" s="50" t="s">
        <v>1842</v>
      </c>
      <c r="D11" s="50" t="s">
        <v>1843</v>
      </c>
      <c r="E11" s="50" t="s">
        <v>1846</v>
      </c>
      <c r="F11" s="50" t="s">
        <v>145</v>
      </c>
      <c r="G11" s="50" t="s">
        <v>1012</v>
      </c>
      <c r="H11" s="50" t="s">
        <v>1010</v>
      </c>
      <c r="I11" s="50" t="s">
        <v>1607</v>
      </c>
      <c r="J11" s="44" t="s">
        <v>1847</v>
      </c>
    </row>
    <row r="12" spans="1:10" ht="116" customHeight="1" x14ac:dyDescent="0.2">
      <c r="A12" s="42" t="s">
        <v>20</v>
      </c>
      <c r="B12" s="42" t="s">
        <v>1034</v>
      </c>
      <c r="C12" s="42" t="s">
        <v>1842</v>
      </c>
      <c r="D12" s="42" t="s">
        <v>1843</v>
      </c>
      <c r="E12" s="42" t="s">
        <v>1844</v>
      </c>
      <c r="F12" s="42" t="s">
        <v>1236</v>
      </c>
      <c r="G12" s="42" t="s">
        <v>1032</v>
      </c>
      <c r="H12" s="42" t="s">
        <v>1010</v>
      </c>
      <c r="I12" s="42" t="s">
        <v>1845</v>
      </c>
      <c r="J12" s="46" t="s">
        <v>752</v>
      </c>
    </row>
    <row r="13" spans="1:10" ht="130.5" customHeight="1" x14ac:dyDescent="0.2">
      <c r="A13" s="50" t="s">
        <v>151</v>
      </c>
      <c r="B13" s="50" t="s">
        <v>153</v>
      </c>
      <c r="C13" s="50" t="s">
        <v>1842</v>
      </c>
      <c r="D13" s="50" t="s">
        <v>1843</v>
      </c>
      <c r="E13" s="50" t="s">
        <v>1846</v>
      </c>
      <c r="F13" s="50" t="s">
        <v>154</v>
      </c>
      <c r="G13" s="50" t="s">
        <v>1026</v>
      </c>
      <c r="H13" s="50" t="s">
        <v>1021</v>
      </c>
      <c r="I13" s="50" t="s">
        <v>1607</v>
      </c>
      <c r="J13" s="44" t="s">
        <v>1847</v>
      </c>
    </row>
    <row r="14" spans="1:10" ht="101.5" customHeight="1" x14ac:dyDescent="0.2">
      <c r="A14" s="42" t="s">
        <v>157</v>
      </c>
      <c r="B14" s="42" t="s">
        <v>158</v>
      </c>
      <c r="C14" s="42" t="s">
        <v>1842</v>
      </c>
      <c r="D14" s="42" t="s">
        <v>1843</v>
      </c>
      <c r="E14" s="42" t="s">
        <v>1844</v>
      </c>
      <c r="F14" s="42" t="s">
        <v>1236</v>
      </c>
      <c r="G14" s="42" t="s">
        <v>1036</v>
      </c>
      <c r="H14" s="42" t="s">
        <v>1010</v>
      </c>
      <c r="I14" s="42" t="s">
        <v>1845</v>
      </c>
      <c r="J14" s="46" t="s">
        <v>752</v>
      </c>
    </row>
    <row r="15" spans="1:10" ht="87" customHeight="1" x14ac:dyDescent="0.2">
      <c r="A15" s="50" t="s">
        <v>159</v>
      </c>
      <c r="B15" s="50" t="s">
        <v>160</v>
      </c>
      <c r="C15" s="50" t="s">
        <v>1842</v>
      </c>
      <c r="D15" s="50" t="s">
        <v>1843</v>
      </c>
      <c r="E15" s="50" t="s">
        <v>1846</v>
      </c>
      <c r="F15" s="50" t="s">
        <v>161</v>
      </c>
      <c r="G15" s="50" t="s">
        <v>1039</v>
      </c>
      <c r="H15" s="50" t="s">
        <v>1010</v>
      </c>
      <c r="I15" s="50" t="s">
        <v>1607</v>
      </c>
      <c r="J15" s="44" t="s">
        <v>1847</v>
      </c>
    </row>
    <row r="16" spans="1:10" ht="87" customHeight="1" x14ac:dyDescent="0.2">
      <c r="A16" s="42" t="s">
        <v>162</v>
      </c>
      <c r="B16" s="42" t="s">
        <v>163</v>
      </c>
      <c r="C16" s="42" t="s">
        <v>1842</v>
      </c>
      <c r="D16" s="42" t="s">
        <v>1843</v>
      </c>
      <c r="E16" s="42" t="s">
        <v>1846</v>
      </c>
      <c r="F16" s="42" t="s">
        <v>164</v>
      </c>
      <c r="G16" s="42" t="s">
        <v>1039</v>
      </c>
      <c r="H16" s="42" t="s">
        <v>1010</v>
      </c>
      <c r="I16" s="42" t="s">
        <v>1607</v>
      </c>
      <c r="J16" s="44" t="s">
        <v>1847</v>
      </c>
    </row>
    <row r="17" spans="1:10" ht="87" customHeight="1" x14ac:dyDescent="0.2">
      <c r="A17" s="50" t="s">
        <v>165</v>
      </c>
      <c r="B17" s="50" t="s">
        <v>166</v>
      </c>
      <c r="C17" s="50" t="s">
        <v>1842</v>
      </c>
      <c r="D17" s="50" t="s">
        <v>1843</v>
      </c>
      <c r="E17" s="50" t="s">
        <v>1846</v>
      </c>
      <c r="F17" s="50" t="s">
        <v>167</v>
      </c>
      <c r="G17" s="50" t="s">
        <v>1039</v>
      </c>
      <c r="H17" s="50" t="s">
        <v>1010</v>
      </c>
      <c r="I17" s="50" t="s">
        <v>1607</v>
      </c>
      <c r="J17" s="44" t="s">
        <v>1847</v>
      </c>
    </row>
    <row r="18" spans="1:10" ht="116" customHeight="1" x14ac:dyDescent="0.2">
      <c r="A18" s="42" t="s">
        <v>168</v>
      </c>
      <c r="B18" s="42" t="s">
        <v>169</v>
      </c>
      <c r="C18" s="42" t="s">
        <v>1842</v>
      </c>
      <c r="D18" s="42" t="s">
        <v>1843</v>
      </c>
      <c r="E18" s="42" t="s">
        <v>1846</v>
      </c>
      <c r="F18" s="42" t="s">
        <v>170</v>
      </c>
      <c r="G18" s="42" t="s">
        <v>1043</v>
      </c>
      <c r="H18" s="42" t="s">
        <v>1042</v>
      </c>
      <c r="I18" s="42" t="s">
        <v>1607</v>
      </c>
      <c r="J18" s="44" t="s">
        <v>1847</v>
      </c>
    </row>
    <row r="19" spans="1:10" ht="101.5" customHeight="1" x14ac:dyDescent="0.2">
      <c r="A19" s="50" t="s">
        <v>171</v>
      </c>
      <c r="B19" s="50" t="s">
        <v>172</v>
      </c>
      <c r="C19" s="50" t="s">
        <v>1842</v>
      </c>
      <c r="D19" s="50" t="s">
        <v>1843</v>
      </c>
      <c r="E19" s="50" t="s">
        <v>1846</v>
      </c>
      <c r="F19" s="50" t="s">
        <v>173</v>
      </c>
      <c r="G19" s="50" t="s">
        <v>1046</v>
      </c>
      <c r="H19" s="50" t="s">
        <v>1010</v>
      </c>
      <c r="I19" s="50" t="s">
        <v>1607</v>
      </c>
      <c r="J19" s="44" t="s">
        <v>1847</v>
      </c>
    </row>
    <row r="20" spans="1:10" ht="101.5" customHeight="1" x14ac:dyDescent="0.2">
      <c r="A20" s="42" t="s">
        <v>174</v>
      </c>
      <c r="B20" s="42" t="s">
        <v>1049</v>
      </c>
      <c r="C20" s="42" t="s">
        <v>1842</v>
      </c>
      <c r="D20" s="42" t="s">
        <v>1843</v>
      </c>
      <c r="E20" s="42" t="s">
        <v>1846</v>
      </c>
      <c r="F20" s="42" t="s">
        <v>1848</v>
      </c>
      <c r="G20" s="42" t="s">
        <v>1043</v>
      </c>
      <c r="H20" s="42" t="s">
        <v>1010</v>
      </c>
      <c r="I20" s="42" t="s">
        <v>1607</v>
      </c>
      <c r="J20" s="44" t="s">
        <v>1847</v>
      </c>
    </row>
    <row r="21" spans="1:10" ht="87" customHeight="1" x14ac:dyDescent="0.2">
      <c r="A21" s="50" t="s">
        <v>179</v>
      </c>
      <c r="B21" s="50" t="s">
        <v>180</v>
      </c>
      <c r="C21" s="50" t="s">
        <v>1842</v>
      </c>
      <c r="D21" s="50" t="s">
        <v>1843</v>
      </c>
      <c r="E21" s="50" t="s">
        <v>1846</v>
      </c>
      <c r="F21" s="50" t="s">
        <v>181</v>
      </c>
      <c r="G21" s="50" t="s">
        <v>1039</v>
      </c>
      <c r="H21" s="50" t="s">
        <v>1010</v>
      </c>
      <c r="I21" s="50" t="s">
        <v>1607</v>
      </c>
      <c r="J21" s="44" t="s">
        <v>1847</v>
      </c>
    </row>
    <row r="22" spans="1:10" ht="87" customHeight="1" x14ac:dyDescent="0.2">
      <c r="A22" s="42" t="s">
        <v>182</v>
      </c>
      <c r="B22" s="42" t="s">
        <v>1052</v>
      </c>
      <c r="C22" s="42" t="s">
        <v>1842</v>
      </c>
      <c r="D22" s="42" t="s">
        <v>1843</v>
      </c>
      <c r="E22" s="42" t="s">
        <v>1846</v>
      </c>
      <c r="F22" s="42" t="s">
        <v>1849</v>
      </c>
      <c r="G22" s="42" t="s">
        <v>1046</v>
      </c>
      <c r="H22" s="42" t="s">
        <v>1010</v>
      </c>
      <c r="I22" s="42" t="s">
        <v>1607</v>
      </c>
      <c r="J22" s="44" t="s">
        <v>1847</v>
      </c>
    </row>
    <row r="23" spans="1:10" ht="130.5" customHeight="1" x14ac:dyDescent="0.2">
      <c r="A23" s="50" t="s">
        <v>187</v>
      </c>
      <c r="B23" s="50" t="s">
        <v>188</v>
      </c>
      <c r="C23" s="50" t="s">
        <v>1842</v>
      </c>
      <c r="D23" s="50" t="s">
        <v>1843</v>
      </c>
      <c r="E23" s="50" t="s">
        <v>1846</v>
      </c>
      <c r="F23" s="50" t="s">
        <v>189</v>
      </c>
      <c r="G23" s="50" t="s">
        <v>1054</v>
      </c>
      <c r="H23" s="50" t="s">
        <v>1010</v>
      </c>
      <c r="I23" s="50" t="s">
        <v>1607</v>
      </c>
      <c r="J23" s="44" t="s">
        <v>1847</v>
      </c>
    </row>
    <row r="24" spans="1:10" ht="130.5" customHeight="1" x14ac:dyDescent="0.2">
      <c r="A24" s="42" t="s">
        <v>190</v>
      </c>
      <c r="B24" s="42" t="s">
        <v>1057</v>
      </c>
      <c r="C24" s="42" t="s">
        <v>1842</v>
      </c>
      <c r="D24" s="42" t="s">
        <v>1843</v>
      </c>
      <c r="E24" s="42" t="s">
        <v>1846</v>
      </c>
      <c r="F24" s="42" t="s">
        <v>1850</v>
      </c>
      <c r="G24" s="42" t="s">
        <v>1043</v>
      </c>
      <c r="H24" s="42" t="s">
        <v>1010</v>
      </c>
      <c r="I24" s="42" t="s">
        <v>1607</v>
      </c>
      <c r="J24" s="44" t="s">
        <v>1847</v>
      </c>
    </row>
    <row r="25" spans="1:10" ht="174" customHeight="1" x14ac:dyDescent="0.2">
      <c r="A25" s="50" t="s">
        <v>196</v>
      </c>
      <c r="B25" s="50" t="s">
        <v>197</v>
      </c>
      <c r="C25" s="50" t="s">
        <v>1842</v>
      </c>
      <c r="D25" s="50" t="s">
        <v>1843</v>
      </c>
      <c r="E25" s="50" t="s">
        <v>1846</v>
      </c>
      <c r="F25" s="50" t="s">
        <v>198</v>
      </c>
      <c r="G25" s="50" t="s">
        <v>1058</v>
      </c>
      <c r="H25" s="50" t="s">
        <v>1010</v>
      </c>
      <c r="I25" s="50" t="s">
        <v>1607</v>
      </c>
      <c r="J25" s="44" t="s">
        <v>1847</v>
      </c>
    </row>
    <row r="26" spans="1:10" ht="174" customHeight="1" x14ac:dyDescent="0.2">
      <c r="A26" s="42" t="s">
        <v>199</v>
      </c>
      <c r="B26" s="42" t="s">
        <v>200</v>
      </c>
      <c r="C26" s="42" t="s">
        <v>1842</v>
      </c>
      <c r="D26" s="42" t="s">
        <v>1843</v>
      </c>
      <c r="E26" s="42" t="s">
        <v>1846</v>
      </c>
      <c r="F26" s="42" t="s">
        <v>201</v>
      </c>
      <c r="G26" s="42" t="s">
        <v>1060</v>
      </c>
      <c r="H26" s="42" t="s">
        <v>1010</v>
      </c>
      <c r="I26" s="42" t="s">
        <v>1607</v>
      </c>
      <c r="J26" s="44" t="s">
        <v>1847</v>
      </c>
    </row>
    <row r="27" spans="1:10" ht="87" customHeight="1" x14ac:dyDescent="0.2">
      <c r="A27" s="50" t="s">
        <v>202</v>
      </c>
      <c r="B27" s="50" t="s">
        <v>1064</v>
      </c>
      <c r="C27" s="50" t="s">
        <v>1842</v>
      </c>
      <c r="D27" s="50" t="s">
        <v>1843</v>
      </c>
      <c r="E27" s="50" t="s">
        <v>1846</v>
      </c>
      <c r="F27" s="50" t="s">
        <v>205</v>
      </c>
      <c r="G27" s="50" t="s">
        <v>1039</v>
      </c>
      <c r="H27" s="50" t="s">
        <v>1010</v>
      </c>
      <c r="I27" s="50" t="s">
        <v>1607</v>
      </c>
      <c r="J27" s="44" t="s">
        <v>1847</v>
      </c>
    </row>
    <row r="28" spans="1:10" ht="130.5" customHeight="1" x14ac:dyDescent="0.2">
      <c r="A28" s="42" t="s">
        <v>206</v>
      </c>
      <c r="B28" s="42" t="s">
        <v>207</v>
      </c>
      <c r="C28" s="42" t="s">
        <v>1842</v>
      </c>
      <c r="D28" s="42" t="s">
        <v>1843</v>
      </c>
      <c r="E28" s="42" t="s">
        <v>1846</v>
      </c>
      <c r="F28" s="42" t="s">
        <v>208</v>
      </c>
      <c r="G28" s="42" t="s">
        <v>1065</v>
      </c>
      <c r="H28" s="42" t="s">
        <v>1010</v>
      </c>
      <c r="I28" s="42" t="s">
        <v>1607</v>
      </c>
      <c r="J28" s="44" t="s">
        <v>1847</v>
      </c>
    </row>
    <row r="29" spans="1:10" ht="87" customHeight="1" x14ac:dyDescent="0.2">
      <c r="A29" s="50" t="s">
        <v>209</v>
      </c>
      <c r="B29" s="50" t="s">
        <v>210</v>
      </c>
      <c r="C29" s="50" t="s">
        <v>1842</v>
      </c>
      <c r="D29" s="50" t="s">
        <v>1843</v>
      </c>
      <c r="E29" s="50" t="s">
        <v>1846</v>
      </c>
      <c r="F29" s="50" t="s">
        <v>211</v>
      </c>
      <c r="G29" s="50" t="s">
        <v>1039</v>
      </c>
      <c r="H29" s="50" t="s">
        <v>1010</v>
      </c>
      <c r="I29" s="50" t="s">
        <v>1607</v>
      </c>
      <c r="J29" s="44" t="s">
        <v>1847</v>
      </c>
    </row>
    <row r="30" spans="1:10" ht="87" customHeight="1" x14ac:dyDescent="0.2">
      <c r="A30" s="42" t="s">
        <v>212</v>
      </c>
      <c r="B30" s="42" t="s">
        <v>213</v>
      </c>
      <c r="C30" s="42" t="s">
        <v>1842</v>
      </c>
      <c r="D30" s="42" t="s">
        <v>1843</v>
      </c>
      <c r="E30" s="42" t="s">
        <v>1846</v>
      </c>
      <c r="F30" s="42" t="s">
        <v>214</v>
      </c>
      <c r="G30" s="42" t="s">
        <v>1046</v>
      </c>
      <c r="H30" s="42" t="s">
        <v>1010</v>
      </c>
      <c r="I30" s="42" t="s">
        <v>1607</v>
      </c>
      <c r="J30" s="44" t="s">
        <v>1847</v>
      </c>
    </row>
    <row r="31" spans="1:10" ht="130.5" customHeight="1" x14ac:dyDescent="0.2">
      <c r="A31" s="50" t="s">
        <v>24</v>
      </c>
      <c r="B31" s="50" t="s">
        <v>215</v>
      </c>
      <c r="C31" s="50" t="s">
        <v>1842</v>
      </c>
      <c r="D31" s="50" t="s">
        <v>1843</v>
      </c>
      <c r="E31" s="50" t="s">
        <v>1846</v>
      </c>
      <c r="F31" s="50" t="s">
        <v>216</v>
      </c>
      <c r="G31" s="50" t="s">
        <v>1071</v>
      </c>
      <c r="H31" s="50" t="s">
        <v>1070</v>
      </c>
      <c r="I31" s="50" t="s">
        <v>1607</v>
      </c>
      <c r="J31" s="44" t="s">
        <v>1847</v>
      </c>
    </row>
    <row r="32" spans="1:10" ht="58" customHeight="1" x14ac:dyDescent="0.2">
      <c r="A32" s="42" t="s">
        <v>28</v>
      </c>
      <c r="B32" s="42" t="s">
        <v>219</v>
      </c>
      <c r="C32" s="42" t="s">
        <v>1842</v>
      </c>
      <c r="D32" s="42" t="s">
        <v>1843</v>
      </c>
      <c r="E32" s="42" t="s">
        <v>1844</v>
      </c>
      <c r="F32" s="42" t="s">
        <v>1236</v>
      </c>
      <c r="G32" s="42" t="s">
        <v>1075</v>
      </c>
      <c r="H32" s="42" t="s">
        <v>1073</v>
      </c>
      <c r="I32" s="42" t="s">
        <v>1845</v>
      </c>
      <c r="J32" s="46" t="s">
        <v>752</v>
      </c>
    </row>
    <row r="33" spans="1:10" ht="58" customHeight="1" x14ac:dyDescent="0.2">
      <c r="A33" s="50" t="s">
        <v>222</v>
      </c>
      <c r="B33" s="50" t="s">
        <v>1078</v>
      </c>
      <c r="C33" s="50" t="s">
        <v>1842</v>
      </c>
      <c r="D33" s="50" t="s">
        <v>1843</v>
      </c>
      <c r="E33" s="50" t="s">
        <v>1844</v>
      </c>
      <c r="F33" s="50" t="s">
        <v>1236</v>
      </c>
      <c r="G33" s="50" t="s">
        <v>1680</v>
      </c>
      <c r="H33" s="50" t="s">
        <v>1679</v>
      </c>
      <c r="I33" s="50" t="s">
        <v>1845</v>
      </c>
      <c r="J33" s="46" t="s">
        <v>752</v>
      </c>
    </row>
  </sheetData>
  <mergeCells count="2">
    <mergeCell ref="A1:J1"/>
    <mergeCell ref="A2:J2"/>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33"/>
  <sheetViews>
    <sheetView showGridLines="0" rightToLeft="1" workbookViewId="0">
      <pane xSplit="1" ySplit="3" topLeftCell="B4" activePane="bottomRight" state="frozen"/>
      <selection pane="topRight"/>
      <selection pane="bottomLeft"/>
      <selection pane="bottomRight"/>
    </sheetView>
  </sheetViews>
  <sheetFormatPr baseColWidth="10" defaultColWidth="8.83203125" defaultRowHeight="15" x14ac:dyDescent="0.2"/>
  <cols>
    <col min="1" max="1" width="42" customWidth="1"/>
    <col min="2" max="2" width="16.33203125" customWidth="1"/>
    <col min="3" max="4" width="15.33203125" customWidth="1"/>
    <col min="5" max="5" width="14.33203125" customWidth="1"/>
    <col min="6" max="7" width="42" customWidth="1"/>
    <col min="8" max="8" width="12.5" customWidth="1"/>
  </cols>
  <sheetData>
    <row r="1" spans="1:8" ht="34" customHeight="1" x14ac:dyDescent="0.2">
      <c r="A1" s="79" t="s">
        <v>1851</v>
      </c>
      <c r="B1" s="76"/>
      <c r="C1" s="76"/>
      <c r="D1" s="76"/>
      <c r="E1" s="76"/>
      <c r="F1" s="76"/>
      <c r="G1" s="76"/>
      <c r="H1" s="76"/>
    </row>
    <row r="2" spans="1:8" ht="28" customHeight="1" x14ac:dyDescent="0.2">
      <c r="A2" s="86" t="s">
        <v>1852</v>
      </c>
      <c r="B2" s="76"/>
      <c r="C2" s="76"/>
      <c r="D2" s="76"/>
      <c r="E2" s="76"/>
      <c r="F2" s="76"/>
      <c r="G2" s="76"/>
      <c r="H2" s="76"/>
    </row>
    <row r="3" spans="1:8" ht="30" customHeight="1" x14ac:dyDescent="0.2">
      <c r="A3" s="48" t="s">
        <v>94</v>
      </c>
      <c r="B3" s="48" t="s">
        <v>1634</v>
      </c>
      <c r="C3" s="48" t="s">
        <v>1853</v>
      </c>
      <c r="D3" s="48" t="s">
        <v>1854</v>
      </c>
      <c r="E3" s="48" t="s">
        <v>1855</v>
      </c>
      <c r="F3" s="48" t="s">
        <v>1856</v>
      </c>
      <c r="G3" s="48" t="s">
        <v>1857</v>
      </c>
      <c r="H3" s="48" t="s">
        <v>376</v>
      </c>
    </row>
    <row r="4" spans="1:8" ht="29" customHeight="1" x14ac:dyDescent="0.2">
      <c r="A4" s="42" t="s">
        <v>109</v>
      </c>
      <c r="B4" s="42" t="s">
        <v>1636</v>
      </c>
      <c r="C4" s="42" t="s">
        <v>1858</v>
      </c>
      <c r="D4" s="42" t="s">
        <v>1859</v>
      </c>
      <c r="E4" s="42" t="s">
        <v>1860</v>
      </c>
      <c r="F4" s="42" t="s">
        <v>1861</v>
      </c>
      <c r="G4" s="42" t="s">
        <v>1862</v>
      </c>
      <c r="H4" s="42" t="s">
        <v>1607</v>
      </c>
    </row>
    <row r="5" spans="1:8" ht="29" customHeight="1" x14ac:dyDescent="0.2">
      <c r="A5" s="50" t="s">
        <v>117</v>
      </c>
      <c r="B5" s="50" t="s">
        <v>1638</v>
      </c>
      <c r="C5" s="50" t="s">
        <v>1858</v>
      </c>
      <c r="D5" s="50" t="s">
        <v>1859</v>
      </c>
      <c r="E5" s="50" t="s">
        <v>1863</v>
      </c>
      <c r="F5" s="50" t="s">
        <v>1861</v>
      </c>
      <c r="G5" s="50" t="s">
        <v>1639</v>
      </c>
      <c r="H5" s="50" t="s">
        <v>1864</v>
      </c>
    </row>
    <row r="6" spans="1:8" ht="29" customHeight="1" x14ac:dyDescent="0.2">
      <c r="A6" s="42" t="s">
        <v>126</v>
      </c>
      <c r="B6" s="42" t="s">
        <v>1640</v>
      </c>
      <c r="C6" s="42" t="s">
        <v>1858</v>
      </c>
      <c r="D6" s="42" t="s">
        <v>1859</v>
      </c>
      <c r="E6" s="42" t="s">
        <v>1863</v>
      </c>
      <c r="F6" s="42" t="s">
        <v>1861</v>
      </c>
      <c r="G6" s="42" t="s">
        <v>1862</v>
      </c>
      <c r="H6" s="42" t="s">
        <v>1607</v>
      </c>
    </row>
    <row r="7" spans="1:8" ht="29" customHeight="1" x14ac:dyDescent="0.2">
      <c r="A7" s="50" t="s">
        <v>131</v>
      </c>
      <c r="B7" s="50" t="s">
        <v>1636</v>
      </c>
      <c r="C7" s="50" t="s">
        <v>1858</v>
      </c>
      <c r="D7" s="50" t="s">
        <v>1859</v>
      </c>
      <c r="E7" s="50" t="s">
        <v>1860</v>
      </c>
      <c r="F7" s="50" t="s">
        <v>1861</v>
      </c>
      <c r="G7" s="50" t="s">
        <v>1862</v>
      </c>
      <c r="H7" s="50" t="s">
        <v>1607</v>
      </c>
    </row>
    <row r="8" spans="1:8" ht="29" customHeight="1" x14ac:dyDescent="0.2">
      <c r="A8" s="42" t="s">
        <v>135</v>
      </c>
      <c r="B8" s="42" t="s">
        <v>1636</v>
      </c>
      <c r="C8" s="42" t="s">
        <v>1858</v>
      </c>
      <c r="D8" s="42" t="s">
        <v>1859</v>
      </c>
      <c r="E8" s="42" t="s">
        <v>1860</v>
      </c>
      <c r="F8" s="42" t="s">
        <v>1861</v>
      </c>
      <c r="G8" s="42" t="s">
        <v>1862</v>
      </c>
      <c r="H8" s="42" t="s">
        <v>1607</v>
      </c>
    </row>
    <row r="9" spans="1:8" ht="29" customHeight="1" x14ac:dyDescent="0.2">
      <c r="A9" s="50" t="s">
        <v>137</v>
      </c>
      <c r="B9" s="50" t="s">
        <v>1636</v>
      </c>
      <c r="C9" s="50" t="s">
        <v>1858</v>
      </c>
      <c r="D9" s="50" t="s">
        <v>1859</v>
      </c>
      <c r="E9" s="50" t="s">
        <v>1860</v>
      </c>
      <c r="F9" s="50" t="s">
        <v>1861</v>
      </c>
      <c r="G9" s="50" t="s">
        <v>1862</v>
      </c>
      <c r="H9" s="50" t="s">
        <v>1607</v>
      </c>
    </row>
    <row r="10" spans="1:8" ht="29" customHeight="1" x14ac:dyDescent="0.2">
      <c r="A10" s="42" t="s">
        <v>140</v>
      </c>
      <c r="B10" s="42" t="s">
        <v>1636</v>
      </c>
      <c r="C10" s="42" t="s">
        <v>1858</v>
      </c>
      <c r="D10" s="42" t="s">
        <v>1859</v>
      </c>
      <c r="E10" s="42" t="s">
        <v>1860</v>
      </c>
      <c r="F10" s="42" t="s">
        <v>1861</v>
      </c>
      <c r="G10" s="42" t="s">
        <v>1862</v>
      </c>
      <c r="H10" s="42" t="s">
        <v>1607</v>
      </c>
    </row>
    <row r="11" spans="1:8" ht="29" customHeight="1" x14ac:dyDescent="0.2">
      <c r="A11" s="50" t="s">
        <v>143</v>
      </c>
      <c r="B11" s="50" t="s">
        <v>1636</v>
      </c>
      <c r="C11" s="50" t="s">
        <v>1858</v>
      </c>
      <c r="D11" s="50" t="s">
        <v>1859</v>
      </c>
      <c r="E11" s="50" t="s">
        <v>1860</v>
      </c>
      <c r="F11" s="50" t="s">
        <v>1861</v>
      </c>
      <c r="G11" s="50" t="s">
        <v>1862</v>
      </c>
      <c r="H11" s="50" t="s">
        <v>1607</v>
      </c>
    </row>
    <row r="12" spans="1:8" ht="29" customHeight="1" x14ac:dyDescent="0.2">
      <c r="A12" s="42" t="s">
        <v>20</v>
      </c>
      <c r="B12" s="42" t="s">
        <v>1636</v>
      </c>
      <c r="C12" s="42" t="s">
        <v>1858</v>
      </c>
      <c r="D12" s="42" t="s">
        <v>1859</v>
      </c>
      <c r="E12" s="42" t="s">
        <v>1860</v>
      </c>
      <c r="F12" s="42" t="s">
        <v>1861</v>
      </c>
      <c r="G12" s="42" t="s">
        <v>1862</v>
      </c>
      <c r="H12" s="42" t="s">
        <v>1607</v>
      </c>
    </row>
    <row r="13" spans="1:8" ht="29" customHeight="1" x14ac:dyDescent="0.2">
      <c r="A13" s="50" t="s">
        <v>151</v>
      </c>
      <c r="B13" s="50" t="s">
        <v>1636</v>
      </c>
      <c r="C13" s="50" t="s">
        <v>1858</v>
      </c>
      <c r="D13" s="50" t="s">
        <v>1859</v>
      </c>
      <c r="E13" s="50" t="s">
        <v>1860</v>
      </c>
      <c r="F13" s="50" t="s">
        <v>1861</v>
      </c>
      <c r="G13" s="50" t="s">
        <v>1865</v>
      </c>
      <c r="H13" s="50" t="s">
        <v>1866</v>
      </c>
    </row>
    <row r="14" spans="1:8" ht="29" customHeight="1" x14ac:dyDescent="0.2">
      <c r="A14" s="42" t="s">
        <v>157</v>
      </c>
      <c r="B14" s="42" t="s">
        <v>1636</v>
      </c>
      <c r="C14" s="42" t="s">
        <v>1858</v>
      </c>
      <c r="D14" s="42" t="s">
        <v>1859</v>
      </c>
      <c r="E14" s="42" t="s">
        <v>1860</v>
      </c>
      <c r="F14" s="42" t="s">
        <v>1861</v>
      </c>
      <c r="G14" s="42" t="s">
        <v>1867</v>
      </c>
      <c r="H14" s="42" t="s">
        <v>1866</v>
      </c>
    </row>
    <row r="15" spans="1:8" ht="29" customHeight="1" x14ac:dyDescent="0.2">
      <c r="A15" s="50" t="s">
        <v>159</v>
      </c>
      <c r="B15" s="50" t="s">
        <v>1640</v>
      </c>
      <c r="C15" s="50" t="s">
        <v>1858</v>
      </c>
      <c r="D15" s="50" t="s">
        <v>1859</v>
      </c>
      <c r="E15" s="50" t="s">
        <v>1863</v>
      </c>
      <c r="F15" s="50" t="s">
        <v>1861</v>
      </c>
      <c r="G15" s="50" t="s">
        <v>1862</v>
      </c>
      <c r="H15" s="50" t="s">
        <v>1607</v>
      </c>
    </row>
    <row r="16" spans="1:8" ht="29" customHeight="1" x14ac:dyDescent="0.2">
      <c r="A16" s="42" t="s">
        <v>162</v>
      </c>
      <c r="B16" s="42" t="s">
        <v>1636</v>
      </c>
      <c r="C16" s="42" t="s">
        <v>1858</v>
      </c>
      <c r="D16" s="42" t="s">
        <v>1859</v>
      </c>
      <c r="E16" s="42" t="s">
        <v>1860</v>
      </c>
      <c r="F16" s="42" t="s">
        <v>1861</v>
      </c>
      <c r="G16" s="42" t="s">
        <v>1862</v>
      </c>
      <c r="H16" s="42" t="s">
        <v>1607</v>
      </c>
    </row>
    <row r="17" spans="1:8" ht="29" customHeight="1" x14ac:dyDescent="0.2">
      <c r="A17" s="50" t="s">
        <v>165</v>
      </c>
      <c r="B17" s="50" t="s">
        <v>1655</v>
      </c>
      <c r="C17" s="50" t="s">
        <v>1858</v>
      </c>
      <c r="D17" s="50" t="s">
        <v>1859</v>
      </c>
      <c r="E17" s="50" t="s">
        <v>1863</v>
      </c>
      <c r="F17" s="50" t="s">
        <v>1861</v>
      </c>
      <c r="G17" s="50" t="s">
        <v>1862</v>
      </c>
      <c r="H17" s="50" t="s">
        <v>1607</v>
      </c>
    </row>
    <row r="18" spans="1:8" ht="29" customHeight="1" x14ac:dyDescent="0.2">
      <c r="A18" s="42" t="s">
        <v>168</v>
      </c>
      <c r="B18" s="42" t="s">
        <v>1636</v>
      </c>
      <c r="C18" s="42" t="s">
        <v>1858</v>
      </c>
      <c r="D18" s="42" t="s">
        <v>1859</v>
      </c>
      <c r="E18" s="42" t="s">
        <v>1860</v>
      </c>
      <c r="F18" s="42" t="s">
        <v>1861</v>
      </c>
      <c r="G18" s="42" t="s">
        <v>1862</v>
      </c>
      <c r="H18" s="42" t="s">
        <v>1607</v>
      </c>
    </row>
    <row r="19" spans="1:8" ht="29" customHeight="1" x14ac:dyDescent="0.2">
      <c r="A19" s="50" t="s">
        <v>171</v>
      </c>
      <c r="B19" s="50" t="s">
        <v>1636</v>
      </c>
      <c r="C19" s="50" t="s">
        <v>1858</v>
      </c>
      <c r="D19" s="50" t="s">
        <v>1859</v>
      </c>
      <c r="E19" s="50" t="s">
        <v>1860</v>
      </c>
      <c r="F19" s="50" t="s">
        <v>1861</v>
      </c>
      <c r="G19" s="50" t="s">
        <v>1862</v>
      </c>
      <c r="H19" s="50" t="s">
        <v>1607</v>
      </c>
    </row>
    <row r="20" spans="1:8" ht="29" customHeight="1" x14ac:dyDescent="0.2">
      <c r="A20" s="42" t="s">
        <v>174</v>
      </c>
      <c r="B20" s="42" t="s">
        <v>1636</v>
      </c>
      <c r="C20" s="42" t="s">
        <v>1858</v>
      </c>
      <c r="D20" s="42" t="s">
        <v>1859</v>
      </c>
      <c r="E20" s="42" t="s">
        <v>1860</v>
      </c>
      <c r="F20" s="42" t="s">
        <v>1861</v>
      </c>
      <c r="G20" s="42" t="s">
        <v>1862</v>
      </c>
      <c r="H20" s="42" t="s">
        <v>1607</v>
      </c>
    </row>
    <row r="21" spans="1:8" ht="29" customHeight="1" x14ac:dyDescent="0.2">
      <c r="A21" s="50" t="s">
        <v>179</v>
      </c>
      <c r="B21" s="50" t="s">
        <v>1636</v>
      </c>
      <c r="C21" s="50" t="s">
        <v>1858</v>
      </c>
      <c r="D21" s="50" t="s">
        <v>1859</v>
      </c>
      <c r="E21" s="50" t="s">
        <v>1860</v>
      </c>
      <c r="F21" s="50" t="s">
        <v>1861</v>
      </c>
      <c r="G21" s="50" t="s">
        <v>1868</v>
      </c>
      <c r="H21" s="50" t="s">
        <v>1866</v>
      </c>
    </row>
    <row r="22" spans="1:8" ht="29" customHeight="1" x14ac:dyDescent="0.2">
      <c r="A22" s="42" t="s">
        <v>182</v>
      </c>
      <c r="B22" s="42" t="s">
        <v>1662</v>
      </c>
      <c r="C22" s="42" t="s">
        <v>1858</v>
      </c>
      <c r="D22" s="42" t="s">
        <v>1859</v>
      </c>
      <c r="E22" s="42" t="s">
        <v>1863</v>
      </c>
      <c r="F22" s="42" t="s">
        <v>1861</v>
      </c>
      <c r="G22" s="42" t="s">
        <v>1862</v>
      </c>
      <c r="H22" s="42" t="s">
        <v>1607</v>
      </c>
    </row>
    <row r="23" spans="1:8" ht="29" customHeight="1" x14ac:dyDescent="0.2">
      <c r="A23" s="50" t="s">
        <v>187</v>
      </c>
      <c r="B23" s="50" t="s">
        <v>1636</v>
      </c>
      <c r="C23" s="50" t="s">
        <v>1858</v>
      </c>
      <c r="D23" s="50" t="s">
        <v>1859</v>
      </c>
      <c r="E23" s="50" t="s">
        <v>1860</v>
      </c>
      <c r="F23" s="50" t="s">
        <v>1861</v>
      </c>
      <c r="G23" s="50" t="s">
        <v>1862</v>
      </c>
      <c r="H23" s="50" t="s">
        <v>1607</v>
      </c>
    </row>
    <row r="24" spans="1:8" ht="29" customHeight="1" x14ac:dyDescent="0.2">
      <c r="A24" s="42" t="s">
        <v>190</v>
      </c>
      <c r="B24" s="42" t="s">
        <v>1636</v>
      </c>
      <c r="C24" s="42" t="s">
        <v>1858</v>
      </c>
      <c r="D24" s="42" t="s">
        <v>1859</v>
      </c>
      <c r="E24" s="42" t="s">
        <v>1860</v>
      </c>
      <c r="F24" s="42" t="s">
        <v>1861</v>
      </c>
      <c r="G24" s="42" t="s">
        <v>1862</v>
      </c>
      <c r="H24" s="42" t="s">
        <v>1607</v>
      </c>
    </row>
    <row r="25" spans="1:8" ht="29" customHeight="1" x14ac:dyDescent="0.2">
      <c r="A25" s="50" t="s">
        <v>196</v>
      </c>
      <c r="B25" s="50" t="s">
        <v>1636</v>
      </c>
      <c r="C25" s="50" t="s">
        <v>1858</v>
      </c>
      <c r="D25" s="50" t="s">
        <v>1859</v>
      </c>
      <c r="E25" s="50" t="s">
        <v>1860</v>
      </c>
      <c r="F25" s="50" t="s">
        <v>1861</v>
      </c>
      <c r="G25" s="50" t="s">
        <v>1862</v>
      </c>
      <c r="H25" s="50" t="s">
        <v>1607</v>
      </c>
    </row>
    <row r="26" spans="1:8" ht="29" customHeight="1" x14ac:dyDescent="0.2">
      <c r="A26" s="42" t="s">
        <v>199</v>
      </c>
      <c r="B26" s="42" t="s">
        <v>1669</v>
      </c>
      <c r="C26" s="42" t="s">
        <v>1858</v>
      </c>
      <c r="D26" s="42" t="s">
        <v>1859</v>
      </c>
      <c r="E26" s="42" t="s">
        <v>1863</v>
      </c>
      <c r="F26" s="42" t="s">
        <v>1861</v>
      </c>
      <c r="G26" s="42" t="s">
        <v>1862</v>
      </c>
      <c r="H26" s="42" t="s">
        <v>1607</v>
      </c>
    </row>
    <row r="27" spans="1:8" ht="29" customHeight="1" x14ac:dyDescent="0.2">
      <c r="A27" s="50" t="s">
        <v>202</v>
      </c>
      <c r="B27" s="50" t="s">
        <v>1636</v>
      </c>
      <c r="C27" s="50" t="s">
        <v>1858</v>
      </c>
      <c r="D27" s="50" t="s">
        <v>1859</v>
      </c>
      <c r="E27" s="50" t="s">
        <v>1860</v>
      </c>
      <c r="F27" s="50" t="s">
        <v>1861</v>
      </c>
      <c r="G27" s="50" t="s">
        <v>1862</v>
      </c>
      <c r="H27" s="50" t="s">
        <v>1607</v>
      </c>
    </row>
    <row r="28" spans="1:8" ht="29" customHeight="1" x14ac:dyDescent="0.2">
      <c r="A28" s="42" t="s">
        <v>206</v>
      </c>
      <c r="B28" s="42" t="s">
        <v>1636</v>
      </c>
      <c r="C28" s="42" t="s">
        <v>1858</v>
      </c>
      <c r="D28" s="42" t="s">
        <v>1859</v>
      </c>
      <c r="E28" s="42" t="s">
        <v>1860</v>
      </c>
      <c r="F28" s="42" t="s">
        <v>1861</v>
      </c>
      <c r="G28" s="42" t="s">
        <v>1862</v>
      </c>
      <c r="H28" s="42" t="s">
        <v>1607</v>
      </c>
    </row>
    <row r="29" spans="1:8" ht="29" customHeight="1" x14ac:dyDescent="0.2">
      <c r="A29" s="50" t="s">
        <v>209</v>
      </c>
      <c r="B29" s="50" t="s">
        <v>1636</v>
      </c>
      <c r="C29" s="50" t="s">
        <v>1858</v>
      </c>
      <c r="D29" s="50" t="s">
        <v>1859</v>
      </c>
      <c r="E29" s="50" t="s">
        <v>1860</v>
      </c>
      <c r="F29" s="50" t="s">
        <v>1861</v>
      </c>
      <c r="G29" s="50" t="s">
        <v>1862</v>
      </c>
      <c r="H29" s="50" t="s">
        <v>1607</v>
      </c>
    </row>
    <row r="30" spans="1:8" ht="29" customHeight="1" x14ac:dyDescent="0.2">
      <c r="A30" s="42" t="s">
        <v>212</v>
      </c>
      <c r="B30" s="42" t="s">
        <v>1636</v>
      </c>
      <c r="C30" s="42" t="s">
        <v>1858</v>
      </c>
      <c r="D30" s="42" t="s">
        <v>1859</v>
      </c>
      <c r="E30" s="42" t="s">
        <v>1860</v>
      </c>
      <c r="F30" s="42" t="s">
        <v>1861</v>
      </c>
      <c r="G30" s="42" t="s">
        <v>1862</v>
      </c>
      <c r="H30" s="42" t="s">
        <v>1607</v>
      </c>
    </row>
    <row r="31" spans="1:8" ht="29" customHeight="1" x14ac:dyDescent="0.2">
      <c r="A31" s="50" t="s">
        <v>24</v>
      </c>
      <c r="B31" s="50" t="s">
        <v>1636</v>
      </c>
      <c r="C31" s="50" t="s">
        <v>1858</v>
      </c>
      <c r="D31" s="50" t="s">
        <v>1859</v>
      </c>
      <c r="E31" s="50" t="s">
        <v>1860</v>
      </c>
      <c r="F31" s="50" t="s">
        <v>1861</v>
      </c>
      <c r="G31" s="50" t="s">
        <v>1862</v>
      </c>
      <c r="H31" s="50" t="s">
        <v>1607</v>
      </c>
    </row>
    <row r="32" spans="1:8" ht="29" customHeight="1" x14ac:dyDescent="0.2">
      <c r="A32" s="42" t="s">
        <v>28</v>
      </c>
      <c r="B32" s="42" t="s">
        <v>1636</v>
      </c>
      <c r="C32" s="42" t="s">
        <v>1858</v>
      </c>
      <c r="D32" s="42" t="s">
        <v>1859</v>
      </c>
      <c r="E32" s="42" t="s">
        <v>1860</v>
      </c>
      <c r="F32" s="42" t="s">
        <v>1861</v>
      </c>
      <c r="G32" s="42" t="s">
        <v>1869</v>
      </c>
      <c r="H32" s="42" t="s">
        <v>1607</v>
      </c>
    </row>
    <row r="33" spans="1:8" ht="29" customHeight="1" x14ac:dyDescent="0.2">
      <c r="A33" s="50" t="s">
        <v>222</v>
      </c>
      <c r="B33" s="50" t="s">
        <v>1636</v>
      </c>
      <c r="C33" s="50" t="s">
        <v>1858</v>
      </c>
      <c r="D33" s="50" t="s">
        <v>1859</v>
      </c>
      <c r="E33" s="50" t="s">
        <v>1860</v>
      </c>
      <c r="F33" s="50" t="s">
        <v>1861</v>
      </c>
      <c r="G33" s="50" t="s">
        <v>1869</v>
      </c>
      <c r="H33" s="50" t="s">
        <v>1607</v>
      </c>
    </row>
  </sheetData>
  <mergeCells count="2">
    <mergeCell ref="A2:H2"/>
    <mergeCell ref="A1:H1"/>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K11"/>
  <sheetViews>
    <sheetView showGridLines="0" rightToLeft="1" workbookViewId="0">
      <pane xSplit="1" ySplit="3" topLeftCell="B4" activePane="bottomRight" state="frozen"/>
      <selection pane="topRight"/>
      <selection pane="bottomLeft"/>
      <selection pane="bottomRight"/>
    </sheetView>
  </sheetViews>
  <sheetFormatPr baseColWidth="10" defaultColWidth="8.83203125" defaultRowHeight="15" x14ac:dyDescent="0.2"/>
  <cols>
    <col min="1" max="1" width="42" customWidth="1"/>
    <col min="2" max="2" width="11.5" customWidth="1"/>
    <col min="3" max="3" width="15.33203125" customWidth="1"/>
    <col min="4" max="4" width="18.1640625" customWidth="1"/>
    <col min="5" max="5" width="16.33203125" customWidth="1"/>
    <col min="6" max="6" width="23" customWidth="1"/>
    <col min="7" max="7" width="18.1640625" customWidth="1"/>
    <col min="8" max="8" width="17.1640625" customWidth="1"/>
    <col min="9" max="9" width="25.83203125" customWidth="1"/>
    <col min="10" max="10" width="15.33203125" customWidth="1"/>
    <col min="11" max="11" width="42" customWidth="1"/>
  </cols>
  <sheetData>
    <row r="1" spans="1:11" ht="34" customHeight="1" x14ac:dyDescent="0.2">
      <c r="A1" s="79" t="s">
        <v>1870</v>
      </c>
      <c r="B1" s="76"/>
      <c r="C1" s="76"/>
      <c r="D1" s="76"/>
      <c r="E1" s="76"/>
      <c r="F1" s="76"/>
      <c r="G1" s="76"/>
      <c r="H1" s="76"/>
      <c r="I1" s="76"/>
      <c r="J1" s="76"/>
      <c r="K1" s="76"/>
    </row>
    <row r="2" spans="1:11" ht="28" customHeight="1" x14ac:dyDescent="0.2">
      <c r="A2" s="86" t="s">
        <v>1871</v>
      </c>
      <c r="B2" s="76"/>
      <c r="C2" s="76"/>
      <c r="D2" s="76"/>
      <c r="E2" s="76"/>
      <c r="F2" s="76"/>
      <c r="G2" s="76"/>
      <c r="H2" s="76"/>
      <c r="I2" s="76"/>
      <c r="J2" s="76"/>
      <c r="K2" s="76"/>
    </row>
    <row r="3" spans="1:11" ht="30" customHeight="1" x14ac:dyDescent="0.2">
      <c r="A3" s="48" t="s">
        <v>1684</v>
      </c>
      <c r="B3" s="48" t="s">
        <v>1872</v>
      </c>
      <c r="C3" s="48" t="s">
        <v>1873</v>
      </c>
      <c r="D3" s="48" t="s">
        <v>115</v>
      </c>
      <c r="E3" s="48" t="s">
        <v>1874</v>
      </c>
      <c r="F3" s="48" t="s">
        <v>155</v>
      </c>
      <c r="G3" s="48" t="s">
        <v>217</v>
      </c>
      <c r="H3" s="48" t="s">
        <v>1075</v>
      </c>
      <c r="I3" s="48" t="s">
        <v>220</v>
      </c>
      <c r="J3" s="48" t="s">
        <v>1875</v>
      </c>
      <c r="K3" s="48" t="s">
        <v>107</v>
      </c>
    </row>
    <row r="4" spans="1:11" ht="29" customHeight="1" x14ac:dyDescent="0.2">
      <c r="A4" s="42" t="s">
        <v>1876</v>
      </c>
      <c r="B4" s="42">
        <v>7</v>
      </c>
      <c r="C4" s="42">
        <v>0</v>
      </c>
      <c r="D4" s="42">
        <v>0</v>
      </c>
      <c r="E4" s="42">
        <v>0</v>
      </c>
      <c r="F4" s="42">
        <v>1</v>
      </c>
      <c r="G4" s="42">
        <v>1</v>
      </c>
      <c r="H4" s="42">
        <v>1</v>
      </c>
      <c r="I4" s="42">
        <v>0</v>
      </c>
      <c r="J4" s="42">
        <f t="shared" ref="J4:J11" si="0">SUM(B4:I4)</f>
        <v>10</v>
      </c>
      <c r="K4" s="42" t="s">
        <v>1877</v>
      </c>
    </row>
    <row r="5" spans="1:11" ht="29" customHeight="1" x14ac:dyDescent="0.2">
      <c r="A5" s="50" t="s">
        <v>1878</v>
      </c>
      <c r="B5" s="50">
        <v>5</v>
      </c>
      <c r="C5" s="50">
        <v>0</v>
      </c>
      <c r="D5" s="50">
        <v>0</v>
      </c>
      <c r="E5" s="50">
        <v>4</v>
      </c>
      <c r="F5" s="50">
        <v>2</v>
      </c>
      <c r="G5" s="50">
        <v>1</v>
      </c>
      <c r="H5" s="50">
        <v>1</v>
      </c>
      <c r="I5" s="50">
        <v>0</v>
      </c>
      <c r="J5" s="50">
        <f t="shared" si="0"/>
        <v>13</v>
      </c>
      <c r="K5" s="50" t="s">
        <v>1877</v>
      </c>
    </row>
    <row r="6" spans="1:11" ht="29" customHeight="1" x14ac:dyDescent="0.2">
      <c r="A6" s="42" t="s">
        <v>478</v>
      </c>
      <c r="B6" s="42">
        <v>0</v>
      </c>
      <c r="C6" s="42">
        <v>6</v>
      </c>
      <c r="D6" s="42">
        <v>0</v>
      </c>
      <c r="E6" s="42">
        <v>0</v>
      </c>
      <c r="F6" s="42">
        <v>1</v>
      </c>
      <c r="G6" s="42">
        <v>0</v>
      </c>
      <c r="H6" s="42">
        <v>0</v>
      </c>
      <c r="I6" s="42">
        <v>0</v>
      </c>
      <c r="J6" s="42">
        <f t="shared" si="0"/>
        <v>7</v>
      </c>
      <c r="K6" s="42" t="s">
        <v>1877</v>
      </c>
    </row>
    <row r="7" spans="1:11" ht="29" customHeight="1" x14ac:dyDescent="0.2">
      <c r="A7" s="50" t="s">
        <v>483</v>
      </c>
      <c r="B7" s="50">
        <v>0</v>
      </c>
      <c r="C7" s="50">
        <v>7</v>
      </c>
      <c r="D7" s="50">
        <v>0</v>
      </c>
      <c r="E7" s="50">
        <v>0</v>
      </c>
      <c r="F7" s="50">
        <v>12</v>
      </c>
      <c r="G7" s="50">
        <v>0</v>
      </c>
      <c r="H7" s="50">
        <v>0</v>
      </c>
      <c r="I7" s="50">
        <v>0</v>
      </c>
      <c r="J7" s="50">
        <f t="shared" si="0"/>
        <v>19</v>
      </c>
      <c r="K7" s="50" t="s">
        <v>1877</v>
      </c>
    </row>
    <row r="8" spans="1:11" ht="29" customHeight="1" x14ac:dyDescent="0.2">
      <c r="A8" s="42" t="s">
        <v>1879</v>
      </c>
      <c r="B8" s="42">
        <v>0</v>
      </c>
      <c r="C8" s="42">
        <v>0</v>
      </c>
      <c r="D8" s="42">
        <v>1</v>
      </c>
      <c r="E8" s="42">
        <v>0</v>
      </c>
      <c r="F8" s="42">
        <v>2</v>
      </c>
      <c r="G8" s="42">
        <v>0</v>
      </c>
      <c r="H8" s="42">
        <v>0</v>
      </c>
      <c r="I8" s="42">
        <v>0</v>
      </c>
      <c r="J8" s="42">
        <f t="shared" si="0"/>
        <v>3</v>
      </c>
      <c r="K8" s="42" t="s">
        <v>1877</v>
      </c>
    </row>
    <row r="9" spans="1:11" ht="29" customHeight="1" x14ac:dyDescent="0.2">
      <c r="A9" s="50" t="s">
        <v>449</v>
      </c>
      <c r="B9" s="50">
        <v>0</v>
      </c>
      <c r="C9" s="50">
        <v>2</v>
      </c>
      <c r="D9" s="50">
        <v>0</v>
      </c>
      <c r="E9" s="50">
        <v>0</v>
      </c>
      <c r="F9" s="50">
        <v>0</v>
      </c>
      <c r="G9" s="50">
        <v>0</v>
      </c>
      <c r="H9" s="50">
        <v>0</v>
      </c>
      <c r="I9" s="50">
        <v>0</v>
      </c>
      <c r="J9" s="50">
        <f t="shared" si="0"/>
        <v>2</v>
      </c>
      <c r="K9" s="50" t="s">
        <v>1877</v>
      </c>
    </row>
    <row r="10" spans="1:11" ht="29" customHeight="1" x14ac:dyDescent="0.2">
      <c r="A10" s="42" t="s">
        <v>67</v>
      </c>
      <c r="B10" s="42">
        <f>COUNTIFS('CR1A v39'!E4:E33,"بله",'CR1A v39'!F4:F33,0)</f>
        <v>12</v>
      </c>
      <c r="C10" s="42">
        <v>0</v>
      </c>
      <c r="D10" s="42">
        <f>COUNTIF('CR1A v39'!M4:M33,"COULD_NOT_VERIFY")</f>
        <v>1</v>
      </c>
      <c r="E10" s="42">
        <v>0</v>
      </c>
      <c r="F10" s="42">
        <f>COUNTIF('CR1A v39'!M4:M33,"INSUFFICIENT_EVIDENCE")</f>
        <v>1</v>
      </c>
      <c r="G10" s="42">
        <f>COUNTIF('CR1A v39'!M4:M33,"DOCUMENT_MISSING")</f>
        <v>1</v>
      </c>
      <c r="H10" s="42">
        <v>0</v>
      </c>
      <c r="I10" s="42">
        <f>COUNTIF('CR1A v39'!M4:M33,"PERSON_LEVEL_UNAVAILABLE")</f>
        <v>1</v>
      </c>
      <c r="J10" s="42">
        <f t="shared" si="0"/>
        <v>16</v>
      </c>
      <c r="K10" s="42" t="s">
        <v>1880</v>
      </c>
    </row>
    <row r="11" spans="1:11" ht="29" customHeight="1" x14ac:dyDescent="0.2">
      <c r="A11" s="50" t="s">
        <v>496</v>
      </c>
      <c r="B11" s="50">
        <v>0</v>
      </c>
      <c r="C11" s="50">
        <v>0</v>
      </c>
      <c r="D11" s="50">
        <v>0</v>
      </c>
      <c r="E11" s="50">
        <v>0</v>
      </c>
      <c r="F11" s="50">
        <v>4</v>
      </c>
      <c r="G11" s="50">
        <v>0</v>
      </c>
      <c r="H11" s="50">
        <v>0</v>
      </c>
      <c r="I11" s="50">
        <v>0</v>
      </c>
      <c r="J11" s="50">
        <f t="shared" si="0"/>
        <v>4</v>
      </c>
      <c r="K11" s="50" t="s">
        <v>1877</v>
      </c>
    </row>
  </sheetData>
  <mergeCells count="2">
    <mergeCell ref="A2:K2"/>
    <mergeCell ref="A1:K1"/>
  </mergeCells>
  <pageMargins left="0.75" right="0.75" top="1" bottom="1" header="0.5" footer="0.5"/>
  <legacy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M15"/>
  <sheetViews>
    <sheetView showGridLines="0" rightToLeft="1" workbookViewId="0">
      <pane xSplit="1" ySplit="3" topLeftCell="B4" activePane="bottomRight" state="frozen"/>
      <selection pane="topRight"/>
      <selection pane="bottomLeft"/>
      <selection pane="bottomRight"/>
    </sheetView>
  </sheetViews>
  <sheetFormatPr baseColWidth="10" defaultColWidth="8.83203125" defaultRowHeight="15" x14ac:dyDescent="0.2"/>
  <cols>
    <col min="1" max="1" width="42" customWidth="1"/>
    <col min="2" max="2" width="32.5" customWidth="1"/>
    <col min="3" max="3" width="16.33203125" customWidth="1"/>
    <col min="4" max="4" width="28.6640625" customWidth="1"/>
    <col min="5" max="5" width="23.83203125" customWidth="1"/>
    <col min="6" max="7" width="18.1640625" customWidth="1"/>
    <col min="8" max="8" width="30.5" customWidth="1"/>
    <col min="9" max="9" width="25.83203125" customWidth="1"/>
    <col min="10" max="10" width="15.33203125" customWidth="1"/>
    <col min="11" max="12" width="42" customWidth="1"/>
    <col min="13" max="13" width="31" customWidth="1"/>
  </cols>
  <sheetData>
    <row r="1" spans="1:13" ht="34" customHeight="1" x14ac:dyDescent="0.2">
      <c r="A1" s="79" t="s">
        <v>1881</v>
      </c>
      <c r="B1" s="76"/>
      <c r="C1" s="76"/>
      <c r="D1" s="76"/>
      <c r="E1" s="76"/>
      <c r="F1" s="76"/>
      <c r="G1" s="76"/>
      <c r="H1" s="76"/>
      <c r="I1" s="76"/>
      <c r="J1" s="76"/>
      <c r="K1" s="76"/>
      <c r="L1" s="76"/>
    </row>
    <row r="2" spans="1:13" ht="28" customHeight="1" x14ac:dyDescent="0.2">
      <c r="A2" s="86" t="s">
        <v>1882</v>
      </c>
      <c r="B2" s="76"/>
      <c r="C2" s="76"/>
      <c r="D2" s="76"/>
      <c r="E2" s="76"/>
      <c r="F2" s="76"/>
      <c r="G2" s="76"/>
      <c r="H2" s="76"/>
      <c r="I2" s="76"/>
      <c r="J2" s="76"/>
      <c r="K2" s="76"/>
      <c r="L2" s="76"/>
    </row>
    <row r="3" spans="1:13" ht="30" customHeight="1" x14ac:dyDescent="0.2">
      <c r="A3" s="48" t="s">
        <v>1684</v>
      </c>
      <c r="B3" s="48" t="s">
        <v>1883</v>
      </c>
      <c r="C3" s="48" t="s">
        <v>1884</v>
      </c>
      <c r="D3" s="48" t="s">
        <v>1885</v>
      </c>
      <c r="E3" s="48" t="s">
        <v>1886</v>
      </c>
      <c r="F3" s="48" t="s">
        <v>1887</v>
      </c>
      <c r="G3" s="48" t="s">
        <v>1888</v>
      </c>
      <c r="H3" s="48" t="s">
        <v>1889</v>
      </c>
      <c r="I3" s="48" t="s">
        <v>1890</v>
      </c>
      <c r="J3" s="48" t="s">
        <v>1891</v>
      </c>
      <c r="K3" s="48" t="s">
        <v>1892</v>
      </c>
      <c r="L3" s="48" t="s">
        <v>107</v>
      </c>
      <c r="M3" t="s">
        <v>1893</v>
      </c>
    </row>
    <row r="4" spans="1:13" ht="43.5" customHeight="1" x14ac:dyDescent="0.2">
      <c r="A4" s="42" t="s">
        <v>449</v>
      </c>
      <c r="B4" s="42" t="s">
        <v>937</v>
      </c>
      <c r="C4" s="42">
        <v>30</v>
      </c>
      <c r="D4" s="42" t="str">
        <f t="shared" ref="D4:D15" si="0">IF(AND(ISNUMBER(B4),ISNUMBER(C4),C4&gt;0),B4/C4,"")</f>
        <v/>
      </c>
      <c r="E4" s="42" t="str">
        <f t="shared" ref="E4:E15" si="1">IF(ISNUMBER(B4),B4/30,"")</f>
        <v/>
      </c>
      <c r="F4" s="42">
        <v>28</v>
      </c>
      <c r="G4" s="42">
        <v>30</v>
      </c>
      <c r="H4" s="42">
        <f t="shared" ref="H4:H15" si="2">F4/G4</f>
        <v>0.93333333333333335</v>
      </c>
      <c r="I4" s="42">
        <f t="shared" ref="I4:I15" si="3">F4/30</f>
        <v>0.93333333333333335</v>
      </c>
      <c r="J4" s="42" t="str">
        <f t="shared" ref="J4:J15" si="4">IF(AND(ISNUMBER(F4),ISNUMBER(B4)),F4-B4,"")</f>
        <v/>
      </c>
      <c r="K4" s="42" t="str">
        <f t="shared" ref="K4:K15" si="5">"X/30: "&amp;F4&amp;"/30 | X/eligible: "&amp;F4&amp;"/"&amp;G4</f>
        <v>X/30: 28/30 | X/eligible: 28/30</v>
      </c>
      <c r="L4" s="42" t="s">
        <v>1894</v>
      </c>
      <c r="M4" t="s">
        <v>1895</v>
      </c>
    </row>
    <row r="5" spans="1:13" ht="29" customHeight="1" x14ac:dyDescent="0.2">
      <c r="A5" s="50" t="s">
        <v>457</v>
      </c>
      <c r="B5" s="50" t="s">
        <v>458</v>
      </c>
      <c r="C5" s="50">
        <v>28</v>
      </c>
      <c r="D5" s="50" t="str">
        <f t="shared" si="0"/>
        <v/>
      </c>
      <c r="E5" s="50" t="str">
        <f t="shared" si="1"/>
        <v/>
      </c>
      <c r="F5" s="50">
        <v>28</v>
      </c>
      <c r="G5" s="50">
        <v>30</v>
      </c>
      <c r="H5" s="50">
        <f t="shared" si="2"/>
        <v>0.93333333333333335</v>
      </c>
      <c r="I5" s="50">
        <f t="shared" si="3"/>
        <v>0.93333333333333335</v>
      </c>
      <c r="J5" s="50" t="str">
        <f t="shared" si="4"/>
        <v/>
      </c>
      <c r="K5" s="50" t="str">
        <f t="shared" si="5"/>
        <v>X/30: 28/30 | X/eligible: 28/30</v>
      </c>
      <c r="L5" s="50" t="s">
        <v>1896</v>
      </c>
      <c r="M5" t="s">
        <v>1895</v>
      </c>
    </row>
    <row r="6" spans="1:13" ht="29" customHeight="1" x14ac:dyDescent="0.2">
      <c r="A6" s="42" t="s">
        <v>462</v>
      </c>
      <c r="B6" s="42" t="s">
        <v>1257</v>
      </c>
      <c r="C6" s="42">
        <v>28</v>
      </c>
      <c r="D6" s="42" t="str">
        <f t="shared" si="0"/>
        <v/>
      </c>
      <c r="E6" s="42" t="str">
        <f t="shared" si="1"/>
        <v/>
      </c>
      <c r="F6" s="42">
        <v>27</v>
      </c>
      <c r="G6" s="42">
        <v>28</v>
      </c>
      <c r="H6" s="42">
        <f t="shared" si="2"/>
        <v>0.9642857142857143</v>
      </c>
      <c r="I6" s="42">
        <f t="shared" si="3"/>
        <v>0.9</v>
      </c>
      <c r="J6" s="42" t="str">
        <f t="shared" si="4"/>
        <v/>
      </c>
      <c r="K6" s="42" t="str">
        <f t="shared" si="5"/>
        <v>X/30: 27/30 | X/eligible: 27/28</v>
      </c>
      <c r="L6" s="42" t="s">
        <v>1897</v>
      </c>
      <c r="M6" t="s">
        <v>1895</v>
      </c>
    </row>
    <row r="7" spans="1:13" ht="20" customHeight="1" x14ac:dyDescent="0.2">
      <c r="A7" s="50" t="s">
        <v>467</v>
      </c>
      <c r="B7" s="50" t="s">
        <v>1898</v>
      </c>
      <c r="C7" s="50">
        <v>28</v>
      </c>
      <c r="D7" s="50" t="str">
        <f t="shared" si="0"/>
        <v/>
      </c>
      <c r="E7" s="50" t="str">
        <f t="shared" si="1"/>
        <v/>
      </c>
      <c r="F7" s="50">
        <v>28</v>
      </c>
      <c r="G7" s="50">
        <v>28</v>
      </c>
      <c r="H7" s="50">
        <f t="shared" si="2"/>
        <v>1</v>
      </c>
      <c r="I7" s="50">
        <f t="shared" si="3"/>
        <v>0.93333333333333335</v>
      </c>
      <c r="J7" s="50" t="str">
        <f t="shared" si="4"/>
        <v/>
      </c>
      <c r="K7" s="50" t="str">
        <f t="shared" si="5"/>
        <v>X/30: 28/30 | X/eligible: 28/28</v>
      </c>
      <c r="L7" s="50" t="s">
        <v>1899</v>
      </c>
      <c r="M7" t="s">
        <v>1895</v>
      </c>
    </row>
    <row r="8" spans="1:13" ht="29" customHeight="1" x14ac:dyDescent="0.2">
      <c r="A8" s="42" t="s">
        <v>67</v>
      </c>
      <c r="B8" s="42" t="s">
        <v>951</v>
      </c>
      <c r="C8" s="42">
        <v>30</v>
      </c>
      <c r="D8" s="42" t="str">
        <f t="shared" si="0"/>
        <v/>
      </c>
      <c r="E8" s="42" t="str">
        <f t="shared" si="1"/>
        <v/>
      </c>
      <c r="F8" s="42">
        <f>'CR1A v39'!B39</f>
        <v>26</v>
      </c>
      <c r="G8" s="42">
        <f>'CR1A v39'!B44</f>
        <v>30</v>
      </c>
      <c r="H8" s="42">
        <f t="shared" si="2"/>
        <v>0.8666666666666667</v>
      </c>
      <c r="I8" s="42">
        <f t="shared" si="3"/>
        <v>0.8666666666666667</v>
      </c>
      <c r="J8" s="42" t="str">
        <f t="shared" si="4"/>
        <v/>
      </c>
      <c r="K8" s="42" t="str">
        <f t="shared" si="5"/>
        <v>X/30: 26/30 | X/eligible: 26/30</v>
      </c>
      <c r="L8" s="42" t="s">
        <v>1900</v>
      </c>
      <c r="M8" t="s">
        <v>1895</v>
      </c>
    </row>
    <row r="9" spans="1:13" ht="29" customHeight="1" x14ac:dyDescent="0.2">
      <c r="A9" s="50" t="s">
        <v>478</v>
      </c>
      <c r="B9" s="50" t="s">
        <v>479</v>
      </c>
      <c r="C9" s="50">
        <v>22</v>
      </c>
      <c r="D9" s="50" t="str">
        <f t="shared" si="0"/>
        <v/>
      </c>
      <c r="E9" s="50" t="str">
        <f t="shared" si="1"/>
        <v/>
      </c>
      <c r="F9" s="50">
        <v>23</v>
      </c>
      <c r="G9" s="50">
        <v>30</v>
      </c>
      <c r="H9" s="50">
        <f t="shared" si="2"/>
        <v>0.76666666666666672</v>
      </c>
      <c r="I9" s="50">
        <f t="shared" si="3"/>
        <v>0.76666666666666672</v>
      </c>
      <c r="J9" s="50" t="str">
        <f t="shared" si="4"/>
        <v/>
      </c>
      <c r="K9" s="50" t="str">
        <f t="shared" si="5"/>
        <v>X/30: 23/30 | X/eligible: 23/30</v>
      </c>
      <c r="L9" s="50" t="s">
        <v>1901</v>
      </c>
      <c r="M9" t="s">
        <v>1895</v>
      </c>
    </row>
    <row r="10" spans="1:13" ht="29" customHeight="1" x14ac:dyDescent="0.2">
      <c r="A10" s="42" t="s">
        <v>483</v>
      </c>
      <c r="B10" s="42" t="s">
        <v>484</v>
      </c>
      <c r="C10" s="42">
        <v>15</v>
      </c>
      <c r="D10" s="42" t="str">
        <f t="shared" si="0"/>
        <v/>
      </c>
      <c r="E10" s="42" t="str">
        <f t="shared" si="1"/>
        <v/>
      </c>
      <c r="F10" s="42">
        <v>11</v>
      </c>
      <c r="G10" s="42">
        <v>30</v>
      </c>
      <c r="H10" s="42">
        <f t="shared" si="2"/>
        <v>0.36666666666666664</v>
      </c>
      <c r="I10" s="42">
        <f t="shared" si="3"/>
        <v>0.36666666666666664</v>
      </c>
      <c r="J10" s="42" t="str">
        <f t="shared" si="4"/>
        <v/>
      </c>
      <c r="K10" s="42" t="str">
        <f t="shared" si="5"/>
        <v>X/30: 11/30 | X/eligible: 11/30</v>
      </c>
      <c r="L10" s="42" t="s">
        <v>1902</v>
      </c>
      <c r="M10" t="s">
        <v>1895</v>
      </c>
    </row>
    <row r="11" spans="1:13" ht="29" customHeight="1" x14ac:dyDescent="0.2">
      <c r="A11" s="50" t="s">
        <v>488</v>
      </c>
      <c r="B11" s="50" t="s">
        <v>950</v>
      </c>
      <c r="C11" s="50">
        <v>30</v>
      </c>
      <c r="D11" s="50" t="str">
        <f t="shared" si="0"/>
        <v/>
      </c>
      <c r="E11" s="50" t="str">
        <f t="shared" si="1"/>
        <v/>
      </c>
      <c r="F11" s="50">
        <v>29</v>
      </c>
      <c r="G11" s="50">
        <v>30</v>
      </c>
      <c r="H11" s="50">
        <f t="shared" si="2"/>
        <v>0.96666666666666667</v>
      </c>
      <c r="I11" s="50">
        <f t="shared" si="3"/>
        <v>0.96666666666666667</v>
      </c>
      <c r="J11" s="50" t="str">
        <f t="shared" si="4"/>
        <v/>
      </c>
      <c r="K11" s="50" t="str">
        <f t="shared" si="5"/>
        <v>X/30: 29/30 | X/eligible: 29/30</v>
      </c>
      <c r="L11" s="50" t="s">
        <v>867</v>
      </c>
      <c r="M11" t="s">
        <v>1895</v>
      </c>
    </row>
    <row r="12" spans="1:13" ht="29" customHeight="1" x14ac:dyDescent="0.2">
      <c r="A12" s="42" t="s">
        <v>493</v>
      </c>
      <c r="B12" s="42" t="s">
        <v>958</v>
      </c>
      <c r="C12" s="42">
        <v>30</v>
      </c>
      <c r="D12" s="42" t="str">
        <f t="shared" si="0"/>
        <v/>
      </c>
      <c r="E12" s="42" t="str">
        <f t="shared" si="1"/>
        <v/>
      </c>
      <c r="F12" s="42">
        <v>29</v>
      </c>
      <c r="G12" s="42">
        <v>30</v>
      </c>
      <c r="H12" s="42">
        <f t="shared" si="2"/>
        <v>0.96666666666666667</v>
      </c>
      <c r="I12" s="42">
        <f t="shared" si="3"/>
        <v>0.96666666666666667</v>
      </c>
      <c r="J12" s="42" t="str">
        <f t="shared" si="4"/>
        <v/>
      </c>
      <c r="K12" s="42" t="str">
        <f t="shared" si="5"/>
        <v>X/30: 29/30 | X/eligible: 29/30</v>
      </c>
      <c r="L12" s="42" t="s">
        <v>871</v>
      </c>
      <c r="M12" t="s">
        <v>1895</v>
      </c>
    </row>
    <row r="13" spans="1:13" ht="29" customHeight="1" x14ac:dyDescent="0.2">
      <c r="A13" s="50" t="s">
        <v>496</v>
      </c>
      <c r="B13" s="50" t="s">
        <v>1707</v>
      </c>
      <c r="C13" s="50">
        <v>30</v>
      </c>
      <c r="D13" s="50" t="str">
        <f t="shared" si="0"/>
        <v/>
      </c>
      <c r="E13" s="50" t="str">
        <f t="shared" si="1"/>
        <v/>
      </c>
      <c r="F13" s="50">
        <v>26</v>
      </c>
      <c r="G13" s="50">
        <v>30</v>
      </c>
      <c r="H13" s="50">
        <f t="shared" si="2"/>
        <v>0.8666666666666667</v>
      </c>
      <c r="I13" s="50">
        <f t="shared" si="3"/>
        <v>0.8666666666666667</v>
      </c>
      <c r="J13" s="50" t="str">
        <f t="shared" si="4"/>
        <v/>
      </c>
      <c r="K13" s="50" t="str">
        <f t="shared" si="5"/>
        <v>X/30: 26/30 | X/eligible: 26/30</v>
      </c>
      <c r="L13" s="50" t="s">
        <v>1903</v>
      </c>
      <c r="M13" t="s">
        <v>1895</v>
      </c>
    </row>
    <row r="14" spans="1:13" ht="29" customHeight="1" x14ac:dyDescent="0.2">
      <c r="A14" s="42" t="s">
        <v>501</v>
      </c>
      <c r="B14" s="42" t="s">
        <v>948</v>
      </c>
      <c r="C14" s="42">
        <v>27</v>
      </c>
      <c r="D14" s="42" t="str">
        <f t="shared" si="0"/>
        <v/>
      </c>
      <c r="E14" s="42" t="str">
        <f t="shared" si="1"/>
        <v/>
      </c>
      <c r="F14" s="42">
        <v>27</v>
      </c>
      <c r="G14" s="42">
        <v>28</v>
      </c>
      <c r="H14" s="42">
        <f t="shared" si="2"/>
        <v>0.9642857142857143</v>
      </c>
      <c r="I14" s="42">
        <f t="shared" si="3"/>
        <v>0.9</v>
      </c>
      <c r="J14" s="42" t="str">
        <f t="shared" si="4"/>
        <v/>
      </c>
      <c r="K14" s="42" t="str">
        <f t="shared" si="5"/>
        <v>X/30: 27/30 | X/eligible: 27/28</v>
      </c>
      <c r="L14" s="42" t="s">
        <v>1904</v>
      </c>
      <c r="M14" t="s">
        <v>1895</v>
      </c>
    </row>
    <row r="15" spans="1:13" ht="43.5" customHeight="1" x14ac:dyDescent="0.2">
      <c r="A15" s="50" t="s">
        <v>506</v>
      </c>
      <c r="B15" s="50" t="s">
        <v>960</v>
      </c>
      <c r="C15" s="50">
        <v>23</v>
      </c>
      <c r="D15" s="50" t="str">
        <f t="shared" si="0"/>
        <v/>
      </c>
      <c r="E15" s="50" t="str">
        <f t="shared" si="1"/>
        <v/>
      </c>
      <c r="F15" s="50">
        <v>22</v>
      </c>
      <c r="G15" s="50">
        <v>23</v>
      </c>
      <c r="H15" s="50">
        <f t="shared" si="2"/>
        <v>0.95652173913043481</v>
      </c>
      <c r="I15" s="50">
        <f t="shared" si="3"/>
        <v>0.73333333333333328</v>
      </c>
      <c r="J15" s="50" t="str">
        <f t="shared" si="4"/>
        <v/>
      </c>
      <c r="K15" s="50" t="str">
        <f t="shared" si="5"/>
        <v>X/30: 22/30 | X/eligible: 22/23</v>
      </c>
      <c r="L15" s="50" t="s">
        <v>1905</v>
      </c>
      <c r="M15" t="s">
        <v>1895</v>
      </c>
    </row>
  </sheetData>
  <mergeCells count="2">
    <mergeCell ref="A2:L2"/>
    <mergeCell ref="A1:L1"/>
  </mergeCells>
  <pageMargins left="0.75" right="0.75" top="1" bottom="1" header="0.5" footer="0.5"/>
  <legacy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X33"/>
  <sheetViews>
    <sheetView showGridLines="0" rightToLeft="1" workbookViewId="0">
      <pane xSplit="1" ySplit="3" topLeftCell="B4" activePane="bottomRight" state="frozen"/>
      <selection pane="topRight"/>
      <selection pane="bottomLeft"/>
      <selection pane="bottomRight"/>
    </sheetView>
  </sheetViews>
  <sheetFormatPr baseColWidth="10" defaultColWidth="8.83203125" defaultRowHeight="15" x14ac:dyDescent="0.2"/>
  <cols>
    <col min="1" max="1" width="42" customWidth="1"/>
    <col min="2" max="2" width="13.5" customWidth="1"/>
    <col min="3" max="3" width="10" customWidth="1"/>
    <col min="4" max="4" width="22" customWidth="1"/>
    <col min="5" max="5" width="10" customWidth="1"/>
    <col min="6" max="6" width="20.1640625" customWidth="1"/>
    <col min="7" max="7" width="10" customWidth="1"/>
    <col min="8" max="8" width="12.5" customWidth="1"/>
    <col min="9" max="9" width="17.1640625" customWidth="1"/>
    <col min="10" max="10" width="10" customWidth="1"/>
    <col min="11" max="15" width="42" customWidth="1"/>
    <col min="16" max="17" width="13.5" customWidth="1"/>
    <col min="18" max="18" width="42" customWidth="1"/>
    <col min="19" max="19" width="13.5" customWidth="1"/>
    <col min="20" max="20" width="25.83203125" customWidth="1"/>
    <col min="21" max="24" width="42" customWidth="1"/>
  </cols>
  <sheetData>
    <row r="1" spans="1:24" ht="34" customHeight="1" x14ac:dyDescent="0.2">
      <c r="A1" s="79" t="s">
        <v>1906</v>
      </c>
      <c r="B1" s="76"/>
      <c r="C1" s="76"/>
      <c r="D1" s="76"/>
      <c r="E1" s="76"/>
      <c r="F1" s="76"/>
      <c r="G1" s="76"/>
      <c r="H1" s="76"/>
      <c r="I1" s="76"/>
      <c r="J1" s="76"/>
      <c r="K1" s="76"/>
      <c r="L1" s="76"/>
      <c r="M1" s="76"/>
      <c r="N1" s="76"/>
      <c r="O1" s="76"/>
      <c r="P1" s="76"/>
      <c r="Q1" s="76"/>
      <c r="R1" s="76"/>
      <c r="S1" s="76"/>
      <c r="T1" s="76"/>
      <c r="U1" s="76"/>
      <c r="V1" s="76"/>
      <c r="W1" s="76"/>
      <c r="X1" s="76"/>
    </row>
    <row r="2" spans="1:24" ht="28" customHeight="1" x14ac:dyDescent="0.2">
      <c r="A2" s="86" t="s">
        <v>1907</v>
      </c>
      <c r="B2" s="76"/>
      <c r="C2" s="76"/>
      <c r="D2" s="76"/>
      <c r="E2" s="76"/>
      <c r="F2" s="76"/>
      <c r="G2" s="76"/>
      <c r="H2" s="76"/>
      <c r="I2" s="76"/>
      <c r="J2" s="76"/>
      <c r="K2" s="76"/>
      <c r="L2" s="76"/>
      <c r="M2" s="76"/>
      <c r="N2" s="76"/>
      <c r="O2" s="76"/>
      <c r="P2" s="76"/>
      <c r="Q2" s="76"/>
      <c r="R2" s="76"/>
      <c r="S2" s="76"/>
      <c r="T2" s="76"/>
      <c r="U2" s="76"/>
      <c r="V2" s="76"/>
      <c r="W2" s="76"/>
      <c r="X2" s="76"/>
    </row>
    <row r="3" spans="1:24" ht="42" customHeight="1" x14ac:dyDescent="0.2">
      <c r="A3" s="48" t="s">
        <v>94</v>
      </c>
      <c r="B3" s="48" t="s">
        <v>1908</v>
      </c>
      <c r="C3" s="48" t="s">
        <v>1909</v>
      </c>
      <c r="D3" s="48" t="s">
        <v>1910</v>
      </c>
      <c r="E3" s="48" t="s">
        <v>1911</v>
      </c>
      <c r="F3" s="48" t="s">
        <v>1912</v>
      </c>
      <c r="G3" s="48" t="s">
        <v>1913</v>
      </c>
      <c r="H3" s="48" t="s">
        <v>1914</v>
      </c>
      <c r="I3" s="48" t="s">
        <v>1915</v>
      </c>
      <c r="J3" s="48" t="s">
        <v>1916</v>
      </c>
      <c r="K3" s="48" t="s">
        <v>1917</v>
      </c>
      <c r="L3" s="48" t="s">
        <v>1767</v>
      </c>
      <c r="M3" s="48" t="s">
        <v>1749</v>
      </c>
      <c r="N3" s="48" t="s">
        <v>1759</v>
      </c>
      <c r="O3" s="48" t="s">
        <v>1918</v>
      </c>
      <c r="P3" s="48" t="s">
        <v>1919</v>
      </c>
      <c r="Q3" s="48" t="s">
        <v>1920</v>
      </c>
      <c r="R3" s="48" t="s">
        <v>1921</v>
      </c>
      <c r="S3" s="48" t="s">
        <v>1082</v>
      </c>
      <c r="T3" s="48" t="s">
        <v>706</v>
      </c>
      <c r="U3" s="48" t="s">
        <v>1281</v>
      </c>
      <c r="V3" s="48" t="s">
        <v>1838</v>
      </c>
      <c r="W3" s="48" t="s">
        <v>1922</v>
      </c>
      <c r="X3" s="48" t="s">
        <v>1923</v>
      </c>
    </row>
    <row r="4" spans="1:24" ht="87" customHeight="1" x14ac:dyDescent="0.2">
      <c r="A4" s="42" t="s">
        <v>109</v>
      </c>
      <c r="B4" s="42">
        <v>0</v>
      </c>
      <c r="C4" s="42">
        <v>5</v>
      </c>
      <c r="D4" s="42">
        <v>0</v>
      </c>
      <c r="E4" s="42">
        <v>5</v>
      </c>
      <c r="F4" s="42">
        <v>0</v>
      </c>
      <c r="G4" s="42">
        <v>5</v>
      </c>
      <c r="H4" s="42">
        <v>0</v>
      </c>
      <c r="I4" s="42">
        <v>5</v>
      </c>
      <c r="J4" s="42">
        <v>5</v>
      </c>
      <c r="K4" s="42">
        <f t="shared" ref="K4:K33" si="0">IF(AND(ISNUMBER(B4),ISNUMBER(C4),C4&gt;0),B4/C4,"")</f>
        <v>0</v>
      </c>
      <c r="L4" s="42" t="str">
        <f t="shared" ref="L4:L33" si="1">IF(AND(ISNUMBER(B4),ISNUMBER(C4),ISNUMBER(J4)),IF(J4=C4-B4,"OK","FAIL"),"N/A")</f>
        <v>OK</v>
      </c>
      <c r="M4" s="42" t="str">
        <f t="shared" ref="M4:M33" si="2">IF(AND(ISNUMBER(D4),ISNUMBER(B4)),IF(D4&lt;=B4,"OK","FAIL"),"N/A")</f>
        <v>OK</v>
      </c>
      <c r="N4" s="42" t="str">
        <f t="shared" ref="N4:N33" si="3">IF(AND(ISNUMBER(E4),ISNUMBER(F4),ISNUMBER(G4)),IF(E4=G4-F4,"OK","FAIL"),"N/A")</f>
        <v>OK</v>
      </c>
      <c r="O4" s="42" t="str">
        <f t="shared" ref="O4:O33" si="4">IF(AND(ISNUMBER(H4),ISNUMBER(B4)),IF(H4&gt;=B4,"OK","FAIL"),"N/A")</f>
        <v>OK</v>
      </c>
      <c r="P4" s="42">
        <v>0</v>
      </c>
      <c r="Q4" s="42">
        <v>5</v>
      </c>
      <c r="R4" s="42">
        <f t="shared" ref="R4:R33" si="5">IF(AND(ISNUMBER(P4),ISNUMBER(Q4),Q4&gt;0),P4/Q4,"")</f>
        <v>0</v>
      </c>
      <c r="S4" s="42" t="s">
        <v>817</v>
      </c>
      <c r="T4" s="44" t="s">
        <v>824</v>
      </c>
      <c r="U4" s="42" t="s">
        <v>113</v>
      </c>
      <c r="V4" s="42" t="s">
        <v>114</v>
      </c>
      <c r="W4" s="42" t="s">
        <v>1924</v>
      </c>
      <c r="X4" s="42" t="s">
        <v>1013</v>
      </c>
    </row>
    <row r="5" spans="1:24" ht="87" customHeight="1" x14ac:dyDescent="0.2">
      <c r="A5" s="50" t="s">
        <v>117</v>
      </c>
      <c r="B5" s="50">
        <v>2</v>
      </c>
      <c r="C5" s="50">
        <v>5</v>
      </c>
      <c r="D5" s="50">
        <v>2</v>
      </c>
      <c r="E5" s="50">
        <v>4</v>
      </c>
      <c r="F5" s="50">
        <v>0</v>
      </c>
      <c r="G5" s="50">
        <v>4</v>
      </c>
      <c r="H5" s="50">
        <v>2</v>
      </c>
      <c r="I5" s="50">
        <v>5</v>
      </c>
      <c r="J5" s="50">
        <v>3</v>
      </c>
      <c r="K5" s="50">
        <f t="shared" si="0"/>
        <v>0.4</v>
      </c>
      <c r="L5" s="50" t="str">
        <f t="shared" si="1"/>
        <v>OK</v>
      </c>
      <c r="M5" s="50" t="str">
        <f t="shared" si="2"/>
        <v>OK</v>
      </c>
      <c r="N5" s="50" t="str">
        <f t="shared" si="3"/>
        <v>OK</v>
      </c>
      <c r="O5" s="50" t="str">
        <f t="shared" si="4"/>
        <v>OK</v>
      </c>
      <c r="P5" s="50">
        <v>2</v>
      </c>
      <c r="Q5" s="50">
        <v>5</v>
      </c>
      <c r="R5" s="50">
        <f t="shared" si="5"/>
        <v>0.4</v>
      </c>
      <c r="S5" s="50" t="s">
        <v>843</v>
      </c>
      <c r="T5" s="46" t="s">
        <v>752</v>
      </c>
      <c r="U5" s="50" t="s">
        <v>113</v>
      </c>
      <c r="V5" s="50" t="s">
        <v>114</v>
      </c>
      <c r="W5" s="50" t="s">
        <v>1924</v>
      </c>
      <c r="X5" s="50" t="s">
        <v>1925</v>
      </c>
    </row>
    <row r="6" spans="1:24" ht="130.5" customHeight="1" x14ac:dyDescent="0.2">
      <c r="A6" s="42" t="s">
        <v>126</v>
      </c>
      <c r="B6" s="42">
        <v>3</v>
      </c>
      <c r="C6" s="42">
        <v>5</v>
      </c>
      <c r="D6" s="42">
        <v>3</v>
      </c>
      <c r="E6" s="42">
        <v>4</v>
      </c>
      <c r="F6" s="42">
        <v>0</v>
      </c>
      <c r="G6" s="42">
        <v>4</v>
      </c>
      <c r="H6" s="42">
        <v>3</v>
      </c>
      <c r="I6" s="42">
        <v>5</v>
      </c>
      <c r="J6" s="42">
        <v>2</v>
      </c>
      <c r="K6" s="42">
        <f t="shared" si="0"/>
        <v>0.6</v>
      </c>
      <c r="L6" s="42" t="str">
        <f t="shared" si="1"/>
        <v>OK</v>
      </c>
      <c r="M6" s="42" t="str">
        <f t="shared" si="2"/>
        <v>OK</v>
      </c>
      <c r="N6" s="42" t="str">
        <f t="shared" si="3"/>
        <v>OK</v>
      </c>
      <c r="O6" s="42" t="str">
        <f t="shared" si="4"/>
        <v>OK</v>
      </c>
      <c r="P6" s="42">
        <v>3</v>
      </c>
      <c r="Q6" s="42">
        <v>5</v>
      </c>
      <c r="R6" s="42">
        <f t="shared" si="5"/>
        <v>0.6</v>
      </c>
      <c r="S6" s="42" t="s">
        <v>817</v>
      </c>
      <c r="T6" s="45" t="s">
        <v>836</v>
      </c>
      <c r="U6" s="42" t="s">
        <v>129</v>
      </c>
      <c r="V6" s="42" t="s">
        <v>114</v>
      </c>
      <c r="W6" s="42" t="s">
        <v>1924</v>
      </c>
      <c r="X6" s="42" t="s">
        <v>1017</v>
      </c>
    </row>
    <row r="7" spans="1:24" ht="72.5" customHeight="1" x14ac:dyDescent="0.2">
      <c r="A7" s="50" t="s">
        <v>131</v>
      </c>
      <c r="B7" s="50">
        <v>0</v>
      </c>
      <c r="C7" s="50">
        <v>5</v>
      </c>
      <c r="D7" s="50">
        <v>0</v>
      </c>
      <c r="E7" s="50">
        <v>5</v>
      </c>
      <c r="F7" s="50">
        <v>0</v>
      </c>
      <c r="G7" s="50">
        <v>5</v>
      </c>
      <c r="H7" s="50">
        <v>0</v>
      </c>
      <c r="I7" s="50">
        <v>5</v>
      </c>
      <c r="J7" s="50">
        <v>5</v>
      </c>
      <c r="K7" s="50">
        <f t="shared" si="0"/>
        <v>0</v>
      </c>
      <c r="L7" s="50" t="str">
        <f t="shared" si="1"/>
        <v>OK</v>
      </c>
      <c r="M7" s="50" t="str">
        <f t="shared" si="2"/>
        <v>OK</v>
      </c>
      <c r="N7" s="50" t="str">
        <f t="shared" si="3"/>
        <v>OK</v>
      </c>
      <c r="O7" s="50" t="str">
        <f t="shared" si="4"/>
        <v>OK</v>
      </c>
      <c r="P7" s="50">
        <v>1</v>
      </c>
      <c r="Q7" s="50">
        <v>5</v>
      </c>
      <c r="R7" s="50">
        <f t="shared" si="5"/>
        <v>0.2</v>
      </c>
      <c r="S7" s="50" t="s">
        <v>817</v>
      </c>
      <c r="T7" s="45" t="s">
        <v>836</v>
      </c>
      <c r="U7" s="50" t="s">
        <v>1019</v>
      </c>
      <c r="V7" s="50" t="s">
        <v>114</v>
      </c>
      <c r="W7" s="50" t="s">
        <v>1926</v>
      </c>
      <c r="X7" s="50" t="s">
        <v>1927</v>
      </c>
    </row>
    <row r="8" spans="1:24" ht="145" customHeight="1" x14ac:dyDescent="0.2">
      <c r="A8" s="42" t="s">
        <v>135</v>
      </c>
      <c r="B8" s="42">
        <v>2</v>
      </c>
      <c r="C8" s="42">
        <v>3</v>
      </c>
      <c r="D8" s="42">
        <v>2</v>
      </c>
      <c r="E8" s="42">
        <v>3</v>
      </c>
      <c r="F8" s="42">
        <v>0</v>
      </c>
      <c r="G8" s="42">
        <v>3</v>
      </c>
      <c r="H8" s="42">
        <v>2</v>
      </c>
      <c r="I8" s="42">
        <v>4</v>
      </c>
      <c r="J8" s="42">
        <v>1</v>
      </c>
      <c r="K8" s="42">
        <f t="shared" si="0"/>
        <v>0.66666666666666663</v>
      </c>
      <c r="L8" s="42" t="str">
        <f t="shared" si="1"/>
        <v>OK</v>
      </c>
      <c r="M8" s="42" t="str">
        <f t="shared" si="2"/>
        <v>OK</v>
      </c>
      <c r="N8" s="42" t="str">
        <f t="shared" si="3"/>
        <v>OK</v>
      </c>
      <c r="O8" s="42" t="str">
        <f t="shared" si="4"/>
        <v>OK</v>
      </c>
      <c r="P8" s="42">
        <v>2</v>
      </c>
      <c r="Q8" s="42">
        <v>3</v>
      </c>
      <c r="R8" s="42">
        <f t="shared" si="5"/>
        <v>0.66666666666666663</v>
      </c>
      <c r="S8" s="42" t="s">
        <v>817</v>
      </c>
      <c r="T8" s="46" t="s">
        <v>752</v>
      </c>
      <c r="U8" s="42" t="s">
        <v>136</v>
      </c>
      <c r="V8" s="42" t="s">
        <v>114</v>
      </c>
      <c r="W8" s="42" t="s">
        <v>1924</v>
      </c>
      <c r="X8" s="42" t="s">
        <v>1020</v>
      </c>
    </row>
    <row r="9" spans="1:24" ht="203" customHeight="1" x14ac:dyDescent="0.2">
      <c r="A9" s="50" t="s">
        <v>137</v>
      </c>
      <c r="B9" s="50">
        <v>2</v>
      </c>
      <c r="C9" s="50">
        <v>5</v>
      </c>
      <c r="D9" s="50">
        <v>0</v>
      </c>
      <c r="E9" s="50">
        <v>3</v>
      </c>
      <c r="F9" s="50">
        <v>2</v>
      </c>
      <c r="G9" s="50">
        <v>5</v>
      </c>
      <c r="H9" s="50">
        <v>2</v>
      </c>
      <c r="I9" s="50">
        <v>5</v>
      </c>
      <c r="J9" s="50">
        <v>3</v>
      </c>
      <c r="K9" s="50">
        <f t="shared" si="0"/>
        <v>0.4</v>
      </c>
      <c r="L9" s="50" t="str">
        <f t="shared" si="1"/>
        <v>OK</v>
      </c>
      <c r="M9" s="50" t="str">
        <f t="shared" si="2"/>
        <v>OK</v>
      </c>
      <c r="N9" s="50" t="str">
        <f t="shared" si="3"/>
        <v>OK</v>
      </c>
      <c r="O9" s="50" t="str">
        <f t="shared" si="4"/>
        <v>OK</v>
      </c>
      <c r="P9" s="50">
        <v>2</v>
      </c>
      <c r="Q9" s="50">
        <v>5</v>
      </c>
      <c r="R9" s="50">
        <f t="shared" si="5"/>
        <v>0.4</v>
      </c>
      <c r="S9" s="50" t="s">
        <v>817</v>
      </c>
      <c r="T9" s="44" t="s">
        <v>824</v>
      </c>
      <c r="U9" s="50" t="s">
        <v>1025</v>
      </c>
      <c r="V9" s="50" t="s">
        <v>139</v>
      </c>
      <c r="W9" s="50" t="s">
        <v>1928</v>
      </c>
      <c r="X9" s="50" t="s">
        <v>1024</v>
      </c>
    </row>
    <row r="10" spans="1:24" ht="145" customHeight="1" x14ac:dyDescent="0.2">
      <c r="A10" s="42" t="s">
        <v>140</v>
      </c>
      <c r="B10" s="42">
        <v>3</v>
      </c>
      <c r="C10" s="42">
        <v>5</v>
      </c>
      <c r="D10" s="42">
        <v>3</v>
      </c>
      <c r="E10" s="42">
        <v>5</v>
      </c>
      <c r="F10" s="42">
        <v>0</v>
      </c>
      <c r="G10" s="42">
        <v>5</v>
      </c>
      <c r="H10" s="42">
        <v>3</v>
      </c>
      <c r="I10" s="42">
        <v>5</v>
      </c>
      <c r="J10" s="42">
        <v>2</v>
      </c>
      <c r="K10" s="42">
        <f t="shared" si="0"/>
        <v>0.6</v>
      </c>
      <c r="L10" s="42" t="str">
        <f t="shared" si="1"/>
        <v>OK</v>
      </c>
      <c r="M10" s="42" t="str">
        <f t="shared" si="2"/>
        <v>OK</v>
      </c>
      <c r="N10" s="42" t="str">
        <f t="shared" si="3"/>
        <v>OK</v>
      </c>
      <c r="O10" s="42" t="str">
        <f t="shared" si="4"/>
        <v>OK</v>
      </c>
      <c r="P10" s="42">
        <v>3</v>
      </c>
      <c r="Q10" s="42">
        <v>5</v>
      </c>
      <c r="R10" s="42">
        <f t="shared" si="5"/>
        <v>0.6</v>
      </c>
      <c r="S10" s="42" t="s">
        <v>817</v>
      </c>
      <c r="T10" s="44" t="s">
        <v>824</v>
      </c>
      <c r="U10" s="42" t="s">
        <v>141</v>
      </c>
      <c r="V10" s="42" t="s">
        <v>142</v>
      </c>
      <c r="W10" s="42" t="s">
        <v>1929</v>
      </c>
      <c r="X10" s="42" t="s">
        <v>1027</v>
      </c>
    </row>
    <row r="11" spans="1:24" ht="145" customHeight="1" x14ac:dyDescent="0.2">
      <c r="A11" s="50" t="s">
        <v>143</v>
      </c>
      <c r="B11" s="50">
        <v>1</v>
      </c>
      <c r="C11" s="50">
        <v>5</v>
      </c>
      <c r="D11" s="50">
        <v>1</v>
      </c>
      <c r="E11" s="50">
        <v>5</v>
      </c>
      <c r="F11" s="50">
        <v>0</v>
      </c>
      <c r="G11" s="50">
        <v>5</v>
      </c>
      <c r="H11" s="50">
        <v>1</v>
      </c>
      <c r="I11" s="50">
        <v>5</v>
      </c>
      <c r="J11" s="50">
        <v>4</v>
      </c>
      <c r="K11" s="50">
        <f t="shared" si="0"/>
        <v>0.2</v>
      </c>
      <c r="L11" s="50" t="str">
        <f t="shared" si="1"/>
        <v>OK</v>
      </c>
      <c r="M11" s="50" t="str">
        <f t="shared" si="2"/>
        <v>OK</v>
      </c>
      <c r="N11" s="50" t="str">
        <f t="shared" si="3"/>
        <v>OK</v>
      </c>
      <c r="O11" s="50" t="str">
        <f t="shared" si="4"/>
        <v>OK</v>
      </c>
      <c r="P11" s="50">
        <v>1</v>
      </c>
      <c r="Q11" s="50">
        <v>5</v>
      </c>
      <c r="R11" s="50">
        <f t="shared" si="5"/>
        <v>0.2</v>
      </c>
      <c r="S11" s="50" t="s">
        <v>921</v>
      </c>
      <c r="T11" s="44" t="s">
        <v>824</v>
      </c>
      <c r="U11" s="50" t="s">
        <v>144</v>
      </c>
      <c r="V11" s="50" t="s">
        <v>145</v>
      </c>
      <c r="W11" s="50" t="s">
        <v>1924</v>
      </c>
      <c r="X11" s="50" t="s">
        <v>1028</v>
      </c>
    </row>
    <row r="12" spans="1:24" ht="145" customHeight="1" x14ac:dyDescent="0.2">
      <c r="A12" s="42" t="s">
        <v>20</v>
      </c>
      <c r="B12" s="42">
        <v>1</v>
      </c>
      <c r="C12" s="42">
        <v>5</v>
      </c>
      <c r="D12" s="43"/>
      <c r="E12" s="43"/>
      <c r="F12" s="43"/>
      <c r="G12" s="43"/>
      <c r="H12" s="42">
        <v>0</v>
      </c>
      <c r="I12" s="42">
        <v>4</v>
      </c>
      <c r="J12" s="42">
        <v>4</v>
      </c>
      <c r="K12" s="42">
        <f t="shared" si="0"/>
        <v>0.2</v>
      </c>
      <c r="L12" s="42" t="str">
        <f t="shared" si="1"/>
        <v>OK</v>
      </c>
      <c r="M12" s="42" t="str">
        <f t="shared" si="2"/>
        <v>N/A</v>
      </c>
      <c r="N12" s="42" t="str">
        <f t="shared" si="3"/>
        <v>N/A</v>
      </c>
      <c r="O12" s="42" t="str">
        <f t="shared" si="4"/>
        <v>FAIL</v>
      </c>
      <c r="P12" s="42">
        <v>1</v>
      </c>
      <c r="Q12" s="42">
        <v>5</v>
      </c>
      <c r="R12" s="42">
        <f t="shared" si="5"/>
        <v>0.2</v>
      </c>
      <c r="S12" s="42" t="s">
        <v>817</v>
      </c>
      <c r="T12" s="46" t="s">
        <v>752</v>
      </c>
      <c r="U12" s="42" t="s">
        <v>1034</v>
      </c>
      <c r="V12" s="42" t="s">
        <v>114</v>
      </c>
      <c r="W12" s="42" t="s">
        <v>1930</v>
      </c>
      <c r="X12" s="42" t="s">
        <v>1931</v>
      </c>
    </row>
    <row r="13" spans="1:24" ht="174" customHeight="1" x14ac:dyDescent="0.2">
      <c r="A13" s="50" t="s">
        <v>151</v>
      </c>
      <c r="B13" s="50">
        <v>2</v>
      </c>
      <c r="C13" s="50">
        <v>5</v>
      </c>
      <c r="D13" s="50">
        <v>1</v>
      </c>
      <c r="E13" s="50">
        <v>1</v>
      </c>
      <c r="F13" s="50">
        <v>4</v>
      </c>
      <c r="G13" s="50">
        <v>5</v>
      </c>
      <c r="H13" s="50">
        <v>2</v>
      </c>
      <c r="I13" s="50">
        <v>5</v>
      </c>
      <c r="J13" s="50">
        <v>3</v>
      </c>
      <c r="K13" s="50">
        <f t="shared" si="0"/>
        <v>0.4</v>
      </c>
      <c r="L13" s="50" t="str">
        <f t="shared" si="1"/>
        <v>OK</v>
      </c>
      <c r="M13" s="50" t="str">
        <f t="shared" si="2"/>
        <v>OK</v>
      </c>
      <c r="N13" s="50" t="str">
        <f t="shared" si="3"/>
        <v>OK</v>
      </c>
      <c r="O13" s="50" t="str">
        <f t="shared" si="4"/>
        <v>OK</v>
      </c>
      <c r="P13" s="50">
        <v>2</v>
      </c>
      <c r="Q13" s="50">
        <v>5</v>
      </c>
      <c r="R13" s="50">
        <f t="shared" si="5"/>
        <v>0.4</v>
      </c>
      <c r="S13" s="50" t="s">
        <v>817</v>
      </c>
      <c r="T13" s="44" t="s">
        <v>824</v>
      </c>
      <c r="U13" s="50" t="s">
        <v>153</v>
      </c>
      <c r="V13" s="50" t="s">
        <v>154</v>
      </c>
      <c r="W13" s="50" t="s">
        <v>1929</v>
      </c>
      <c r="X13" s="50" t="s">
        <v>1035</v>
      </c>
    </row>
    <row r="14" spans="1:24" ht="130.5" customHeight="1" x14ac:dyDescent="0.2">
      <c r="A14" s="42" t="s">
        <v>157</v>
      </c>
      <c r="B14" s="42">
        <v>4</v>
      </c>
      <c r="C14" s="42">
        <v>5</v>
      </c>
      <c r="D14" s="42">
        <v>3</v>
      </c>
      <c r="E14" s="42">
        <v>4</v>
      </c>
      <c r="F14" s="42">
        <v>1</v>
      </c>
      <c r="G14" s="42">
        <v>5</v>
      </c>
      <c r="H14" s="42">
        <v>4</v>
      </c>
      <c r="I14" s="42">
        <v>5</v>
      </c>
      <c r="J14" s="42">
        <v>1</v>
      </c>
      <c r="K14" s="42">
        <f t="shared" si="0"/>
        <v>0.8</v>
      </c>
      <c r="L14" s="42" t="str">
        <f t="shared" si="1"/>
        <v>OK</v>
      </c>
      <c r="M14" s="42" t="str">
        <f t="shared" si="2"/>
        <v>OK</v>
      </c>
      <c r="N14" s="42" t="str">
        <f t="shared" si="3"/>
        <v>OK</v>
      </c>
      <c r="O14" s="42" t="str">
        <f t="shared" si="4"/>
        <v>OK</v>
      </c>
      <c r="P14" s="42">
        <v>4</v>
      </c>
      <c r="Q14" s="42">
        <v>5</v>
      </c>
      <c r="R14" s="42">
        <f t="shared" si="5"/>
        <v>0.8</v>
      </c>
      <c r="S14" s="42" t="s">
        <v>817</v>
      </c>
      <c r="T14" s="44" t="s">
        <v>824</v>
      </c>
      <c r="U14" s="42" t="s">
        <v>158</v>
      </c>
      <c r="V14" s="42" t="s">
        <v>114</v>
      </c>
      <c r="W14" s="42" t="s">
        <v>1932</v>
      </c>
      <c r="X14" s="42" t="s">
        <v>1037</v>
      </c>
    </row>
    <row r="15" spans="1:24" ht="116" customHeight="1" x14ac:dyDescent="0.2">
      <c r="A15" s="50" t="s">
        <v>159</v>
      </c>
      <c r="B15" s="50">
        <v>3</v>
      </c>
      <c r="C15" s="50">
        <v>5</v>
      </c>
      <c r="D15" s="50">
        <v>3</v>
      </c>
      <c r="E15" s="50">
        <v>5</v>
      </c>
      <c r="F15" s="50">
        <v>0</v>
      </c>
      <c r="G15" s="50">
        <v>5</v>
      </c>
      <c r="H15" s="50">
        <v>3</v>
      </c>
      <c r="I15" s="50">
        <v>5</v>
      </c>
      <c r="J15" s="50">
        <v>2</v>
      </c>
      <c r="K15" s="50">
        <f t="shared" si="0"/>
        <v>0.6</v>
      </c>
      <c r="L15" s="50" t="str">
        <f t="shared" si="1"/>
        <v>OK</v>
      </c>
      <c r="M15" s="50" t="str">
        <f t="shared" si="2"/>
        <v>OK</v>
      </c>
      <c r="N15" s="50" t="str">
        <f t="shared" si="3"/>
        <v>OK</v>
      </c>
      <c r="O15" s="50" t="str">
        <f t="shared" si="4"/>
        <v>OK</v>
      </c>
      <c r="P15" s="50">
        <v>3</v>
      </c>
      <c r="Q15" s="50">
        <v>5</v>
      </c>
      <c r="R15" s="50">
        <f t="shared" si="5"/>
        <v>0.6</v>
      </c>
      <c r="S15" s="50" t="s">
        <v>921</v>
      </c>
      <c r="T15" s="44" t="s">
        <v>824</v>
      </c>
      <c r="U15" s="50" t="s">
        <v>160</v>
      </c>
      <c r="V15" s="50" t="s">
        <v>161</v>
      </c>
      <c r="W15" s="50" t="s">
        <v>1933</v>
      </c>
      <c r="X15" s="50" t="s">
        <v>1040</v>
      </c>
    </row>
    <row r="16" spans="1:24" ht="116" customHeight="1" x14ac:dyDescent="0.2">
      <c r="A16" s="42" t="s">
        <v>162</v>
      </c>
      <c r="B16" s="42">
        <v>1</v>
      </c>
      <c r="C16" s="42">
        <v>5</v>
      </c>
      <c r="D16" s="42">
        <v>1</v>
      </c>
      <c r="E16" s="42">
        <v>5</v>
      </c>
      <c r="F16" s="42">
        <v>0</v>
      </c>
      <c r="G16" s="42">
        <v>5</v>
      </c>
      <c r="H16" s="42">
        <v>1</v>
      </c>
      <c r="I16" s="42">
        <v>5</v>
      </c>
      <c r="J16" s="42">
        <v>4</v>
      </c>
      <c r="K16" s="42">
        <f t="shared" si="0"/>
        <v>0.2</v>
      </c>
      <c r="L16" s="42" t="str">
        <f t="shared" si="1"/>
        <v>OK</v>
      </c>
      <c r="M16" s="42" t="str">
        <f t="shared" si="2"/>
        <v>OK</v>
      </c>
      <c r="N16" s="42" t="str">
        <f t="shared" si="3"/>
        <v>OK</v>
      </c>
      <c r="O16" s="42" t="str">
        <f t="shared" si="4"/>
        <v>OK</v>
      </c>
      <c r="P16" s="42">
        <v>1</v>
      </c>
      <c r="Q16" s="42">
        <v>5</v>
      </c>
      <c r="R16" s="42">
        <f t="shared" si="5"/>
        <v>0.2</v>
      </c>
      <c r="S16" s="42" t="s">
        <v>921</v>
      </c>
      <c r="T16" s="44" t="s">
        <v>824</v>
      </c>
      <c r="U16" s="42" t="s">
        <v>163</v>
      </c>
      <c r="V16" s="42" t="s">
        <v>164</v>
      </c>
      <c r="W16" s="42" t="s">
        <v>1933</v>
      </c>
      <c r="X16" s="42" t="s">
        <v>1041</v>
      </c>
    </row>
    <row r="17" spans="1:24" ht="116" customHeight="1" x14ac:dyDescent="0.2">
      <c r="A17" s="50" t="s">
        <v>165</v>
      </c>
      <c r="B17" s="50">
        <v>2</v>
      </c>
      <c r="C17" s="50">
        <v>5</v>
      </c>
      <c r="D17" s="50">
        <v>2</v>
      </c>
      <c r="E17" s="50">
        <v>5</v>
      </c>
      <c r="F17" s="50">
        <v>0</v>
      </c>
      <c r="G17" s="50">
        <v>5</v>
      </c>
      <c r="H17" s="50">
        <v>2</v>
      </c>
      <c r="I17" s="50">
        <v>5</v>
      </c>
      <c r="J17" s="50">
        <v>3</v>
      </c>
      <c r="K17" s="50">
        <f t="shared" si="0"/>
        <v>0.4</v>
      </c>
      <c r="L17" s="50" t="str">
        <f t="shared" si="1"/>
        <v>OK</v>
      </c>
      <c r="M17" s="50" t="str">
        <f t="shared" si="2"/>
        <v>OK</v>
      </c>
      <c r="N17" s="50" t="str">
        <f t="shared" si="3"/>
        <v>OK</v>
      </c>
      <c r="O17" s="50" t="str">
        <f t="shared" si="4"/>
        <v>OK</v>
      </c>
      <c r="P17" s="50">
        <v>2</v>
      </c>
      <c r="Q17" s="50">
        <v>5</v>
      </c>
      <c r="R17" s="50">
        <f t="shared" si="5"/>
        <v>0.4</v>
      </c>
      <c r="S17" s="50" t="s">
        <v>921</v>
      </c>
      <c r="T17" s="44" t="s">
        <v>824</v>
      </c>
      <c r="U17" s="50" t="s">
        <v>166</v>
      </c>
      <c r="V17" s="50" t="s">
        <v>167</v>
      </c>
      <c r="W17" s="50" t="s">
        <v>1933</v>
      </c>
      <c r="X17" s="50" t="s">
        <v>1041</v>
      </c>
    </row>
    <row r="18" spans="1:24" ht="145" customHeight="1" x14ac:dyDescent="0.2">
      <c r="A18" s="42" t="s">
        <v>168</v>
      </c>
      <c r="B18" s="42">
        <v>4</v>
      </c>
      <c r="C18" s="42">
        <v>5</v>
      </c>
      <c r="D18" s="42">
        <v>1</v>
      </c>
      <c r="E18" s="42">
        <v>1</v>
      </c>
      <c r="F18" s="42">
        <v>4</v>
      </c>
      <c r="G18" s="42">
        <v>5</v>
      </c>
      <c r="H18" s="42">
        <v>4</v>
      </c>
      <c r="I18" s="42">
        <v>5</v>
      </c>
      <c r="J18" s="42">
        <v>1</v>
      </c>
      <c r="K18" s="42">
        <f t="shared" si="0"/>
        <v>0.8</v>
      </c>
      <c r="L18" s="42" t="str">
        <f t="shared" si="1"/>
        <v>OK</v>
      </c>
      <c r="M18" s="42" t="str">
        <f t="shared" si="2"/>
        <v>OK</v>
      </c>
      <c r="N18" s="42" t="str">
        <f t="shared" si="3"/>
        <v>OK</v>
      </c>
      <c r="O18" s="42" t="str">
        <f t="shared" si="4"/>
        <v>OK</v>
      </c>
      <c r="P18" s="42">
        <v>4</v>
      </c>
      <c r="Q18" s="42">
        <v>5</v>
      </c>
      <c r="R18" s="42">
        <f t="shared" si="5"/>
        <v>0.8</v>
      </c>
      <c r="S18" s="42" t="s">
        <v>817</v>
      </c>
      <c r="T18" s="44" t="s">
        <v>824</v>
      </c>
      <c r="U18" s="42" t="s">
        <v>169</v>
      </c>
      <c r="V18" s="42" t="s">
        <v>170</v>
      </c>
      <c r="W18" s="42" t="s">
        <v>1934</v>
      </c>
      <c r="X18" s="42" t="s">
        <v>1044</v>
      </c>
    </row>
    <row r="19" spans="1:24" ht="130.5" customHeight="1" x14ac:dyDescent="0.2">
      <c r="A19" s="50" t="s">
        <v>171</v>
      </c>
      <c r="B19" s="50">
        <v>2</v>
      </c>
      <c r="C19" s="50">
        <v>5</v>
      </c>
      <c r="D19" s="50">
        <v>1</v>
      </c>
      <c r="E19" s="50">
        <v>4</v>
      </c>
      <c r="F19" s="50">
        <v>1</v>
      </c>
      <c r="G19" s="50">
        <v>5</v>
      </c>
      <c r="H19" s="50">
        <v>2</v>
      </c>
      <c r="I19" s="50">
        <v>5</v>
      </c>
      <c r="J19" s="50">
        <v>3</v>
      </c>
      <c r="K19" s="50">
        <f t="shared" si="0"/>
        <v>0.4</v>
      </c>
      <c r="L19" s="50" t="str">
        <f t="shared" si="1"/>
        <v>OK</v>
      </c>
      <c r="M19" s="50" t="str">
        <f t="shared" si="2"/>
        <v>OK</v>
      </c>
      <c r="N19" s="50" t="str">
        <f t="shared" si="3"/>
        <v>OK</v>
      </c>
      <c r="O19" s="50" t="str">
        <f t="shared" si="4"/>
        <v>OK</v>
      </c>
      <c r="P19" s="50">
        <v>2</v>
      </c>
      <c r="Q19" s="50">
        <v>5</v>
      </c>
      <c r="R19" s="50">
        <f t="shared" si="5"/>
        <v>0.4</v>
      </c>
      <c r="S19" s="50" t="s">
        <v>921</v>
      </c>
      <c r="T19" s="44" t="s">
        <v>824</v>
      </c>
      <c r="U19" s="50" t="s">
        <v>172</v>
      </c>
      <c r="V19" s="50" t="s">
        <v>173</v>
      </c>
      <c r="W19" s="50" t="s">
        <v>1935</v>
      </c>
      <c r="X19" s="50" t="s">
        <v>1047</v>
      </c>
    </row>
    <row r="20" spans="1:24" ht="116" customHeight="1" x14ac:dyDescent="0.2">
      <c r="A20" s="42" t="s">
        <v>174</v>
      </c>
      <c r="B20" s="42">
        <v>0</v>
      </c>
      <c r="C20" s="42">
        <v>4</v>
      </c>
      <c r="D20" s="42">
        <v>0</v>
      </c>
      <c r="E20" s="42">
        <v>4</v>
      </c>
      <c r="F20" s="42">
        <v>0</v>
      </c>
      <c r="G20" s="42">
        <v>5</v>
      </c>
      <c r="H20" s="42">
        <v>1</v>
      </c>
      <c r="I20" s="42">
        <v>5</v>
      </c>
      <c r="J20" s="42">
        <v>4</v>
      </c>
      <c r="K20" s="42">
        <f t="shared" si="0"/>
        <v>0</v>
      </c>
      <c r="L20" s="42" t="str">
        <f t="shared" si="1"/>
        <v>OK</v>
      </c>
      <c r="M20" s="42" t="str">
        <f t="shared" si="2"/>
        <v>OK</v>
      </c>
      <c r="N20" s="42" t="str">
        <f t="shared" si="3"/>
        <v>FAIL</v>
      </c>
      <c r="O20" s="42" t="str">
        <f t="shared" si="4"/>
        <v>OK</v>
      </c>
      <c r="P20" s="42">
        <v>0</v>
      </c>
      <c r="Q20" s="42">
        <v>4</v>
      </c>
      <c r="R20" s="42">
        <f t="shared" si="5"/>
        <v>0</v>
      </c>
      <c r="S20" s="42" t="s">
        <v>817</v>
      </c>
      <c r="T20" s="46" t="s">
        <v>752</v>
      </c>
      <c r="U20" s="42" t="s">
        <v>1049</v>
      </c>
      <c r="V20" s="42" t="s">
        <v>1848</v>
      </c>
      <c r="W20" s="42" t="s">
        <v>1934</v>
      </c>
      <c r="X20" s="42" t="s">
        <v>1936</v>
      </c>
    </row>
    <row r="21" spans="1:24" ht="116" customHeight="1" x14ac:dyDescent="0.2">
      <c r="A21" s="50" t="s">
        <v>179</v>
      </c>
      <c r="B21" s="50">
        <v>1</v>
      </c>
      <c r="C21" s="50">
        <v>5</v>
      </c>
      <c r="D21" s="50">
        <v>1</v>
      </c>
      <c r="E21" s="50">
        <v>5</v>
      </c>
      <c r="F21" s="50">
        <v>0</v>
      </c>
      <c r="G21" s="50">
        <v>5</v>
      </c>
      <c r="H21" s="50">
        <v>1</v>
      </c>
      <c r="I21" s="50">
        <v>5</v>
      </c>
      <c r="J21" s="50">
        <v>4</v>
      </c>
      <c r="K21" s="50">
        <f t="shared" si="0"/>
        <v>0.2</v>
      </c>
      <c r="L21" s="50" t="str">
        <f t="shared" si="1"/>
        <v>OK</v>
      </c>
      <c r="M21" s="50" t="str">
        <f t="shared" si="2"/>
        <v>OK</v>
      </c>
      <c r="N21" s="50" t="str">
        <f t="shared" si="3"/>
        <v>OK</v>
      </c>
      <c r="O21" s="50" t="str">
        <f t="shared" si="4"/>
        <v>OK</v>
      </c>
      <c r="P21" s="50">
        <v>1</v>
      </c>
      <c r="Q21" s="50">
        <v>5</v>
      </c>
      <c r="R21" s="50">
        <f t="shared" si="5"/>
        <v>0.2</v>
      </c>
      <c r="S21" s="50" t="s">
        <v>921</v>
      </c>
      <c r="T21" s="44" t="s">
        <v>824</v>
      </c>
      <c r="U21" s="50" t="s">
        <v>180</v>
      </c>
      <c r="V21" s="50" t="s">
        <v>181</v>
      </c>
      <c r="W21" s="50" t="s">
        <v>1933</v>
      </c>
      <c r="X21" s="50" t="s">
        <v>1050</v>
      </c>
    </row>
    <row r="22" spans="1:24" ht="116" customHeight="1" x14ac:dyDescent="0.2">
      <c r="A22" s="42" t="s">
        <v>182</v>
      </c>
      <c r="B22" s="42">
        <v>0</v>
      </c>
      <c r="C22" s="42">
        <v>5</v>
      </c>
      <c r="D22" s="43"/>
      <c r="E22" s="43"/>
      <c r="F22" s="43"/>
      <c r="G22" s="43"/>
      <c r="H22" s="42">
        <v>2</v>
      </c>
      <c r="I22" s="42">
        <v>7</v>
      </c>
      <c r="J22" s="42">
        <v>5</v>
      </c>
      <c r="K22" s="42">
        <f t="shared" si="0"/>
        <v>0</v>
      </c>
      <c r="L22" s="42" t="str">
        <f t="shared" si="1"/>
        <v>OK</v>
      </c>
      <c r="M22" s="42" t="str">
        <f t="shared" si="2"/>
        <v>N/A</v>
      </c>
      <c r="N22" s="42" t="str">
        <f t="shared" si="3"/>
        <v>N/A</v>
      </c>
      <c r="O22" s="42" t="str">
        <f t="shared" si="4"/>
        <v>OK</v>
      </c>
      <c r="P22" s="42">
        <v>0</v>
      </c>
      <c r="Q22" s="42">
        <v>5</v>
      </c>
      <c r="R22" s="42">
        <f t="shared" si="5"/>
        <v>0</v>
      </c>
      <c r="S22" s="42" t="s">
        <v>817</v>
      </c>
      <c r="T22" s="46" t="s">
        <v>752</v>
      </c>
      <c r="U22" s="42" t="s">
        <v>1052</v>
      </c>
      <c r="V22" s="42" t="s">
        <v>1849</v>
      </c>
      <c r="W22" s="42" t="s">
        <v>1935</v>
      </c>
      <c r="X22" s="42" t="s">
        <v>1937</v>
      </c>
    </row>
    <row r="23" spans="1:24" ht="174" customHeight="1" x14ac:dyDescent="0.2">
      <c r="A23" s="50" t="s">
        <v>187</v>
      </c>
      <c r="B23" s="50">
        <v>1</v>
      </c>
      <c r="C23" s="50">
        <v>5</v>
      </c>
      <c r="D23" s="50">
        <v>1</v>
      </c>
      <c r="E23" s="50">
        <v>3</v>
      </c>
      <c r="F23" s="50">
        <v>2</v>
      </c>
      <c r="G23" s="50">
        <v>5</v>
      </c>
      <c r="H23" s="50">
        <v>1</v>
      </c>
      <c r="I23" s="50">
        <v>5</v>
      </c>
      <c r="J23" s="50">
        <v>4</v>
      </c>
      <c r="K23" s="50">
        <f t="shared" si="0"/>
        <v>0.2</v>
      </c>
      <c r="L23" s="50" t="str">
        <f t="shared" si="1"/>
        <v>OK</v>
      </c>
      <c r="M23" s="50" t="str">
        <f t="shared" si="2"/>
        <v>OK</v>
      </c>
      <c r="N23" s="50" t="str">
        <f t="shared" si="3"/>
        <v>OK</v>
      </c>
      <c r="O23" s="50" t="str">
        <f t="shared" si="4"/>
        <v>OK</v>
      </c>
      <c r="P23" s="50">
        <v>1</v>
      </c>
      <c r="Q23" s="50">
        <v>5</v>
      </c>
      <c r="R23" s="50">
        <f t="shared" si="5"/>
        <v>0.2</v>
      </c>
      <c r="S23" s="50" t="s">
        <v>921</v>
      </c>
      <c r="T23" s="44" t="s">
        <v>824</v>
      </c>
      <c r="U23" s="50" t="s">
        <v>188</v>
      </c>
      <c r="V23" s="50" t="s">
        <v>189</v>
      </c>
      <c r="W23" s="50" t="s">
        <v>1938</v>
      </c>
      <c r="X23" s="50" t="s">
        <v>1055</v>
      </c>
    </row>
    <row r="24" spans="1:24" ht="174" customHeight="1" x14ac:dyDescent="0.2">
      <c r="A24" s="42" t="s">
        <v>190</v>
      </c>
      <c r="B24" s="42">
        <v>2</v>
      </c>
      <c r="C24" s="42">
        <v>5</v>
      </c>
      <c r="D24" s="42">
        <v>2</v>
      </c>
      <c r="E24" s="42">
        <v>4</v>
      </c>
      <c r="F24" s="42">
        <v>1</v>
      </c>
      <c r="G24" s="42">
        <v>5</v>
      </c>
      <c r="H24" s="42">
        <v>0</v>
      </c>
      <c r="I24" s="42">
        <v>5</v>
      </c>
      <c r="J24" s="42">
        <v>3</v>
      </c>
      <c r="K24" s="42">
        <f t="shared" si="0"/>
        <v>0.4</v>
      </c>
      <c r="L24" s="42" t="str">
        <f t="shared" si="1"/>
        <v>OK</v>
      </c>
      <c r="M24" s="42" t="str">
        <f t="shared" si="2"/>
        <v>OK</v>
      </c>
      <c r="N24" s="42" t="str">
        <f t="shared" si="3"/>
        <v>OK</v>
      </c>
      <c r="O24" s="42" t="str">
        <f t="shared" si="4"/>
        <v>FAIL</v>
      </c>
      <c r="P24" s="42">
        <v>2</v>
      </c>
      <c r="Q24" s="42">
        <v>5</v>
      </c>
      <c r="R24" s="42">
        <f t="shared" si="5"/>
        <v>0.4</v>
      </c>
      <c r="S24" s="42" t="s">
        <v>817</v>
      </c>
      <c r="T24" s="46" t="s">
        <v>752</v>
      </c>
      <c r="U24" s="42" t="s">
        <v>1057</v>
      </c>
      <c r="V24" s="42" t="s">
        <v>1850</v>
      </c>
      <c r="W24" s="42" t="s">
        <v>1934</v>
      </c>
      <c r="X24" s="42" t="s">
        <v>1939</v>
      </c>
    </row>
    <row r="25" spans="1:24" ht="232" customHeight="1" x14ac:dyDescent="0.2">
      <c r="A25" s="50" t="s">
        <v>196</v>
      </c>
      <c r="B25" s="50">
        <v>2</v>
      </c>
      <c r="C25" s="50">
        <v>5</v>
      </c>
      <c r="D25" s="50">
        <v>2</v>
      </c>
      <c r="E25" s="50">
        <v>4</v>
      </c>
      <c r="F25" s="50">
        <v>1</v>
      </c>
      <c r="G25" s="50">
        <v>5</v>
      </c>
      <c r="H25" s="50">
        <v>2</v>
      </c>
      <c r="I25" s="50">
        <v>5</v>
      </c>
      <c r="J25" s="50">
        <v>3</v>
      </c>
      <c r="K25" s="50">
        <f t="shared" si="0"/>
        <v>0.4</v>
      </c>
      <c r="L25" s="50" t="str">
        <f t="shared" si="1"/>
        <v>OK</v>
      </c>
      <c r="M25" s="50" t="str">
        <f t="shared" si="2"/>
        <v>OK</v>
      </c>
      <c r="N25" s="50" t="str">
        <f t="shared" si="3"/>
        <v>OK</v>
      </c>
      <c r="O25" s="50" t="str">
        <f t="shared" si="4"/>
        <v>OK</v>
      </c>
      <c r="P25" s="50">
        <v>2</v>
      </c>
      <c r="Q25" s="50">
        <v>5</v>
      </c>
      <c r="R25" s="50">
        <f t="shared" si="5"/>
        <v>0.4</v>
      </c>
      <c r="S25" s="50" t="s">
        <v>921</v>
      </c>
      <c r="T25" s="44" t="s">
        <v>824</v>
      </c>
      <c r="U25" s="50" t="s">
        <v>197</v>
      </c>
      <c r="V25" s="50" t="s">
        <v>198</v>
      </c>
      <c r="W25" s="50" t="s">
        <v>1940</v>
      </c>
      <c r="X25" s="50" t="s">
        <v>1059</v>
      </c>
    </row>
    <row r="26" spans="1:24" ht="217.5" customHeight="1" x14ac:dyDescent="0.2">
      <c r="A26" s="42" t="s">
        <v>199</v>
      </c>
      <c r="B26" s="42">
        <v>0</v>
      </c>
      <c r="C26" s="42">
        <v>5</v>
      </c>
      <c r="D26" s="42">
        <v>0</v>
      </c>
      <c r="E26" s="42">
        <v>3</v>
      </c>
      <c r="F26" s="42">
        <v>2</v>
      </c>
      <c r="G26" s="42">
        <v>5</v>
      </c>
      <c r="H26" s="42">
        <v>0</v>
      </c>
      <c r="I26" s="42">
        <v>5</v>
      </c>
      <c r="J26" s="42">
        <v>5</v>
      </c>
      <c r="K26" s="42">
        <f t="shared" si="0"/>
        <v>0</v>
      </c>
      <c r="L26" s="42" t="str">
        <f t="shared" si="1"/>
        <v>OK</v>
      </c>
      <c r="M26" s="42" t="str">
        <f t="shared" si="2"/>
        <v>OK</v>
      </c>
      <c r="N26" s="42" t="str">
        <f t="shared" si="3"/>
        <v>OK</v>
      </c>
      <c r="O26" s="42" t="str">
        <f t="shared" si="4"/>
        <v>OK</v>
      </c>
      <c r="P26" s="42">
        <v>0</v>
      </c>
      <c r="Q26" s="42">
        <v>5</v>
      </c>
      <c r="R26" s="42">
        <f t="shared" si="5"/>
        <v>0</v>
      </c>
      <c r="S26" s="42" t="s">
        <v>921</v>
      </c>
      <c r="T26" s="44" t="s">
        <v>824</v>
      </c>
      <c r="U26" s="42" t="s">
        <v>200</v>
      </c>
      <c r="V26" s="42" t="s">
        <v>201</v>
      </c>
      <c r="W26" s="42" t="s">
        <v>1941</v>
      </c>
      <c r="X26" s="42" t="s">
        <v>1061</v>
      </c>
    </row>
    <row r="27" spans="1:24" ht="116" customHeight="1" x14ac:dyDescent="0.2">
      <c r="A27" s="50" t="s">
        <v>202</v>
      </c>
      <c r="B27" s="50">
        <v>3</v>
      </c>
      <c r="C27" s="50">
        <v>5</v>
      </c>
      <c r="D27" s="50">
        <v>3</v>
      </c>
      <c r="E27" s="50">
        <v>5</v>
      </c>
      <c r="F27" s="50">
        <v>0</v>
      </c>
      <c r="G27" s="50">
        <v>5</v>
      </c>
      <c r="H27" s="50">
        <v>2</v>
      </c>
      <c r="I27" s="50">
        <v>5</v>
      </c>
      <c r="J27" s="50">
        <v>2</v>
      </c>
      <c r="K27" s="50">
        <f t="shared" si="0"/>
        <v>0.6</v>
      </c>
      <c r="L27" s="50" t="str">
        <f t="shared" si="1"/>
        <v>OK</v>
      </c>
      <c r="M27" s="50" t="str">
        <f t="shared" si="2"/>
        <v>OK</v>
      </c>
      <c r="N27" s="50" t="str">
        <f t="shared" si="3"/>
        <v>OK</v>
      </c>
      <c r="O27" s="50" t="str">
        <f t="shared" si="4"/>
        <v>FAIL</v>
      </c>
      <c r="P27" s="50">
        <v>3</v>
      </c>
      <c r="Q27" s="50">
        <v>5</v>
      </c>
      <c r="R27" s="50">
        <f t="shared" si="5"/>
        <v>0.6</v>
      </c>
      <c r="S27" s="50" t="s">
        <v>817</v>
      </c>
      <c r="T27" s="46" t="s">
        <v>752</v>
      </c>
      <c r="U27" s="50" t="s">
        <v>1064</v>
      </c>
      <c r="V27" s="50" t="s">
        <v>205</v>
      </c>
      <c r="W27" s="50" t="s">
        <v>1933</v>
      </c>
      <c r="X27" s="50" t="s">
        <v>1942</v>
      </c>
    </row>
    <row r="28" spans="1:24" ht="174" customHeight="1" x14ac:dyDescent="0.2">
      <c r="A28" s="42" t="s">
        <v>206</v>
      </c>
      <c r="B28" s="42">
        <v>0</v>
      </c>
      <c r="C28" s="42">
        <v>5</v>
      </c>
      <c r="D28" s="42">
        <v>0</v>
      </c>
      <c r="E28" s="42">
        <v>5</v>
      </c>
      <c r="F28" s="42">
        <v>0</v>
      </c>
      <c r="G28" s="42">
        <v>5</v>
      </c>
      <c r="H28" s="42">
        <v>0</v>
      </c>
      <c r="I28" s="42">
        <v>5</v>
      </c>
      <c r="J28" s="42">
        <v>5</v>
      </c>
      <c r="K28" s="42">
        <f t="shared" si="0"/>
        <v>0</v>
      </c>
      <c r="L28" s="42" t="str">
        <f t="shared" si="1"/>
        <v>OK</v>
      </c>
      <c r="M28" s="42" t="str">
        <f t="shared" si="2"/>
        <v>OK</v>
      </c>
      <c r="N28" s="42" t="str">
        <f t="shared" si="3"/>
        <v>OK</v>
      </c>
      <c r="O28" s="42" t="str">
        <f t="shared" si="4"/>
        <v>OK</v>
      </c>
      <c r="P28" s="42">
        <v>0</v>
      </c>
      <c r="Q28" s="42">
        <v>5</v>
      </c>
      <c r="R28" s="42">
        <f t="shared" si="5"/>
        <v>0</v>
      </c>
      <c r="S28" s="42" t="s">
        <v>921</v>
      </c>
      <c r="T28" s="44" t="s">
        <v>824</v>
      </c>
      <c r="U28" s="42" t="s">
        <v>207</v>
      </c>
      <c r="V28" s="42" t="s">
        <v>208</v>
      </c>
      <c r="W28" s="42" t="s">
        <v>1943</v>
      </c>
      <c r="X28" s="42" t="s">
        <v>1066</v>
      </c>
    </row>
    <row r="29" spans="1:24" ht="130.5" customHeight="1" x14ac:dyDescent="0.2">
      <c r="A29" s="50" t="s">
        <v>209</v>
      </c>
      <c r="B29" s="50">
        <v>0</v>
      </c>
      <c r="C29" s="50">
        <v>5</v>
      </c>
      <c r="D29" s="51"/>
      <c r="E29" s="51"/>
      <c r="F29" s="51"/>
      <c r="G29" s="51"/>
      <c r="H29" s="50">
        <v>0</v>
      </c>
      <c r="I29" s="50">
        <v>5</v>
      </c>
      <c r="J29" s="50">
        <v>5</v>
      </c>
      <c r="K29" s="50">
        <f t="shared" si="0"/>
        <v>0</v>
      </c>
      <c r="L29" s="50" t="str">
        <f t="shared" si="1"/>
        <v>OK</v>
      </c>
      <c r="M29" s="50" t="str">
        <f t="shared" si="2"/>
        <v>N/A</v>
      </c>
      <c r="N29" s="50" t="str">
        <f t="shared" si="3"/>
        <v>N/A</v>
      </c>
      <c r="O29" s="50" t="str">
        <f t="shared" si="4"/>
        <v>OK</v>
      </c>
      <c r="P29" s="50">
        <v>0</v>
      </c>
      <c r="Q29" s="50">
        <v>5</v>
      </c>
      <c r="R29" s="50">
        <f t="shared" si="5"/>
        <v>0</v>
      </c>
      <c r="S29" s="50" t="s">
        <v>921</v>
      </c>
      <c r="T29" s="44" t="s">
        <v>824</v>
      </c>
      <c r="U29" s="50" t="s">
        <v>210</v>
      </c>
      <c r="V29" s="50" t="s">
        <v>211</v>
      </c>
      <c r="W29" s="50" t="s">
        <v>1933</v>
      </c>
      <c r="X29" s="50" t="s">
        <v>1067</v>
      </c>
    </row>
    <row r="30" spans="1:24" ht="116" customHeight="1" x14ac:dyDescent="0.2">
      <c r="A30" s="42" t="s">
        <v>212</v>
      </c>
      <c r="B30" s="42">
        <v>0</v>
      </c>
      <c r="C30" s="42">
        <v>5</v>
      </c>
      <c r="D30" s="43"/>
      <c r="E30" s="43"/>
      <c r="F30" s="43"/>
      <c r="G30" s="43"/>
      <c r="H30" s="42">
        <v>0</v>
      </c>
      <c r="I30" s="42">
        <v>5</v>
      </c>
      <c r="J30" s="42">
        <v>5</v>
      </c>
      <c r="K30" s="42">
        <f t="shared" si="0"/>
        <v>0</v>
      </c>
      <c r="L30" s="42" t="str">
        <f t="shared" si="1"/>
        <v>OK</v>
      </c>
      <c r="M30" s="42" t="str">
        <f t="shared" si="2"/>
        <v>N/A</v>
      </c>
      <c r="N30" s="42" t="str">
        <f t="shared" si="3"/>
        <v>N/A</v>
      </c>
      <c r="O30" s="42" t="str">
        <f t="shared" si="4"/>
        <v>OK</v>
      </c>
      <c r="P30" s="42">
        <v>0</v>
      </c>
      <c r="Q30" s="42">
        <v>5</v>
      </c>
      <c r="R30" s="42">
        <f t="shared" si="5"/>
        <v>0</v>
      </c>
      <c r="S30" s="42" t="s">
        <v>921</v>
      </c>
      <c r="T30" s="44" t="s">
        <v>824</v>
      </c>
      <c r="U30" s="42" t="s">
        <v>213</v>
      </c>
      <c r="V30" s="42" t="s">
        <v>214</v>
      </c>
      <c r="W30" s="42" t="s">
        <v>1935</v>
      </c>
      <c r="X30" s="42" t="s">
        <v>1067</v>
      </c>
    </row>
    <row r="31" spans="1:24" ht="159.5" customHeight="1" x14ac:dyDescent="0.2">
      <c r="A31" s="50" t="s">
        <v>24</v>
      </c>
      <c r="B31" s="51"/>
      <c r="C31" s="51"/>
      <c r="D31" s="51"/>
      <c r="E31" s="51"/>
      <c r="F31" s="51"/>
      <c r="G31" s="51"/>
      <c r="H31" s="51"/>
      <c r="I31" s="51"/>
      <c r="J31" s="51"/>
      <c r="K31" s="50" t="str">
        <f t="shared" si="0"/>
        <v/>
      </c>
      <c r="L31" s="50" t="str">
        <f t="shared" si="1"/>
        <v>N/A</v>
      </c>
      <c r="M31" s="50" t="str">
        <f t="shared" si="2"/>
        <v>N/A</v>
      </c>
      <c r="N31" s="50" t="str">
        <f t="shared" si="3"/>
        <v>N/A</v>
      </c>
      <c r="O31" s="50" t="str">
        <f t="shared" si="4"/>
        <v>N/A</v>
      </c>
      <c r="P31" s="51"/>
      <c r="Q31" s="51"/>
      <c r="R31" s="50" t="str">
        <f t="shared" si="5"/>
        <v/>
      </c>
      <c r="S31" s="50" t="s">
        <v>1944</v>
      </c>
      <c r="T31" s="46" t="s">
        <v>752</v>
      </c>
      <c r="U31" s="50" t="s">
        <v>215</v>
      </c>
      <c r="V31" s="50" t="s">
        <v>216</v>
      </c>
      <c r="W31" s="50" t="s">
        <v>1945</v>
      </c>
      <c r="X31" s="50" t="s">
        <v>1946</v>
      </c>
    </row>
    <row r="32" spans="1:24" ht="72.5" customHeight="1" x14ac:dyDescent="0.2">
      <c r="A32" s="42" t="s">
        <v>28</v>
      </c>
      <c r="B32" s="43"/>
      <c r="C32" s="43"/>
      <c r="D32" s="43"/>
      <c r="E32" s="43"/>
      <c r="F32" s="43"/>
      <c r="G32" s="43"/>
      <c r="H32" s="43"/>
      <c r="I32" s="43"/>
      <c r="J32" s="43"/>
      <c r="K32" s="42" t="str">
        <f t="shared" si="0"/>
        <v/>
      </c>
      <c r="L32" s="42" t="str">
        <f t="shared" si="1"/>
        <v>N/A</v>
      </c>
      <c r="M32" s="42" t="str">
        <f t="shared" si="2"/>
        <v>N/A</v>
      </c>
      <c r="N32" s="42" t="str">
        <f t="shared" si="3"/>
        <v>N/A</v>
      </c>
      <c r="O32" s="42" t="str">
        <f t="shared" si="4"/>
        <v>N/A</v>
      </c>
      <c r="P32" s="43"/>
      <c r="Q32" s="43"/>
      <c r="R32" s="42" t="str">
        <f t="shared" si="5"/>
        <v/>
      </c>
      <c r="S32" s="42" t="s">
        <v>1944</v>
      </c>
      <c r="T32" s="44" t="s">
        <v>824</v>
      </c>
      <c r="U32" s="42" t="s">
        <v>219</v>
      </c>
      <c r="V32" s="42" t="s">
        <v>114</v>
      </c>
      <c r="W32" s="42" t="s">
        <v>1947</v>
      </c>
      <c r="X32" s="42" t="s">
        <v>1948</v>
      </c>
    </row>
    <row r="33" spans="1:24" ht="72.5" customHeight="1" x14ac:dyDescent="0.2">
      <c r="A33" s="50" t="s">
        <v>222</v>
      </c>
      <c r="B33" s="51"/>
      <c r="C33" s="51"/>
      <c r="D33" s="51"/>
      <c r="E33" s="51"/>
      <c r="F33" s="51"/>
      <c r="G33" s="51"/>
      <c r="H33" s="51"/>
      <c r="I33" s="51"/>
      <c r="J33" s="51"/>
      <c r="K33" s="50" t="str">
        <f t="shared" si="0"/>
        <v/>
      </c>
      <c r="L33" s="50" t="str">
        <f t="shared" si="1"/>
        <v>N/A</v>
      </c>
      <c r="M33" s="50" t="str">
        <f t="shared" si="2"/>
        <v>N/A</v>
      </c>
      <c r="N33" s="50" t="str">
        <f t="shared" si="3"/>
        <v>N/A</v>
      </c>
      <c r="O33" s="50" t="str">
        <f t="shared" si="4"/>
        <v>N/A</v>
      </c>
      <c r="P33" s="51"/>
      <c r="Q33" s="51"/>
      <c r="R33" s="50" t="str">
        <f t="shared" si="5"/>
        <v/>
      </c>
      <c r="S33" s="50" t="s">
        <v>1944</v>
      </c>
      <c r="T33" s="44" t="s">
        <v>824</v>
      </c>
      <c r="U33" s="50" t="s">
        <v>1078</v>
      </c>
      <c r="V33" s="50" t="s">
        <v>114</v>
      </c>
      <c r="W33" s="50" t="s">
        <v>1949</v>
      </c>
      <c r="X33" s="50" t="s">
        <v>1950</v>
      </c>
    </row>
  </sheetData>
  <mergeCells count="2">
    <mergeCell ref="A2:X2"/>
    <mergeCell ref="A1:X1"/>
  </mergeCell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M33"/>
  <sheetViews>
    <sheetView showGridLines="0" rightToLeft="1" workbookViewId="0">
      <pane xSplit="1" ySplit="3" topLeftCell="B4" activePane="bottomRight" state="frozen"/>
      <selection pane="topRight"/>
      <selection pane="bottomLeft"/>
      <selection pane="bottomRight"/>
    </sheetView>
  </sheetViews>
  <sheetFormatPr baseColWidth="10" defaultColWidth="8.83203125" defaultRowHeight="15" x14ac:dyDescent="0.2"/>
  <cols>
    <col min="1" max="1" width="42" customWidth="1"/>
    <col min="2" max="2" width="24.83203125" customWidth="1"/>
    <col min="3" max="4" width="10" customWidth="1"/>
    <col min="5" max="5" width="42" customWidth="1"/>
    <col min="6" max="7" width="13.5" customWidth="1"/>
    <col min="8" max="9" width="42" customWidth="1"/>
    <col min="10" max="10" width="25.83203125" customWidth="1"/>
    <col min="11" max="13" width="42" customWidth="1"/>
  </cols>
  <sheetData>
    <row r="1" spans="1:13" ht="34" customHeight="1" x14ac:dyDescent="0.2">
      <c r="A1" s="79" t="s">
        <v>1951</v>
      </c>
      <c r="B1" s="76"/>
      <c r="C1" s="76"/>
      <c r="D1" s="76"/>
      <c r="E1" s="76"/>
      <c r="F1" s="76"/>
      <c r="G1" s="76"/>
      <c r="H1" s="76"/>
      <c r="I1" s="76"/>
      <c r="J1" s="76"/>
      <c r="K1" s="76"/>
      <c r="L1" s="76"/>
      <c r="M1" s="76"/>
    </row>
    <row r="2" spans="1:13" ht="28" customHeight="1" x14ac:dyDescent="0.2">
      <c r="A2" s="86" t="s">
        <v>1952</v>
      </c>
      <c r="B2" s="76"/>
      <c r="C2" s="76"/>
      <c r="D2" s="76"/>
      <c r="E2" s="76"/>
      <c r="F2" s="76"/>
      <c r="G2" s="76"/>
      <c r="H2" s="76"/>
      <c r="I2" s="76"/>
      <c r="J2" s="76"/>
      <c r="K2" s="76"/>
      <c r="L2" s="76"/>
      <c r="M2" s="76"/>
    </row>
    <row r="3" spans="1:13" ht="30" customHeight="1" x14ac:dyDescent="0.2">
      <c r="A3" s="48" t="s">
        <v>94</v>
      </c>
      <c r="B3" s="48" t="s">
        <v>1757</v>
      </c>
      <c r="C3" s="48" t="s">
        <v>1953</v>
      </c>
      <c r="D3" s="48" t="s">
        <v>1954</v>
      </c>
      <c r="E3" s="48" t="s">
        <v>1955</v>
      </c>
      <c r="F3" s="48" t="s">
        <v>1956</v>
      </c>
      <c r="G3" s="48" t="s">
        <v>1957</v>
      </c>
      <c r="H3" s="48" t="s">
        <v>1958</v>
      </c>
      <c r="I3" s="48" t="s">
        <v>1959</v>
      </c>
      <c r="J3" s="48" t="s">
        <v>706</v>
      </c>
      <c r="K3" s="48" t="s">
        <v>1281</v>
      </c>
      <c r="L3" s="48" t="s">
        <v>1838</v>
      </c>
      <c r="M3" s="48" t="s">
        <v>1960</v>
      </c>
    </row>
    <row r="4" spans="1:13" ht="87" customHeight="1" x14ac:dyDescent="0.2">
      <c r="A4" s="42" t="s">
        <v>109</v>
      </c>
      <c r="B4" s="42" t="s">
        <v>119</v>
      </c>
      <c r="C4" s="42">
        <v>0</v>
      </c>
      <c r="D4" s="42">
        <v>5</v>
      </c>
      <c r="E4" s="42">
        <f t="shared" ref="E4:E33" si="0">IF(AND(ISNUMBER(C4),ISNUMBER(D4),D4&gt;0),C4/D4,"")</f>
        <v>0</v>
      </c>
      <c r="F4" s="42">
        <v>0</v>
      </c>
      <c r="G4" s="42">
        <v>5</v>
      </c>
      <c r="H4" s="42">
        <f t="shared" ref="H4:H33" si="1">IF(AND(ISNUMBER(F4),ISNUMBER(G4),G4&gt;0),F4/G4,"")</f>
        <v>0</v>
      </c>
      <c r="I4" s="42" t="s">
        <v>1236</v>
      </c>
      <c r="J4" s="44" t="s">
        <v>824</v>
      </c>
      <c r="K4" s="42" t="s">
        <v>113</v>
      </c>
      <c r="L4" s="42" t="s">
        <v>114</v>
      </c>
      <c r="M4" s="42" t="s">
        <v>1961</v>
      </c>
    </row>
    <row r="5" spans="1:13" ht="87" customHeight="1" x14ac:dyDescent="0.2">
      <c r="A5" s="50" t="s">
        <v>117</v>
      </c>
      <c r="B5" s="50" t="s">
        <v>119</v>
      </c>
      <c r="C5" s="50">
        <v>2</v>
      </c>
      <c r="D5" s="50">
        <v>4</v>
      </c>
      <c r="E5" s="50">
        <f t="shared" si="0"/>
        <v>0.5</v>
      </c>
      <c r="F5" s="50">
        <v>2</v>
      </c>
      <c r="G5" s="50">
        <v>4</v>
      </c>
      <c r="H5" s="50">
        <f t="shared" si="1"/>
        <v>0.5</v>
      </c>
      <c r="I5" s="50" t="s">
        <v>1236</v>
      </c>
      <c r="J5" s="46" t="s">
        <v>752</v>
      </c>
      <c r="K5" s="50" t="s">
        <v>113</v>
      </c>
      <c r="L5" s="50" t="s">
        <v>114</v>
      </c>
      <c r="M5" s="50" t="s">
        <v>1961</v>
      </c>
    </row>
    <row r="6" spans="1:13" ht="130.5" customHeight="1" x14ac:dyDescent="0.2">
      <c r="A6" s="42" t="s">
        <v>126</v>
      </c>
      <c r="B6" s="42" t="s">
        <v>119</v>
      </c>
      <c r="C6" s="42">
        <v>3</v>
      </c>
      <c r="D6" s="42">
        <v>4</v>
      </c>
      <c r="E6" s="42">
        <f t="shared" si="0"/>
        <v>0.75</v>
      </c>
      <c r="F6" s="42">
        <v>3</v>
      </c>
      <c r="G6" s="42">
        <v>5</v>
      </c>
      <c r="H6" s="42">
        <f t="shared" si="1"/>
        <v>0.6</v>
      </c>
      <c r="I6" s="42" t="s">
        <v>1236</v>
      </c>
      <c r="J6" s="45" t="s">
        <v>836</v>
      </c>
      <c r="K6" s="42" t="s">
        <v>129</v>
      </c>
      <c r="L6" s="42" t="s">
        <v>114</v>
      </c>
      <c r="M6" s="42" t="s">
        <v>1961</v>
      </c>
    </row>
    <row r="7" spans="1:13" ht="72.5" customHeight="1" x14ac:dyDescent="0.2">
      <c r="A7" s="50" t="s">
        <v>131</v>
      </c>
      <c r="B7" s="50" t="s">
        <v>119</v>
      </c>
      <c r="C7" s="50">
        <v>0</v>
      </c>
      <c r="D7" s="50">
        <v>5</v>
      </c>
      <c r="E7" s="50">
        <f t="shared" si="0"/>
        <v>0</v>
      </c>
      <c r="F7" s="51"/>
      <c r="G7" s="51"/>
      <c r="H7" s="50" t="str">
        <f t="shared" si="1"/>
        <v/>
      </c>
      <c r="I7" s="50" t="s">
        <v>1236</v>
      </c>
      <c r="J7" s="46" t="s">
        <v>752</v>
      </c>
      <c r="K7" s="50" t="s">
        <v>1019</v>
      </c>
      <c r="L7" s="50" t="s">
        <v>114</v>
      </c>
      <c r="M7" s="50" t="s">
        <v>1961</v>
      </c>
    </row>
    <row r="8" spans="1:13" ht="145" customHeight="1" x14ac:dyDescent="0.2">
      <c r="A8" s="42" t="s">
        <v>135</v>
      </c>
      <c r="B8" s="42" t="s">
        <v>119</v>
      </c>
      <c r="C8" s="42">
        <v>2</v>
      </c>
      <c r="D8" s="42">
        <v>3</v>
      </c>
      <c r="E8" s="42">
        <f t="shared" si="0"/>
        <v>0.66666666666666663</v>
      </c>
      <c r="F8" s="42">
        <v>2</v>
      </c>
      <c r="G8" s="42">
        <v>3</v>
      </c>
      <c r="H8" s="42">
        <f t="shared" si="1"/>
        <v>0.66666666666666663</v>
      </c>
      <c r="I8" s="42" t="s">
        <v>1236</v>
      </c>
      <c r="J8" s="46" t="s">
        <v>752</v>
      </c>
      <c r="K8" s="42" t="s">
        <v>136</v>
      </c>
      <c r="L8" s="42" t="s">
        <v>114</v>
      </c>
      <c r="M8" s="42" t="s">
        <v>1961</v>
      </c>
    </row>
    <row r="9" spans="1:13" ht="203" customHeight="1" x14ac:dyDescent="0.2">
      <c r="A9" s="50" t="s">
        <v>137</v>
      </c>
      <c r="B9" s="50" t="s">
        <v>119</v>
      </c>
      <c r="C9" s="50">
        <v>0</v>
      </c>
      <c r="D9" s="50">
        <v>3</v>
      </c>
      <c r="E9" s="50">
        <f t="shared" si="0"/>
        <v>0</v>
      </c>
      <c r="F9" s="50">
        <v>0</v>
      </c>
      <c r="G9" s="50">
        <v>3</v>
      </c>
      <c r="H9" s="50">
        <f t="shared" si="1"/>
        <v>0</v>
      </c>
      <c r="I9" s="50" t="s">
        <v>1236</v>
      </c>
      <c r="J9" s="44" t="s">
        <v>824</v>
      </c>
      <c r="K9" s="50" t="s">
        <v>1025</v>
      </c>
      <c r="L9" s="50" t="s">
        <v>139</v>
      </c>
      <c r="M9" s="50" t="s">
        <v>1961</v>
      </c>
    </row>
    <row r="10" spans="1:13" ht="145" customHeight="1" x14ac:dyDescent="0.2">
      <c r="A10" s="42" t="s">
        <v>140</v>
      </c>
      <c r="B10" s="42" t="s">
        <v>119</v>
      </c>
      <c r="C10" s="42">
        <v>3</v>
      </c>
      <c r="D10" s="42">
        <v>5</v>
      </c>
      <c r="E10" s="42">
        <f t="shared" si="0"/>
        <v>0.6</v>
      </c>
      <c r="F10" s="42">
        <v>3</v>
      </c>
      <c r="G10" s="42">
        <v>5</v>
      </c>
      <c r="H10" s="42">
        <f t="shared" si="1"/>
        <v>0.6</v>
      </c>
      <c r="I10" s="42" t="s">
        <v>1236</v>
      </c>
      <c r="J10" s="44" t="s">
        <v>824</v>
      </c>
      <c r="K10" s="42" t="s">
        <v>141</v>
      </c>
      <c r="L10" s="42" t="s">
        <v>142</v>
      </c>
      <c r="M10" s="42" t="s">
        <v>1961</v>
      </c>
    </row>
    <row r="11" spans="1:13" ht="145" customHeight="1" x14ac:dyDescent="0.2">
      <c r="A11" s="50" t="s">
        <v>143</v>
      </c>
      <c r="B11" s="50" t="s">
        <v>119</v>
      </c>
      <c r="C11" s="50">
        <v>1</v>
      </c>
      <c r="D11" s="50">
        <v>5</v>
      </c>
      <c r="E11" s="50">
        <f t="shared" si="0"/>
        <v>0.2</v>
      </c>
      <c r="F11" s="50">
        <v>1</v>
      </c>
      <c r="G11" s="50">
        <v>5</v>
      </c>
      <c r="H11" s="50">
        <f t="shared" si="1"/>
        <v>0.2</v>
      </c>
      <c r="I11" s="50" t="s">
        <v>1236</v>
      </c>
      <c r="J11" s="44" t="s">
        <v>824</v>
      </c>
      <c r="K11" s="50" t="s">
        <v>144</v>
      </c>
      <c r="L11" s="50" t="s">
        <v>145</v>
      </c>
      <c r="M11" s="50" t="s">
        <v>1961</v>
      </c>
    </row>
    <row r="12" spans="1:13" ht="145" customHeight="1" x14ac:dyDescent="0.2">
      <c r="A12" s="42" t="s">
        <v>20</v>
      </c>
      <c r="B12" s="42" t="s">
        <v>111</v>
      </c>
      <c r="C12" s="43"/>
      <c r="D12" s="43"/>
      <c r="E12" s="42" t="str">
        <f t="shared" si="0"/>
        <v/>
      </c>
      <c r="F12" s="43"/>
      <c r="G12" s="43"/>
      <c r="H12" s="42" t="str">
        <f t="shared" si="1"/>
        <v/>
      </c>
      <c r="I12" s="42" t="s">
        <v>1962</v>
      </c>
      <c r="J12" s="46" t="s">
        <v>752</v>
      </c>
      <c r="K12" s="42" t="s">
        <v>1034</v>
      </c>
      <c r="L12" s="42" t="s">
        <v>114</v>
      </c>
      <c r="M12" s="42" t="s">
        <v>1961</v>
      </c>
    </row>
    <row r="13" spans="1:13" ht="174" customHeight="1" x14ac:dyDescent="0.2">
      <c r="A13" s="50" t="s">
        <v>151</v>
      </c>
      <c r="B13" s="50" t="s">
        <v>119</v>
      </c>
      <c r="C13" s="50">
        <v>1</v>
      </c>
      <c r="D13" s="50">
        <v>1</v>
      </c>
      <c r="E13" s="50">
        <f t="shared" si="0"/>
        <v>1</v>
      </c>
      <c r="F13" s="50">
        <v>1</v>
      </c>
      <c r="G13" s="50">
        <v>1</v>
      </c>
      <c r="H13" s="50">
        <f t="shared" si="1"/>
        <v>1</v>
      </c>
      <c r="I13" s="50" t="s">
        <v>1236</v>
      </c>
      <c r="J13" s="44" t="s">
        <v>824</v>
      </c>
      <c r="K13" s="50" t="s">
        <v>153</v>
      </c>
      <c r="L13" s="50" t="s">
        <v>154</v>
      </c>
      <c r="M13" s="50" t="s">
        <v>1961</v>
      </c>
    </row>
    <row r="14" spans="1:13" ht="130.5" customHeight="1" x14ac:dyDescent="0.2">
      <c r="A14" s="42" t="s">
        <v>157</v>
      </c>
      <c r="B14" s="42" t="s">
        <v>119</v>
      </c>
      <c r="C14" s="42">
        <v>3</v>
      </c>
      <c r="D14" s="42">
        <v>4</v>
      </c>
      <c r="E14" s="42">
        <f t="shared" si="0"/>
        <v>0.75</v>
      </c>
      <c r="F14" s="42">
        <v>3</v>
      </c>
      <c r="G14" s="42">
        <v>4</v>
      </c>
      <c r="H14" s="42">
        <f t="shared" si="1"/>
        <v>0.75</v>
      </c>
      <c r="I14" s="42" t="s">
        <v>1236</v>
      </c>
      <c r="J14" s="44" t="s">
        <v>824</v>
      </c>
      <c r="K14" s="42" t="s">
        <v>158</v>
      </c>
      <c r="L14" s="42" t="s">
        <v>114</v>
      </c>
      <c r="M14" s="42" t="s">
        <v>1961</v>
      </c>
    </row>
    <row r="15" spans="1:13" ht="116" customHeight="1" x14ac:dyDescent="0.2">
      <c r="A15" s="50" t="s">
        <v>159</v>
      </c>
      <c r="B15" s="50" t="s">
        <v>119</v>
      </c>
      <c r="C15" s="50">
        <v>3</v>
      </c>
      <c r="D15" s="50">
        <v>5</v>
      </c>
      <c r="E15" s="50">
        <f t="shared" si="0"/>
        <v>0.6</v>
      </c>
      <c r="F15" s="50">
        <v>3</v>
      </c>
      <c r="G15" s="50">
        <v>5</v>
      </c>
      <c r="H15" s="50">
        <f t="shared" si="1"/>
        <v>0.6</v>
      </c>
      <c r="I15" s="50" t="s">
        <v>1236</v>
      </c>
      <c r="J15" s="44" t="s">
        <v>824</v>
      </c>
      <c r="K15" s="50" t="s">
        <v>160</v>
      </c>
      <c r="L15" s="50" t="s">
        <v>161</v>
      </c>
      <c r="M15" s="50" t="s">
        <v>1961</v>
      </c>
    </row>
    <row r="16" spans="1:13" ht="116" customHeight="1" x14ac:dyDescent="0.2">
      <c r="A16" s="42" t="s">
        <v>162</v>
      </c>
      <c r="B16" s="42" t="s">
        <v>119</v>
      </c>
      <c r="C16" s="42">
        <v>1</v>
      </c>
      <c r="D16" s="42">
        <v>5</v>
      </c>
      <c r="E16" s="42">
        <f t="shared" si="0"/>
        <v>0.2</v>
      </c>
      <c r="F16" s="42">
        <v>1</v>
      </c>
      <c r="G16" s="42">
        <v>5</v>
      </c>
      <c r="H16" s="42">
        <f t="shared" si="1"/>
        <v>0.2</v>
      </c>
      <c r="I16" s="42" t="s">
        <v>1236</v>
      </c>
      <c r="J16" s="44" t="s">
        <v>824</v>
      </c>
      <c r="K16" s="42" t="s">
        <v>163</v>
      </c>
      <c r="L16" s="42" t="s">
        <v>164</v>
      </c>
      <c r="M16" s="42" t="s">
        <v>1961</v>
      </c>
    </row>
    <row r="17" spans="1:13" ht="116" customHeight="1" x14ac:dyDescent="0.2">
      <c r="A17" s="50" t="s">
        <v>165</v>
      </c>
      <c r="B17" s="50" t="s">
        <v>119</v>
      </c>
      <c r="C17" s="50">
        <v>2</v>
      </c>
      <c r="D17" s="50">
        <v>5</v>
      </c>
      <c r="E17" s="50">
        <f t="shared" si="0"/>
        <v>0.4</v>
      </c>
      <c r="F17" s="50">
        <v>2</v>
      </c>
      <c r="G17" s="50">
        <v>5</v>
      </c>
      <c r="H17" s="50">
        <f t="shared" si="1"/>
        <v>0.4</v>
      </c>
      <c r="I17" s="50" t="s">
        <v>1236</v>
      </c>
      <c r="J17" s="44" t="s">
        <v>824</v>
      </c>
      <c r="K17" s="50" t="s">
        <v>166</v>
      </c>
      <c r="L17" s="50" t="s">
        <v>167</v>
      </c>
      <c r="M17" s="50" t="s">
        <v>1961</v>
      </c>
    </row>
    <row r="18" spans="1:13" ht="145" customHeight="1" x14ac:dyDescent="0.2">
      <c r="A18" s="42" t="s">
        <v>168</v>
      </c>
      <c r="B18" s="42" t="s">
        <v>119</v>
      </c>
      <c r="C18" s="42">
        <v>1</v>
      </c>
      <c r="D18" s="42">
        <v>1</v>
      </c>
      <c r="E18" s="42">
        <f t="shared" si="0"/>
        <v>1</v>
      </c>
      <c r="F18" s="42">
        <v>1</v>
      </c>
      <c r="G18" s="42">
        <v>1</v>
      </c>
      <c r="H18" s="42">
        <f t="shared" si="1"/>
        <v>1</v>
      </c>
      <c r="I18" s="42" t="s">
        <v>1236</v>
      </c>
      <c r="J18" s="44" t="s">
        <v>824</v>
      </c>
      <c r="K18" s="42" t="s">
        <v>169</v>
      </c>
      <c r="L18" s="42" t="s">
        <v>170</v>
      </c>
      <c r="M18" s="42" t="s">
        <v>1961</v>
      </c>
    </row>
    <row r="19" spans="1:13" ht="130.5" customHeight="1" x14ac:dyDescent="0.2">
      <c r="A19" s="50" t="s">
        <v>171</v>
      </c>
      <c r="B19" s="50" t="s">
        <v>119</v>
      </c>
      <c r="C19" s="50">
        <v>1</v>
      </c>
      <c r="D19" s="50">
        <v>4</v>
      </c>
      <c r="E19" s="50">
        <f t="shared" si="0"/>
        <v>0.25</v>
      </c>
      <c r="F19" s="50">
        <v>1</v>
      </c>
      <c r="G19" s="50">
        <v>4</v>
      </c>
      <c r="H19" s="50">
        <f t="shared" si="1"/>
        <v>0.25</v>
      </c>
      <c r="I19" s="50" t="s">
        <v>1236</v>
      </c>
      <c r="J19" s="44" t="s">
        <v>824</v>
      </c>
      <c r="K19" s="50" t="s">
        <v>172</v>
      </c>
      <c r="L19" s="50" t="s">
        <v>173</v>
      </c>
      <c r="M19" s="50" t="s">
        <v>1961</v>
      </c>
    </row>
    <row r="20" spans="1:13" ht="116" customHeight="1" x14ac:dyDescent="0.2">
      <c r="A20" s="42" t="s">
        <v>174</v>
      </c>
      <c r="B20" s="42" t="s">
        <v>119</v>
      </c>
      <c r="C20" s="42">
        <v>0</v>
      </c>
      <c r="D20" s="42">
        <v>4</v>
      </c>
      <c r="E20" s="42">
        <f t="shared" si="0"/>
        <v>0</v>
      </c>
      <c r="F20" s="42">
        <v>0</v>
      </c>
      <c r="G20" s="42">
        <v>4</v>
      </c>
      <c r="H20" s="42">
        <f t="shared" si="1"/>
        <v>0</v>
      </c>
      <c r="I20" s="42" t="s">
        <v>1236</v>
      </c>
      <c r="J20" s="46" t="s">
        <v>752</v>
      </c>
      <c r="K20" s="42" t="s">
        <v>1049</v>
      </c>
      <c r="L20" s="42" t="s">
        <v>1848</v>
      </c>
      <c r="M20" s="42" t="s">
        <v>1961</v>
      </c>
    </row>
    <row r="21" spans="1:13" ht="116" customHeight="1" x14ac:dyDescent="0.2">
      <c r="A21" s="50" t="s">
        <v>179</v>
      </c>
      <c r="B21" s="50" t="s">
        <v>119</v>
      </c>
      <c r="C21" s="50">
        <v>1</v>
      </c>
      <c r="D21" s="50">
        <v>5</v>
      </c>
      <c r="E21" s="50">
        <f t="shared" si="0"/>
        <v>0.2</v>
      </c>
      <c r="F21" s="50">
        <v>1</v>
      </c>
      <c r="G21" s="50">
        <v>5</v>
      </c>
      <c r="H21" s="50">
        <f t="shared" si="1"/>
        <v>0.2</v>
      </c>
      <c r="I21" s="50" t="s">
        <v>1236</v>
      </c>
      <c r="J21" s="44" t="s">
        <v>824</v>
      </c>
      <c r="K21" s="50" t="s">
        <v>180</v>
      </c>
      <c r="L21" s="50" t="s">
        <v>181</v>
      </c>
      <c r="M21" s="50" t="s">
        <v>1961</v>
      </c>
    </row>
    <row r="22" spans="1:13" ht="116" customHeight="1" x14ac:dyDescent="0.2">
      <c r="A22" s="42" t="s">
        <v>182</v>
      </c>
      <c r="B22" s="42" t="s">
        <v>111</v>
      </c>
      <c r="C22" s="43"/>
      <c r="D22" s="43"/>
      <c r="E22" s="42" t="str">
        <f t="shared" si="0"/>
        <v/>
      </c>
      <c r="F22" s="43"/>
      <c r="G22" s="43"/>
      <c r="H22" s="42" t="str">
        <f t="shared" si="1"/>
        <v/>
      </c>
      <c r="I22" s="42" t="s">
        <v>1962</v>
      </c>
      <c r="J22" s="46" t="s">
        <v>752</v>
      </c>
      <c r="K22" s="42" t="s">
        <v>1052</v>
      </c>
      <c r="L22" s="42" t="s">
        <v>1849</v>
      </c>
      <c r="M22" s="42" t="s">
        <v>1961</v>
      </c>
    </row>
    <row r="23" spans="1:13" ht="174" customHeight="1" x14ac:dyDescent="0.2">
      <c r="A23" s="50" t="s">
        <v>187</v>
      </c>
      <c r="B23" s="50" t="s">
        <v>119</v>
      </c>
      <c r="C23" s="50">
        <v>1</v>
      </c>
      <c r="D23" s="50">
        <v>3</v>
      </c>
      <c r="E23" s="50">
        <f t="shared" si="0"/>
        <v>0.33333333333333331</v>
      </c>
      <c r="F23" s="50">
        <v>1</v>
      </c>
      <c r="G23" s="50">
        <v>3</v>
      </c>
      <c r="H23" s="50">
        <f t="shared" si="1"/>
        <v>0.33333333333333331</v>
      </c>
      <c r="I23" s="50" t="s">
        <v>1236</v>
      </c>
      <c r="J23" s="44" t="s">
        <v>824</v>
      </c>
      <c r="K23" s="50" t="s">
        <v>188</v>
      </c>
      <c r="L23" s="50" t="s">
        <v>189</v>
      </c>
      <c r="M23" s="50" t="s">
        <v>1961</v>
      </c>
    </row>
    <row r="24" spans="1:13" ht="174" customHeight="1" x14ac:dyDescent="0.2">
      <c r="A24" s="42" t="s">
        <v>190</v>
      </c>
      <c r="B24" s="42" t="s">
        <v>119</v>
      </c>
      <c r="C24" s="42">
        <v>2</v>
      </c>
      <c r="D24" s="42">
        <v>4</v>
      </c>
      <c r="E24" s="42">
        <f t="shared" si="0"/>
        <v>0.5</v>
      </c>
      <c r="F24" s="42">
        <v>2</v>
      </c>
      <c r="G24" s="42">
        <v>4</v>
      </c>
      <c r="H24" s="42">
        <f t="shared" si="1"/>
        <v>0.5</v>
      </c>
      <c r="I24" s="42" t="s">
        <v>1236</v>
      </c>
      <c r="J24" s="46" t="s">
        <v>752</v>
      </c>
      <c r="K24" s="42" t="s">
        <v>1057</v>
      </c>
      <c r="L24" s="42" t="s">
        <v>1850</v>
      </c>
      <c r="M24" s="42" t="s">
        <v>1961</v>
      </c>
    </row>
    <row r="25" spans="1:13" ht="232" customHeight="1" x14ac:dyDescent="0.2">
      <c r="A25" s="50" t="s">
        <v>196</v>
      </c>
      <c r="B25" s="50" t="s">
        <v>119</v>
      </c>
      <c r="C25" s="50">
        <v>2</v>
      </c>
      <c r="D25" s="50">
        <v>4</v>
      </c>
      <c r="E25" s="50">
        <f t="shared" si="0"/>
        <v>0.5</v>
      </c>
      <c r="F25" s="50">
        <v>2</v>
      </c>
      <c r="G25" s="50">
        <v>4</v>
      </c>
      <c r="H25" s="50">
        <f t="shared" si="1"/>
        <v>0.5</v>
      </c>
      <c r="I25" s="50" t="s">
        <v>1236</v>
      </c>
      <c r="J25" s="44" t="s">
        <v>824</v>
      </c>
      <c r="K25" s="50" t="s">
        <v>197</v>
      </c>
      <c r="L25" s="50" t="s">
        <v>198</v>
      </c>
      <c r="M25" s="50" t="s">
        <v>1961</v>
      </c>
    </row>
    <row r="26" spans="1:13" ht="217.5" customHeight="1" x14ac:dyDescent="0.2">
      <c r="A26" s="42" t="s">
        <v>199</v>
      </c>
      <c r="B26" s="42" t="s">
        <v>119</v>
      </c>
      <c r="C26" s="42">
        <v>0</v>
      </c>
      <c r="D26" s="42">
        <v>3</v>
      </c>
      <c r="E26" s="42">
        <f t="shared" si="0"/>
        <v>0</v>
      </c>
      <c r="F26" s="42">
        <v>0</v>
      </c>
      <c r="G26" s="42">
        <v>3</v>
      </c>
      <c r="H26" s="42">
        <f t="shared" si="1"/>
        <v>0</v>
      </c>
      <c r="I26" s="42" t="s">
        <v>1236</v>
      </c>
      <c r="J26" s="44" t="s">
        <v>824</v>
      </c>
      <c r="K26" s="42" t="s">
        <v>200</v>
      </c>
      <c r="L26" s="42" t="s">
        <v>201</v>
      </c>
      <c r="M26" s="42" t="s">
        <v>1961</v>
      </c>
    </row>
    <row r="27" spans="1:13" ht="116" customHeight="1" x14ac:dyDescent="0.2">
      <c r="A27" s="50" t="s">
        <v>202</v>
      </c>
      <c r="B27" s="50" t="s">
        <v>119</v>
      </c>
      <c r="C27" s="50">
        <v>3</v>
      </c>
      <c r="D27" s="50">
        <v>5</v>
      </c>
      <c r="E27" s="50">
        <f t="shared" si="0"/>
        <v>0.6</v>
      </c>
      <c r="F27" s="50">
        <v>3</v>
      </c>
      <c r="G27" s="50">
        <v>5</v>
      </c>
      <c r="H27" s="50">
        <f t="shared" si="1"/>
        <v>0.6</v>
      </c>
      <c r="I27" s="50" t="s">
        <v>1236</v>
      </c>
      <c r="J27" s="46" t="s">
        <v>752</v>
      </c>
      <c r="K27" s="50" t="s">
        <v>1064</v>
      </c>
      <c r="L27" s="50" t="s">
        <v>205</v>
      </c>
      <c r="M27" s="50" t="s">
        <v>1961</v>
      </c>
    </row>
    <row r="28" spans="1:13" ht="174" customHeight="1" x14ac:dyDescent="0.2">
      <c r="A28" s="42" t="s">
        <v>206</v>
      </c>
      <c r="B28" s="42" t="s">
        <v>119</v>
      </c>
      <c r="C28" s="42">
        <v>0</v>
      </c>
      <c r="D28" s="42">
        <v>5</v>
      </c>
      <c r="E28" s="42">
        <f t="shared" si="0"/>
        <v>0</v>
      </c>
      <c r="F28" s="42">
        <v>0</v>
      </c>
      <c r="G28" s="42">
        <v>5</v>
      </c>
      <c r="H28" s="42">
        <f t="shared" si="1"/>
        <v>0</v>
      </c>
      <c r="I28" s="42" t="s">
        <v>1236</v>
      </c>
      <c r="J28" s="44" t="s">
        <v>824</v>
      </c>
      <c r="K28" s="42" t="s">
        <v>207</v>
      </c>
      <c r="L28" s="42" t="s">
        <v>208</v>
      </c>
      <c r="M28" s="42" t="s">
        <v>1961</v>
      </c>
    </row>
    <row r="29" spans="1:13" ht="130.5" customHeight="1" x14ac:dyDescent="0.2">
      <c r="A29" s="50" t="s">
        <v>209</v>
      </c>
      <c r="B29" s="50" t="s">
        <v>111</v>
      </c>
      <c r="C29" s="51"/>
      <c r="D29" s="51"/>
      <c r="E29" s="50" t="str">
        <f t="shared" si="0"/>
        <v/>
      </c>
      <c r="F29" s="51"/>
      <c r="G29" s="51"/>
      <c r="H29" s="50" t="str">
        <f t="shared" si="1"/>
        <v/>
      </c>
      <c r="I29" s="50" t="s">
        <v>1963</v>
      </c>
      <c r="J29" s="44" t="s">
        <v>824</v>
      </c>
      <c r="K29" s="50" t="s">
        <v>210</v>
      </c>
      <c r="L29" s="50" t="s">
        <v>211</v>
      </c>
      <c r="M29" s="50" t="s">
        <v>1961</v>
      </c>
    </row>
    <row r="30" spans="1:13" ht="116" customHeight="1" x14ac:dyDescent="0.2">
      <c r="A30" s="42" t="s">
        <v>212</v>
      </c>
      <c r="B30" s="42" t="s">
        <v>111</v>
      </c>
      <c r="C30" s="43"/>
      <c r="D30" s="43"/>
      <c r="E30" s="42" t="str">
        <f t="shared" si="0"/>
        <v/>
      </c>
      <c r="F30" s="43"/>
      <c r="G30" s="43"/>
      <c r="H30" s="42" t="str">
        <f t="shared" si="1"/>
        <v/>
      </c>
      <c r="I30" s="42" t="s">
        <v>1963</v>
      </c>
      <c r="J30" s="44" t="s">
        <v>824</v>
      </c>
      <c r="K30" s="42" t="s">
        <v>213</v>
      </c>
      <c r="L30" s="42" t="s">
        <v>214</v>
      </c>
      <c r="M30" s="42" t="s">
        <v>1961</v>
      </c>
    </row>
    <row r="31" spans="1:13" ht="159.5" customHeight="1" x14ac:dyDescent="0.2">
      <c r="A31" s="50" t="s">
        <v>24</v>
      </c>
      <c r="B31" s="50" t="s">
        <v>1069</v>
      </c>
      <c r="C31" s="51"/>
      <c r="D31" s="51"/>
      <c r="E31" s="50" t="str">
        <f t="shared" si="0"/>
        <v/>
      </c>
      <c r="F31" s="51"/>
      <c r="G31" s="51"/>
      <c r="H31" s="50" t="str">
        <f t="shared" si="1"/>
        <v/>
      </c>
      <c r="I31" s="50" t="s">
        <v>155</v>
      </c>
      <c r="J31" s="46" t="s">
        <v>752</v>
      </c>
      <c r="K31" s="50" t="s">
        <v>215</v>
      </c>
      <c r="L31" s="50" t="s">
        <v>216</v>
      </c>
      <c r="M31" s="50" t="s">
        <v>1961</v>
      </c>
    </row>
    <row r="32" spans="1:13" ht="72.5" customHeight="1" x14ac:dyDescent="0.2">
      <c r="A32" s="42" t="s">
        <v>28</v>
      </c>
      <c r="B32" s="42" t="s">
        <v>111</v>
      </c>
      <c r="C32" s="43"/>
      <c r="D32" s="43"/>
      <c r="E32" s="42" t="str">
        <f t="shared" si="0"/>
        <v/>
      </c>
      <c r="F32" s="43"/>
      <c r="G32" s="43"/>
      <c r="H32" s="42" t="str">
        <f t="shared" si="1"/>
        <v/>
      </c>
      <c r="I32" s="42" t="s">
        <v>1963</v>
      </c>
      <c r="J32" s="44" t="s">
        <v>824</v>
      </c>
      <c r="K32" s="42" t="s">
        <v>219</v>
      </c>
      <c r="L32" s="42" t="s">
        <v>114</v>
      </c>
      <c r="M32" s="42" t="s">
        <v>1961</v>
      </c>
    </row>
    <row r="33" spans="1:13" ht="72.5" customHeight="1" x14ac:dyDescent="0.2">
      <c r="A33" s="50" t="s">
        <v>222</v>
      </c>
      <c r="B33" s="50" t="s">
        <v>111</v>
      </c>
      <c r="C33" s="51"/>
      <c r="D33" s="51"/>
      <c r="E33" s="50" t="str">
        <f t="shared" si="0"/>
        <v/>
      </c>
      <c r="F33" s="51"/>
      <c r="G33" s="51"/>
      <c r="H33" s="50" t="str">
        <f t="shared" si="1"/>
        <v/>
      </c>
      <c r="I33" s="50" t="s">
        <v>1963</v>
      </c>
      <c r="J33" s="44" t="s">
        <v>824</v>
      </c>
      <c r="K33" s="50" t="s">
        <v>1078</v>
      </c>
      <c r="L33" s="50" t="s">
        <v>114</v>
      </c>
      <c r="M33" s="50" t="s">
        <v>1961</v>
      </c>
    </row>
  </sheetData>
  <mergeCells count="2">
    <mergeCell ref="A2:M2"/>
    <mergeCell ref="A1:M1"/>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J33"/>
  <sheetViews>
    <sheetView showGridLines="0" rightToLeft="1" workbookViewId="0">
      <pane xSplit="1" ySplit="3" topLeftCell="B4" activePane="bottomRight" state="frozen"/>
      <selection pane="topRight"/>
      <selection pane="bottomLeft"/>
      <selection pane="bottomRight"/>
    </sheetView>
  </sheetViews>
  <sheetFormatPr baseColWidth="10" defaultColWidth="8.83203125" defaultRowHeight="15" x14ac:dyDescent="0.2"/>
  <cols>
    <col min="1" max="1" width="42" customWidth="1"/>
    <col min="2" max="3" width="10" customWidth="1"/>
    <col min="4" max="4" width="42" customWidth="1"/>
    <col min="5" max="6" width="13.5" customWidth="1"/>
    <col min="7" max="7" width="42" customWidth="1"/>
    <col min="8" max="8" width="25.83203125" customWidth="1"/>
    <col min="9" max="10" width="42" customWidth="1"/>
  </cols>
  <sheetData>
    <row r="1" spans="1:10" ht="34" customHeight="1" x14ac:dyDescent="0.2">
      <c r="A1" s="79" t="s">
        <v>1964</v>
      </c>
      <c r="B1" s="76"/>
      <c r="C1" s="76"/>
      <c r="D1" s="76"/>
      <c r="E1" s="76"/>
      <c r="F1" s="76"/>
      <c r="G1" s="76"/>
      <c r="H1" s="76"/>
      <c r="I1" s="76"/>
      <c r="J1" s="76"/>
    </row>
    <row r="2" spans="1:10" ht="28" customHeight="1" x14ac:dyDescent="0.2">
      <c r="A2" s="86" t="s">
        <v>1965</v>
      </c>
      <c r="B2" s="76"/>
      <c r="C2" s="76"/>
      <c r="D2" s="76"/>
      <c r="E2" s="76"/>
      <c r="F2" s="76"/>
      <c r="G2" s="76"/>
      <c r="H2" s="76"/>
      <c r="I2" s="76"/>
      <c r="J2" s="76"/>
    </row>
    <row r="3" spans="1:10" ht="30" customHeight="1" x14ac:dyDescent="0.2">
      <c r="A3" s="48" t="s">
        <v>94</v>
      </c>
      <c r="B3" s="48" t="s">
        <v>1966</v>
      </c>
      <c r="C3" s="48" t="s">
        <v>1967</v>
      </c>
      <c r="D3" s="48" t="s">
        <v>1955</v>
      </c>
      <c r="E3" s="48" t="s">
        <v>1968</v>
      </c>
      <c r="F3" s="48" t="s">
        <v>1969</v>
      </c>
      <c r="G3" s="48" t="s">
        <v>1958</v>
      </c>
      <c r="H3" s="48" t="s">
        <v>706</v>
      </c>
      <c r="I3" s="48" t="s">
        <v>1281</v>
      </c>
      <c r="J3" s="48" t="s">
        <v>1970</v>
      </c>
    </row>
    <row r="4" spans="1:10" ht="87" customHeight="1" x14ac:dyDescent="0.2">
      <c r="A4" s="42" t="s">
        <v>109</v>
      </c>
      <c r="B4" s="42">
        <v>0</v>
      </c>
      <c r="C4" s="42">
        <v>5</v>
      </c>
      <c r="D4" s="42">
        <f t="shared" ref="D4:D33" si="0">IF(AND(ISNUMBER(B4),ISNUMBER(C4),C4&gt;0),B4/C4,"")</f>
        <v>0</v>
      </c>
      <c r="E4" s="42">
        <v>0</v>
      </c>
      <c r="F4" s="42">
        <v>5</v>
      </c>
      <c r="G4" s="42">
        <f t="shared" ref="G4:G33" si="1">IF(AND(ISNUMBER(E4),ISNUMBER(F4),F4&gt;0),E4/F4,"")</f>
        <v>0</v>
      </c>
      <c r="H4" s="44" t="s">
        <v>824</v>
      </c>
      <c r="I4" s="42" t="s">
        <v>113</v>
      </c>
      <c r="J4" s="42" t="s">
        <v>1971</v>
      </c>
    </row>
    <row r="5" spans="1:10" ht="87" customHeight="1" x14ac:dyDescent="0.2">
      <c r="A5" s="50" t="s">
        <v>117</v>
      </c>
      <c r="B5" s="50">
        <v>0</v>
      </c>
      <c r="C5" s="50">
        <v>4</v>
      </c>
      <c r="D5" s="50">
        <f t="shared" si="0"/>
        <v>0</v>
      </c>
      <c r="E5" s="50">
        <v>0</v>
      </c>
      <c r="F5" s="50">
        <v>4</v>
      </c>
      <c r="G5" s="50">
        <f t="shared" si="1"/>
        <v>0</v>
      </c>
      <c r="H5" s="44" t="s">
        <v>824</v>
      </c>
      <c r="I5" s="50" t="s">
        <v>113</v>
      </c>
      <c r="J5" s="50" t="s">
        <v>1971</v>
      </c>
    </row>
    <row r="6" spans="1:10" ht="130.5" customHeight="1" x14ac:dyDescent="0.2">
      <c r="A6" s="42" t="s">
        <v>126</v>
      </c>
      <c r="B6" s="42">
        <v>0</v>
      </c>
      <c r="C6" s="42">
        <v>4</v>
      </c>
      <c r="D6" s="42">
        <f t="shared" si="0"/>
        <v>0</v>
      </c>
      <c r="E6" s="42">
        <v>0</v>
      </c>
      <c r="F6" s="42">
        <v>5</v>
      </c>
      <c r="G6" s="42">
        <f t="shared" si="1"/>
        <v>0</v>
      </c>
      <c r="H6" s="45" t="s">
        <v>836</v>
      </c>
      <c r="I6" s="42" t="s">
        <v>129</v>
      </c>
      <c r="J6" s="42" t="s">
        <v>1971</v>
      </c>
    </row>
    <row r="7" spans="1:10" ht="72.5" customHeight="1" x14ac:dyDescent="0.2">
      <c r="A7" s="50" t="s">
        <v>131</v>
      </c>
      <c r="B7" s="50">
        <v>0</v>
      </c>
      <c r="C7" s="50">
        <v>5</v>
      </c>
      <c r="D7" s="50">
        <f t="shared" si="0"/>
        <v>0</v>
      </c>
      <c r="E7" s="51"/>
      <c r="F7" s="51"/>
      <c r="G7" s="50" t="str">
        <f t="shared" si="1"/>
        <v/>
      </c>
      <c r="H7" s="46" t="s">
        <v>752</v>
      </c>
      <c r="I7" s="50" t="s">
        <v>1019</v>
      </c>
      <c r="J7" s="50" t="s">
        <v>1971</v>
      </c>
    </row>
    <row r="8" spans="1:10" ht="130.5" customHeight="1" x14ac:dyDescent="0.2">
      <c r="A8" s="42" t="s">
        <v>135</v>
      </c>
      <c r="B8" s="42">
        <v>0</v>
      </c>
      <c r="C8" s="42">
        <v>3</v>
      </c>
      <c r="D8" s="42">
        <f t="shared" si="0"/>
        <v>0</v>
      </c>
      <c r="E8" s="42">
        <v>0</v>
      </c>
      <c r="F8" s="42">
        <v>3</v>
      </c>
      <c r="G8" s="42">
        <f t="shared" si="1"/>
        <v>0</v>
      </c>
      <c r="H8" s="44" t="s">
        <v>824</v>
      </c>
      <c r="I8" s="42" t="s">
        <v>136</v>
      </c>
      <c r="J8" s="42" t="s">
        <v>1971</v>
      </c>
    </row>
    <row r="9" spans="1:10" ht="188.5" customHeight="1" x14ac:dyDescent="0.2">
      <c r="A9" s="50" t="s">
        <v>137</v>
      </c>
      <c r="B9" s="50">
        <v>2</v>
      </c>
      <c r="C9" s="50">
        <v>5</v>
      </c>
      <c r="D9" s="50">
        <f t="shared" si="0"/>
        <v>0.4</v>
      </c>
      <c r="E9" s="50">
        <v>2</v>
      </c>
      <c r="F9" s="50">
        <v>5</v>
      </c>
      <c r="G9" s="50">
        <f t="shared" si="1"/>
        <v>0.4</v>
      </c>
      <c r="H9" s="44" t="s">
        <v>824</v>
      </c>
      <c r="I9" s="50" t="s">
        <v>1025</v>
      </c>
      <c r="J9" s="50" t="s">
        <v>1971</v>
      </c>
    </row>
    <row r="10" spans="1:10" ht="145" customHeight="1" x14ac:dyDescent="0.2">
      <c r="A10" s="42" t="s">
        <v>140</v>
      </c>
      <c r="B10" s="42">
        <v>0</v>
      </c>
      <c r="C10" s="42">
        <v>5</v>
      </c>
      <c r="D10" s="42">
        <f t="shared" si="0"/>
        <v>0</v>
      </c>
      <c r="E10" s="42">
        <v>0</v>
      </c>
      <c r="F10" s="42">
        <v>5</v>
      </c>
      <c r="G10" s="42">
        <f t="shared" si="1"/>
        <v>0</v>
      </c>
      <c r="H10" s="44" t="s">
        <v>824</v>
      </c>
      <c r="I10" s="42" t="s">
        <v>141</v>
      </c>
      <c r="J10" s="42" t="s">
        <v>1971</v>
      </c>
    </row>
    <row r="11" spans="1:10" ht="145" customHeight="1" x14ac:dyDescent="0.2">
      <c r="A11" s="50" t="s">
        <v>143</v>
      </c>
      <c r="B11" s="50">
        <v>0</v>
      </c>
      <c r="C11" s="50">
        <v>5</v>
      </c>
      <c r="D11" s="50">
        <f t="shared" si="0"/>
        <v>0</v>
      </c>
      <c r="E11" s="50">
        <v>0</v>
      </c>
      <c r="F11" s="50">
        <v>5</v>
      </c>
      <c r="G11" s="50">
        <f t="shared" si="1"/>
        <v>0</v>
      </c>
      <c r="H11" s="44" t="s">
        <v>824</v>
      </c>
      <c r="I11" s="50" t="s">
        <v>144</v>
      </c>
      <c r="J11" s="50" t="s">
        <v>1971</v>
      </c>
    </row>
    <row r="12" spans="1:10" ht="145" customHeight="1" x14ac:dyDescent="0.2">
      <c r="A12" s="42" t="s">
        <v>20</v>
      </c>
      <c r="B12" s="43"/>
      <c r="C12" s="43"/>
      <c r="D12" s="42" t="str">
        <f t="shared" si="0"/>
        <v/>
      </c>
      <c r="E12" s="43"/>
      <c r="F12" s="43"/>
      <c r="G12" s="42" t="str">
        <f t="shared" si="1"/>
        <v/>
      </c>
      <c r="H12" s="44" t="s">
        <v>824</v>
      </c>
      <c r="I12" s="42" t="s">
        <v>1034</v>
      </c>
      <c r="J12" s="42" t="s">
        <v>1971</v>
      </c>
    </row>
    <row r="13" spans="1:10" ht="159.5" customHeight="1" x14ac:dyDescent="0.2">
      <c r="A13" s="50" t="s">
        <v>151</v>
      </c>
      <c r="B13" s="50">
        <v>4</v>
      </c>
      <c r="C13" s="50">
        <v>5</v>
      </c>
      <c r="D13" s="50">
        <f t="shared" si="0"/>
        <v>0.8</v>
      </c>
      <c r="E13" s="50">
        <v>4</v>
      </c>
      <c r="F13" s="50">
        <v>5</v>
      </c>
      <c r="G13" s="50">
        <f t="shared" si="1"/>
        <v>0.8</v>
      </c>
      <c r="H13" s="44" t="s">
        <v>824</v>
      </c>
      <c r="I13" s="50" t="s">
        <v>153</v>
      </c>
      <c r="J13" s="50" t="s">
        <v>1971</v>
      </c>
    </row>
    <row r="14" spans="1:10" ht="130.5" customHeight="1" x14ac:dyDescent="0.2">
      <c r="A14" s="42" t="s">
        <v>157</v>
      </c>
      <c r="B14" s="42">
        <v>1</v>
      </c>
      <c r="C14" s="42">
        <v>5</v>
      </c>
      <c r="D14" s="42">
        <f t="shared" si="0"/>
        <v>0.2</v>
      </c>
      <c r="E14" s="42">
        <v>1</v>
      </c>
      <c r="F14" s="42">
        <v>5</v>
      </c>
      <c r="G14" s="42">
        <f t="shared" si="1"/>
        <v>0.2</v>
      </c>
      <c r="H14" s="44" t="s">
        <v>824</v>
      </c>
      <c r="I14" s="42" t="s">
        <v>158</v>
      </c>
      <c r="J14" s="42" t="s">
        <v>1971</v>
      </c>
    </row>
    <row r="15" spans="1:10" ht="87" customHeight="1" x14ac:dyDescent="0.2">
      <c r="A15" s="50" t="s">
        <v>159</v>
      </c>
      <c r="B15" s="50">
        <v>0</v>
      </c>
      <c r="C15" s="50">
        <v>5</v>
      </c>
      <c r="D15" s="50">
        <f t="shared" si="0"/>
        <v>0</v>
      </c>
      <c r="E15" s="50">
        <v>0</v>
      </c>
      <c r="F15" s="50">
        <v>5</v>
      </c>
      <c r="G15" s="50">
        <f t="shared" si="1"/>
        <v>0</v>
      </c>
      <c r="H15" s="44" t="s">
        <v>824</v>
      </c>
      <c r="I15" s="50" t="s">
        <v>160</v>
      </c>
      <c r="J15" s="50" t="s">
        <v>1971</v>
      </c>
    </row>
    <row r="16" spans="1:10" ht="87" customHeight="1" x14ac:dyDescent="0.2">
      <c r="A16" s="42" t="s">
        <v>162</v>
      </c>
      <c r="B16" s="42">
        <v>0</v>
      </c>
      <c r="C16" s="42">
        <v>5</v>
      </c>
      <c r="D16" s="42">
        <f t="shared" si="0"/>
        <v>0</v>
      </c>
      <c r="E16" s="42">
        <v>0</v>
      </c>
      <c r="F16" s="42">
        <v>5</v>
      </c>
      <c r="G16" s="42">
        <f t="shared" si="1"/>
        <v>0</v>
      </c>
      <c r="H16" s="44" t="s">
        <v>824</v>
      </c>
      <c r="I16" s="42" t="s">
        <v>163</v>
      </c>
      <c r="J16" s="42" t="s">
        <v>1971</v>
      </c>
    </row>
    <row r="17" spans="1:10" ht="87" customHeight="1" x14ac:dyDescent="0.2">
      <c r="A17" s="50" t="s">
        <v>165</v>
      </c>
      <c r="B17" s="50">
        <v>0</v>
      </c>
      <c r="C17" s="50">
        <v>5</v>
      </c>
      <c r="D17" s="50">
        <f t="shared" si="0"/>
        <v>0</v>
      </c>
      <c r="E17" s="50">
        <v>0</v>
      </c>
      <c r="F17" s="50">
        <v>5</v>
      </c>
      <c r="G17" s="50">
        <f t="shared" si="1"/>
        <v>0</v>
      </c>
      <c r="H17" s="44" t="s">
        <v>824</v>
      </c>
      <c r="I17" s="50" t="s">
        <v>166</v>
      </c>
      <c r="J17" s="50" t="s">
        <v>1971</v>
      </c>
    </row>
    <row r="18" spans="1:10" ht="145" customHeight="1" x14ac:dyDescent="0.2">
      <c r="A18" s="42" t="s">
        <v>168</v>
      </c>
      <c r="B18" s="42">
        <v>4</v>
      </c>
      <c r="C18" s="42">
        <v>5</v>
      </c>
      <c r="D18" s="42">
        <f t="shared" si="0"/>
        <v>0.8</v>
      </c>
      <c r="E18" s="42">
        <v>4</v>
      </c>
      <c r="F18" s="42">
        <v>5</v>
      </c>
      <c r="G18" s="42">
        <f t="shared" si="1"/>
        <v>0.8</v>
      </c>
      <c r="H18" s="44" t="s">
        <v>824</v>
      </c>
      <c r="I18" s="42" t="s">
        <v>169</v>
      </c>
      <c r="J18" s="42" t="s">
        <v>1971</v>
      </c>
    </row>
    <row r="19" spans="1:10" ht="101.5" customHeight="1" x14ac:dyDescent="0.2">
      <c r="A19" s="50" t="s">
        <v>171</v>
      </c>
      <c r="B19" s="50">
        <v>1</v>
      </c>
      <c r="C19" s="50">
        <v>5</v>
      </c>
      <c r="D19" s="50">
        <f t="shared" si="0"/>
        <v>0.2</v>
      </c>
      <c r="E19" s="50">
        <v>1</v>
      </c>
      <c r="F19" s="50">
        <v>5</v>
      </c>
      <c r="G19" s="50">
        <f t="shared" si="1"/>
        <v>0.2</v>
      </c>
      <c r="H19" s="44" t="s">
        <v>824</v>
      </c>
      <c r="I19" s="50" t="s">
        <v>172</v>
      </c>
      <c r="J19" s="50" t="s">
        <v>1971</v>
      </c>
    </row>
    <row r="20" spans="1:10" ht="101.5" customHeight="1" x14ac:dyDescent="0.2">
      <c r="A20" s="42" t="s">
        <v>174</v>
      </c>
      <c r="B20" s="42">
        <v>0</v>
      </c>
      <c r="C20" s="42">
        <v>5</v>
      </c>
      <c r="D20" s="42">
        <f t="shared" si="0"/>
        <v>0</v>
      </c>
      <c r="E20" s="42">
        <v>0</v>
      </c>
      <c r="F20" s="42">
        <v>5</v>
      </c>
      <c r="G20" s="42">
        <f t="shared" si="1"/>
        <v>0</v>
      </c>
      <c r="H20" s="46" t="s">
        <v>752</v>
      </c>
      <c r="I20" s="42" t="s">
        <v>1049</v>
      </c>
      <c r="J20" s="42" t="s">
        <v>1971</v>
      </c>
    </row>
    <row r="21" spans="1:10" ht="101.5" customHeight="1" x14ac:dyDescent="0.2">
      <c r="A21" s="50" t="s">
        <v>179</v>
      </c>
      <c r="B21" s="50">
        <v>0</v>
      </c>
      <c r="C21" s="50">
        <v>5</v>
      </c>
      <c r="D21" s="50">
        <f t="shared" si="0"/>
        <v>0</v>
      </c>
      <c r="E21" s="50">
        <v>0</v>
      </c>
      <c r="F21" s="50">
        <v>5</v>
      </c>
      <c r="G21" s="50">
        <f t="shared" si="1"/>
        <v>0</v>
      </c>
      <c r="H21" s="44" t="s">
        <v>824</v>
      </c>
      <c r="I21" s="50" t="s">
        <v>180</v>
      </c>
      <c r="J21" s="50" t="s">
        <v>1971</v>
      </c>
    </row>
    <row r="22" spans="1:10" ht="101.5" customHeight="1" x14ac:dyDescent="0.2">
      <c r="A22" s="42" t="s">
        <v>182</v>
      </c>
      <c r="B22" s="43"/>
      <c r="C22" s="43"/>
      <c r="D22" s="42" t="str">
        <f t="shared" si="0"/>
        <v/>
      </c>
      <c r="E22" s="43"/>
      <c r="F22" s="43"/>
      <c r="G22" s="42" t="str">
        <f t="shared" si="1"/>
        <v/>
      </c>
      <c r="H22" s="44" t="s">
        <v>824</v>
      </c>
      <c r="I22" s="42" t="s">
        <v>1052</v>
      </c>
      <c r="J22" s="42" t="s">
        <v>1971</v>
      </c>
    </row>
    <row r="23" spans="1:10" ht="159.5" customHeight="1" x14ac:dyDescent="0.2">
      <c r="A23" s="50" t="s">
        <v>187</v>
      </c>
      <c r="B23" s="50">
        <v>2</v>
      </c>
      <c r="C23" s="50">
        <v>5</v>
      </c>
      <c r="D23" s="50">
        <f t="shared" si="0"/>
        <v>0.4</v>
      </c>
      <c r="E23" s="50">
        <v>2</v>
      </c>
      <c r="F23" s="50">
        <v>5</v>
      </c>
      <c r="G23" s="50">
        <f t="shared" si="1"/>
        <v>0.4</v>
      </c>
      <c r="H23" s="44" t="s">
        <v>824</v>
      </c>
      <c r="I23" s="50" t="s">
        <v>188</v>
      </c>
      <c r="J23" s="50" t="s">
        <v>1971</v>
      </c>
    </row>
    <row r="24" spans="1:10" ht="145" customHeight="1" x14ac:dyDescent="0.2">
      <c r="A24" s="42" t="s">
        <v>190</v>
      </c>
      <c r="B24" s="42">
        <v>1</v>
      </c>
      <c r="C24" s="42">
        <v>5</v>
      </c>
      <c r="D24" s="42">
        <f t="shared" si="0"/>
        <v>0.2</v>
      </c>
      <c r="E24" s="42">
        <v>1</v>
      </c>
      <c r="F24" s="42">
        <v>5</v>
      </c>
      <c r="G24" s="42">
        <f t="shared" si="1"/>
        <v>0.2</v>
      </c>
      <c r="H24" s="44" t="s">
        <v>824</v>
      </c>
      <c r="I24" s="42" t="s">
        <v>1057</v>
      </c>
      <c r="J24" s="42" t="s">
        <v>1971</v>
      </c>
    </row>
    <row r="25" spans="1:10" ht="188.5" customHeight="1" x14ac:dyDescent="0.2">
      <c r="A25" s="50" t="s">
        <v>196</v>
      </c>
      <c r="B25" s="50">
        <v>1</v>
      </c>
      <c r="C25" s="50">
        <v>5</v>
      </c>
      <c r="D25" s="50">
        <f t="shared" si="0"/>
        <v>0.2</v>
      </c>
      <c r="E25" s="50">
        <v>1</v>
      </c>
      <c r="F25" s="50">
        <v>5</v>
      </c>
      <c r="G25" s="50">
        <f t="shared" si="1"/>
        <v>0.2</v>
      </c>
      <c r="H25" s="44" t="s">
        <v>824</v>
      </c>
      <c r="I25" s="50" t="s">
        <v>197</v>
      </c>
      <c r="J25" s="50" t="s">
        <v>1971</v>
      </c>
    </row>
    <row r="26" spans="1:10" ht="188.5" customHeight="1" x14ac:dyDescent="0.2">
      <c r="A26" s="42" t="s">
        <v>199</v>
      </c>
      <c r="B26" s="42">
        <v>2</v>
      </c>
      <c r="C26" s="42">
        <v>5</v>
      </c>
      <c r="D26" s="42">
        <f t="shared" si="0"/>
        <v>0.4</v>
      </c>
      <c r="E26" s="42">
        <v>2</v>
      </c>
      <c r="F26" s="42">
        <v>5</v>
      </c>
      <c r="G26" s="42">
        <f t="shared" si="1"/>
        <v>0.4</v>
      </c>
      <c r="H26" s="44" t="s">
        <v>824</v>
      </c>
      <c r="I26" s="42" t="s">
        <v>200</v>
      </c>
      <c r="J26" s="42" t="s">
        <v>1971</v>
      </c>
    </row>
    <row r="27" spans="1:10" ht="87" customHeight="1" x14ac:dyDescent="0.2">
      <c r="A27" s="50" t="s">
        <v>202</v>
      </c>
      <c r="B27" s="50">
        <v>0</v>
      </c>
      <c r="C27" s="50">
        <v>5</v>
      </c>
      <c r="D27" s="50">
        <f t="shared" si="0"/>
        <v>0</v>
      </c>
      <c r="E27" s="50">
        <v>0</v>
      </c>
      <c r="F27" s="50">
        <v>5</v>
      </c>
      <c r="G27" s="50">
        <f t="shared" si="1"/>
        <v>0</v>
      </c>
      <c r="H27" s="44" t="s">
        <v>824</v>
      </c>
      <c r="I27" s="50" t="s">
        <v>1064</v>
      </c>
      <c r="J27" s="50" t="s">
        <v>1971</v>
      </c>
    </row>
    <row r="28" spans="1:10" ht="145" customHeight="1" x14ac:dyDescent="0.2">
      <c r="A28" s="42" t="s">
        <v>206</v>
      </c>
      <c r="B28" s="42">
        <v>0</v>
      </c>
      <c r="C28" s="42">
        <v>5</v>
      </c>
      <c r="D28" s="42">
        <f t="shared" si="0"/>
        <v>0</v>
      </c>
      <c r="E28" s="42">
        <v>0</v>
      </c>
      <c r="F28" s="42">
        <v>5</v>
      </c>
      <c r="G28" s="42">
        <f t="shared" si="1"/>
        <v>0</v>
      </c>
      <c r="H28" s="44" t="s">
        <v>824</v>
      </c>
      <c r="I28" s="42" t="s">
        <v>207</v>
      </c>
      <c r="J28" s="42" t="s">
        <v>1971</v>
      </c>
    </row>
    <row r="29" spans="1:10" ht="101.5" customHeight="1" x14ac:dyDescent="0.2">
      <c r="A29" s="50" t="s">
        <v>209</v>
      </c>
      <c r="B29" s="51"/>
      <c r="C29" s="51"/>
      <c r="D29" s="50" t="str">
        <f t="shared" si="0"/>
        <v/>
      </c>
      <c r="E29" s="51"/>
      <c r="F29" s="51"/>
      <c r="G29" s="50" t="str">
        <f t="shared" si="1"/>
        <v/>
      </c>
      <c r="H29" s="44" t="s">
        <v>824</v>
      </c>
      <c r="I29" s="50" t="s">
        <v>210</v>
      </c>
      <c r="J29" s="50" t="s">
        <v>1971</v>
      </c>
    </row>
    <row r="30" spans="1:10" ht="116" customHeight="1" x14ac:dyDescent="0.2">
      <c r="A30" s="42" t="s">
        <v>212</v>
      </c>
      <c r="B30" s="43"/>
      <c r="C30" s="43"/>
      <c r="D30" s="42" t="str">
        <f t="shared" si="0"/>
        <v/>
      </c>
      <c r="E30" s="43"/>
      <c r="F30" s="43"/>
      <c r="G30" s="42" t="str">
        <f t="shared" si="1"/>
        <v/>
      </c>
      <c r="H30" s="44" t="s">
        <v>824</v>
      </c>
      <c r="I30" s="42" t="s">
        <v>213</v>
      </c>
      <c r="J30" s="42" t="s">
        <v>1971</v>
      </c>
    </row>
    <row r="31" spans="1:10" ht="145" customHeight="1" x14ac:dyDescent="0.2">
      <c r="A31" s="50" t="s">
        <v>24</v>
      </c>
      <c r="B31" s="51"/>
      <c r="C31" s="51"/>
      <c r="D31" s="50" t="str">
        <f t="shared" si="0"/>
        <v/>
      </c>
      <c r="E31" s="51"/>
      <c r="F31" s="51"/>
      <c r="G31" s="50" t="str">
        <f t="shared" si="1"/>
        <v/>
      </c>
      <c r="H31" s="46" t="s">
        <v>752</v>
      </c>
      <c r="I31" s="50" t="s">
        <v>215</v>
      </c>
      <c r="J31" s="50" t="s">
        <v>1971</v>
      </c>
    </row>
    <row r="32" spans="1:10" ht="72.5" customHeight="1" x14ac:dyDescent="0.2">
      <c r="A32" s="42" t="s">
        <v>28</v>
      </c>
      <c r="B32" s="43"/>
      <c r="C32" s="43"/>
      <c r="D32" s="42" t="str">
        <f t="shared" si="0"/>
        <v/>
      </c>
      <c r="E32" s="43"/>
      <c r="F32" s="43"/>
      <c r="G32" s="42" t="str">
        <f t="shared" si="1"/>
        <v/>
      </c>
      <c r="H32" s="44" t="s">
        <v>824</v>
      </c>
      <c r="I32" s="42" t="s">
        <v>219</v>
      </c>
      <c r="J32" s="42" t="s">
        <v>1971</v>
      </c>
    </row>
    <row r="33" spans="1:10" ht="72.5" customHeight="1" x14ac:dyDescent="0.2">
      <c r="A33" s="50" t="s">
        <v>222</v>
      </c>
      <c r="B33" s="51"/>
      <c r="C33" s="51"/>
      <c r="D33" s="50" t="str">
        <f t="shared" si="0"/>
        <v/>
      </c>
      <c r="E33" s="51"/>
      <c r="F33" s="51"/>
      <c r="G33" s="50" t="str">
        <f t="shared" si="1"/>
        <v/>
      </c>
      <c r="H33" s="44" t="s">
        <v>824</v>
      </c>
      <c r="I33" s="50" t="s">
        <v>1078</v>
      </c>
      <c r="J33" s="50" t="s">
        <v>1971</v>
      </c>
    </row>
  </sheetData>
  <mergeCells count="2">
    <mergeCell ref="A1:J1"/>
    <mergeCell ref="A2:J2"/>
  </mergeCell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F7"/>
  <sheetViews>
    <sheetView showGridLines="0" rightToLeft="1" workbookViewId="0">
      <pane ySplit="3" topLeftCell="A4" activePane="bottomLeft" state="frozen"/>
      <selection pane="bottomLeft"/>
    </sheetView>
  </sheetViews>
  <sheetFormatPr baseColWidth="10" defaultColWidth="8.83203125" defaultRowHeight="15" x14ac:dyDescent="0.2"/>
  <cols>
    <col min="1" max="1" width="42" customWidth="1"/>
    <col min="2" max="2" width="14.33203125" customWidth="1"/>
    <col min="3" max="3" width="42" customWidth="1"/>
    <col min="4" max="4" width="10.6640625" customWidth="1"/>
    <col min="5" max="5" width="42" customWidth="1"/>
    <col min="6" max="6" width="25.83203125" customWidth="1"/>
  </cols>
  <sheetData>
    <row r="1" spans="1:6" ht="34" customHeight="1" x14ac:dyDescent="0.2">
      <c r="A1" s="79" t="s">
        <v>1972</v>
      </c>
      <c r="B1" s="76"/>
      <c r="C1" s="76"/>
      <c r="D1" s="76"/>
      <c r="E1" s="76"/>
      <c r="F1" s="76"/>
    </row>
    <row r="2" spans="1:6" ht="28" customHeight="1" x14ac:dyDescent="0.2">
      <c r="A2" s="86" t="s">
        <v>1973</v>
      </c>
      <c r="B2" s="76"/>
      <c r="C2" s="76"/>
      <c r="D2" s="76"/>
      <c r="E2" s="76"/>
      <c r="F2" s="76"/>
    </row>
    <row r="3" spans="1:6" ht="30" customHeight="1" x14ac:dyDescent="0.2">
      <c r="A3" s="48" t="s">
        <v>1684</v>
      </c>
      <c r="B3" s="48" t="s">
        <v>1728</v>
      </c>
      <c r="C3" s="48" t="s">
        <v>1974</v>
      </c>
      <c r="D3" s="48" t="s">
        <v>1229</v>
      </c>
      <c r="E3" s="48" t="s">
        <v>264</v>
      </c>
      <c r="F3" s="48" t="s">
        <v>376</v>
      </c>
    </row>
    <row r="4" spans="1:6" ht="29" customHeight="1" x14ac:dyDescent="0.2">
      <c r="A4" s="42" t="s">
        <v>1975</v>
      </c>
      <c r="B4" s="42" t="s">
        <v>1781</v>
      </c>
      <c r="C4" s="42" t="s">
        <v>1976</v>
      </c>
      <c r="D4" s="42" t="s">
        <v>1258</v>
      </c>
      <c r="E4" s="42" t="s">
        <v>1977</v>
      </c>
      <c r="F4" s="44" t="s">
        <v>824</v>
      </c>
    </row>
    <row r="5" spans="1:6" ht="29" customHeight="1" x14ac:dyDescent="0.2">
      <c r="A5" s="50" t="s">
        <v>1978</v>
      </c>
      <c r="B5" s="50" t="s">
        <v>1781</v>
      </c>
      <c r="C5" s="50" t="s">
        <v>1979</v>
      </c>
      <c r="D5" s="50" t="s">
        <v>1980</v>
      </c>
      <c r="E5" s="50" t="s">
        <v>1981</v>
      </c>
      <c r="F5" s="45" t="s">
        <v>836</v>
      </c>
    </row>
    <row r="6" spans="1:6" ht="29" customHeight="1" x14ac:dyDescent="0.2">
      <c r="A6" s="42" t="s">
        <v>1982</v>
      </c>
      <c r="B6" s="42" t="s">
        <v>1795</v>
      </c>
      <c r="C6" s="42" t="s">
        <v>1983</v>
      </c>
      <c r="D6" s="42" t="s">
        <v>1984</v>
      </c>
      <c r="E6" s="42" t="s">
        <v>1985</v>
      </c>
      <c r="F6" s="44" t="s">
        <v>824</v>
      </c>
    </row>
    <row r="7" spans="1:6" ht="20" customHeight="1" x14ac:dyDescent="0.2">
      <c r="A7" s="50" t="s">
        <v>1986</v>
      </c>
      <c r="B7" s="50" t="s">
        <v>1987</v>
      </c>
      <c r="C7" s="50" t="s">
        <v>1988</v>
      </c>
      <c r="D7" s="50" t="s">
        <v>1236</v>
      </c>
      <c r="E7" s="50" t="s">
        <v>1989</v>
      </c>
      <c r="F7" s="44" t="s">
        <v>824</v>
      </c>
    </row>
  </sheetData>
  <mergeCells count="2">
    <mergeCell ref="A2:F2"/>
    <mergeCell ref="A1:F1"/>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E6"/>
  <sheetViews>
    <sheetView showGridLines="0" rightToLeft="1" workbookViewId="0">
      <pane ySplit="3" topLeftCell="A4" activePane="bottomLeft" state="frozen"/>
      <selection pane="bottomLeft"/>
    </sheetView>
  </sheetViews>
  <sheetFormatPr baseColWidth="10" defaultColWidth="8.83203125" defaultRowHeight="15" x14ac:dyDescent="0.2"/>
  <cols>
    <col min="1" max="4" width="42" customWidth="1"/>
    <col min="5" max="5" width="25.83203125" customWidth="1"/>
  </cols>
  <sheetData>
    <row r="1" spans="1:5" ht="34" customHeight="1" x14ac:dyDescent="0.2">
      <c r="A1" s="79" t="s">
        <v>1990</v>
      </c>
      <c r="B1" s="76"/>
      <c r="C1" s="76"/>
      <c r="D1" s="76"/>
      <c r="E1" s="76"/>
    </row>
    <row r="2" spans="1:5" ht="28" customHeight="1" x14ac:dyDescent="0.2">
      <c r="A2" s="86" t="s">
        <v>1991</v>
      </c>
      <c r="B2" s="76"/>
      <c r="C2" s="76"/>
      <c r="D2" s="76"/>
      <c r="E2" s="76"/>
    </row>
    <row r="3" spans="1:5" ht="30" customHeight="1" x14ac:dyDescent="0.2">
      <c r="A3" s="48" t="s">
        <v>1684</v>
      </c>
      <c r="B3" s="48" t="s">
        <v>1992</v>
      </c>
      <c r="C3" s="48" t="s">
        <v>263</v>
      </c>
      <c r="D3" s="48" t="s">
        <v>264</v>
      </c>
      <c r="E3" s="48" t="s">
        <v>376</v>
      </c>
    </row>
    <row r="4" spans="1:5" ht="29" customHeight="1" x14ac:dyDescent="0.2">
      <c r="A4" s="42" t="s">
        <v>449</v>
      </c>
      <c r="B4" s="42" t="s">
        <v>1993</v>
      </c>
      <c r="C4" s="42" t="s">
        <v>1994</v>
      </c>
      <c r="D4" s="42" t="s">
        <v>1995</v>
      </c>
      <c r="E4" s="44" t="s">
        <v>824</v>
      </c>
    </row>
    <row r="5" spans="1:5" ht="29" customHeight="1" x14ac:dyDescent="0.2">
      <c r="A5" s="50" t="s">
        <v>1996</v>
      </c>
      <c r="B5" s="50" t="s">
        <v>1997</v>
      </c>
      <c r="C5" s="50" t="s">
        <v>1998</v>
      </c>
      <c r="D5" s="50" t="s">
        <v>1999</v>
      </c>
      <c r="E5" s="44" t="s">
        <v>824</v>
      </c>
    </row>
    <row r="6" spans="1:5" ht="20" customHeight="1" x14ac:dyDescent="0.2">
      <c r="A6" s="42" t="s">
        <v>2000</v>
      </c>
      <c r="B6" s="42" t="s">
        <v>2001</v>
      </c>
      <c r="C6" s="42" t="s">
        <v>2002</v>
      </c>
      <c r="D6" s="42" t="s">
        <v>2003</v>
      </c>
      <c r="E6" s="46" t="s">
        <v>752</v>
      </c>
    </row>
  </sheetData>
  <mergeCells count="2">
    <mergeCell ref="A2:E2"/>
    <mergeCell ref="A1:E1"/>
  </mergeCell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K33"/>
  <sheetViews>
    <sheetView showGridLines="0" rightToLeft="1" workbookViewId="0">
      <pane xSplit="1" ySplit="3" topLeftCell="B4" activePane="bottomRight" state="frozen"/>
      <selection pane="topRight"/>
      <selection pane="bottomLeft"/>
      <selection pane="bottomRight"/>
    </sheetView>
  </sheetViews>
  <sheetFormatPr baseColWidth="10" defaultColWidth="8.83203125" defaultRowHeight="15" x14ac:dyDescent="0.2"/>
  <cols>
    <col min="1" max="1" width="42" customWidth="1"/>
    <col min="2" max="2" width="11.5" customWidth="1"/>
    <col min="3" max="3" width="29.6640625" customWidth="1"/>
    <col min="4" max="4" width="19.1640625" customWidth="1"/>
    <col min="5" max="5" width="10.6640625" customWidth="1"/>
    <col min="6" max="6" width="12.5" customWidth="1"/>
    <col min="7" max="7" width="11.5" customWidth="1"/>
    <col min="8" max="8" width="15.33203125" customWidth="1"/>
    <col min="9" max="9" width="14.33203125" customWidth="1"/>
    <col min="10" max="10" width="18.1640625" customWidth="1"/>
    <col min="11" max="11" width="14.33203125" customWidth="1"/>
  </cols>
  <sheetData>
    <row r="1" spans="1:11" ht="34" customHeight="1" x14ac:dyDescent="0.2">
      <c r="A1" s="79" t="s">
        <v>2004</v>
      </c>
      <c r="B1" s="76"/>
      <c r="C1" s="76"/>
      <c r="D1" s="76"/>
      <c r="E1" s="76"/>
      <c r="F1" s="76"/>
      <c r="G1" s="76"/>
      <c r="H1" s="76"/>
      <c r="I1" s="76"/>
      <c r="J1" s="76"/>
      <c r="K1" s="76"/>
    </row>
    <row r="2" spans="1:11" ht="28" customHeight="1" x14ac:dyDescent="0.2">
      <c r="A2" s="86" t="s">
        <v>2005</v>
      </c>
      <c r="B2" s="76"/>
      <c r="C2" s="76"/>
      <c r="D2" s="76"/>
      <c r="E2" s="76"/>
      <c r="F2" s="76"/>
      <c r="G2" s="76"/>
      <c r="H2" s="76"/>
      <c r="I2" s="76"/>
      <c r="J2" s="76"/>
      <c r="K2" s="76"/>
    </row>
    <row r="3" spans="1:11" ht="30" customHeight="1" x14ac:dyDescent="0.2">
      <c r="A3" s="48" t="s">
        <v>94</v>
      </c>
      <c r="B3" s="48" t="s">
        <v>2006</v>
      </c>
      <c r="C3" s="48" t="s">
        <v>2007</v>
      </c>
      <c r="D3" s="48" t="s">
        <v>2008</v>
      </c>
      <c r="E3" s="48" t="s">
        <v>2009</v>
      </c>
      <c r="F3" s="48" t="s">
        <v>2010</v>
      </c>
      <c r="G3" s="48" t="s">
        <v>2011</v>
      </c>
      <c r="H3" s="48" t="s">
        <v>2012</v>
      </c>
      <c r="I3" s="48" t="s">
        <v>2013</v>
      </c>
      <c r="J3" s="48" t="s">
        <v>2014</v>
      </c>
      <c r="K3" s="48" t="s">
        <v>107</v>
      </c>
    </row>
    <row r="4" spans="1:11" ht="20" customHeight="1" x14ac:dyDescent="0.2">
      <c r="A4" s="42" t="s">
        <v>109</v>
      </c>
      <c r="B4" s="42" t="s">
        <v>2015</v>
      </c>
      <c r="C4" s="42" t="s">
        <v>2015</v>
      </c>
      <c r="D4" s="42">
        <v>3</v>
      </c>
      <c r="E4" s="42">
        <v>3</v>
      </c>
      <c r="F4" s="42">
        <v>2</v>
      </c>
      <c r="G4" s="42">
        <v>0</v>
      </c>
      <c r="H4" s="42">
        <v>2</v>
      </c>
      <c r="I4" s="42">
        <v>1</v>
      </c>
      <c r="J4" s="42">
        <v>4</v>
      </c>
      <c r="K4" s="42" t="s">
        <v>1236</v>
      </c>
    </row>
    <row r="5" spans="1:11" ht="20" customHeight="1" x14ac:dyDescent="0.2">
      <c r="A5" s="50" t="s">
        <v>117</v>
      </c>
      <c r="B5" s="50" t="s">
        <v>2015</v>
      </c>
      <c r="C5" s="50" t="s">
        <v>2015</v>
      </c>
      <c r="D5" s="50">
        <v>5</v>
      </c>
      <c r="E5" s="50">
        <v>3</v>
      </c>
      <c r="F5" s="50">
        <v>3</v>
      </c>
      <c r="G5" s="50">
        <v>0</v>
      </c>
      <c r="H5" s="50">
        <v>4</v>
      </c>
      <c r="I5" s="50">
        <v>8</v>
      </c>
      <c r="J5" s="50">
        <v>5</v>
      </c>
      <c r="K5" s="50" t="s">
        <v>1236</v>
      </c>
    </row>
    <row r="6" spans="1:11" ht="20" customHeight="1" x14ac:dyDescent="0.2">
      <c r="A6" s="42" t="s">
        <v>126</v>
      </c>
      <c r="B6" s="42" t="s">
        <v>2015</v>
      </c>
      <c r="C6" s="42" t="s">
        <v>2015</v>
      </c>
      <c r="D6" s="42">
        <v>2</v>
      </c>
      <c r="E6" s="42">
        <v>2</v>
      </c>
      <c r="F6" s="42">
        <v>2</v>
      </c>
      <c r="G6" s="42">
        <v>1</v>
      </c>
      <c r="H6" s="42">
        <v>2</v>
      </c>
      <c r="I6" s="42">
        <v>1</v>
      </c>
      <c r="J6" s="42">
        <v>2</v>
      </c>
      <c r="K6" s="42" t="s">
        <v>1236</v>
      </c>
    </row>
    <row r="7" spans="1:11" ht="20" customHeight="1" x14ac:dyDescent="0.2">
      <c r="A7" s="50" t="s">
        <v>131</v>
      </c>
      <c r="B7" s="50" t="s">
        <v>2015</v>
      </c>
      <c r="C7" s="50" t="s">
        <v>2015</v>
      </c>
      <c r="D7" s="50">
        <v>3</v>
      </c>
      <c r="E7" s="50">
        <v>3</v>
      </c>
      <c r="F7" s="50">
        <v>3</v>
      </c>
      <c r="G7" s="50">
        <v>0</v>
      </c>
      <c r="H7" s="50">
        <v>1</v>
      </c>
      <c r="I7" s="50">
        <v>4</v>
      </c>
      <c r="J7" s="50">
        <v>3</v>
      </c>
      <c r="K7" s="50" t="s">
        <v>1236</v>
      </c>
    </row>
    <row r="8" spans="1:11" ht="20" customHeight="1" x14ac:dyDescent="0.2">
      <c r="A8" s="42" t="s">
        <v>135</v>
      </c>
      <c r="B8" s="42" t="s">
        <v>2016</v>
      </c>
      <c r="C8" s="42" t="s">
        <v>2016</v>
      </c>
      <c r="D8" s="42">
        <v>2</v>
      </c>
      <c r="E8" s="42">
        <v>2</v>
      </c>
      <c r="F8" s="42">
        <v>2</v>
      </c>
      <c r="G8" s="42">
        <v>0</v>
      </c>
      <c r="H8" s="42">
        <v>0</v>
      </c>
      <c r="I8" s="42">
        <v>4</v>
      </c>
      <c r="J8" s="42">
        <v>2</v>
      </c>
      <c r="K8" s="42" t="s">
        <v>2017</v>
      </c>
    </row>
    <row r="9" spans="1:11" ht="29" customHeight="1" x14ac:dyDescent="0.2">
      <c r="A9" s="50" t="s">
        <v>137</v>
      </c>
      <c r="B9" s="50" t="s">
        <v>2016</v>
      </c>
      <c r="C9" s="50" t="s">
        <v>2018</v>
      </c>
      <c r="D9" s="50">
        <v>2</v>
      </c>
      <c r="E9" s="50">
        <v>2</v>
      </c>
      <c r="F9" s="50">
        <v>2</v>
      </c>
      <c r="G9" s="50">
        <v>1</v>
      </c>
      <c r="H9" s="50">
        <v>0</v>
      </c>
      <c r="I9" s="50">
        <v>2</v>
      </c>
      <c r="J9" s="50">
        <v>2</v>
      </c>
      <c r="K9" s="50" t="s">
        <v>1236</v>
      </c>
    </row>
    <row r="10" spans="1:11" ht="20" customHeight="1" x14ac:dyDescent="0.2">
      <c r="A10" s="42" t="s">
        <v>140</v>
      </c>
      <c r="B10" s="42" t="s">
        <v>2015</v>
      </c>
      <c r="C10" s="42" t="s">
        <v>2015</v>
      </c>
      <c r="D10" s="42">
        <v>2</v>
      </c>
      <c r="E10" s="42">
        <v>2</v>
      </c>
      <c r="F10" s="42">
        <v>2</v>
      </c>
      <c r="G10" s="42">
        <v>0</v>
      </c>
      <c r="H10" s="42">
        <v>0</v>
      </c>
      <c r="I10" s="42">
        <v>2</v>
      </c>
      <c r="J10" s="42">
        <v>2</v>
      </c>
      <c r="K10" s="42" t="s">
        <v>1236</v>
      </c>
    </row>
    <row r="11" spans="1:11" ht="20" customHeight="1" x14ac:dyDescent="0.2">
      <c r="A11" s="50" t="s">
        <v>143</v>
      </c>
      <c r="B11" s="50" t="s">
        <v>2016</v>
      </c>
      <c r="C11" s="50" t="s">
        <v>2016</v>
      </c>
      <c r="D11" s="50">
        <v>2</v>
      </c>
      <c r="E11" s="50">
        <v>2</v>
      </c>
      <c r="F11" s="50">
        <v>2</v>
      </c>
      <c r="G11" s="50">
        <v>0</v>
      </c>
      <c r="H11" s="50">
        <v>0</v>
      </c>
      <c r="I11" s="50">
        <v>1</v>
      </c>
      <c r="J11" s="50">
        <v>0</v>
      </c>
      <c r="K11" s="50" t="s">
        <v>2017</v>
      </c>
    </row>
    <row r="12" spans="1:11" ht="20" customHeight="1" x14ac:dyDescent="0.2">
      <c r="A12" s="42" t="s">
        <v>20</v>
      </c>
      <c r="B12" s="42" t="s">
        <v>2015</v>
      </c>
      <c r="C12" s="42" t="s">
        <v>2015</v>
      </c>
      <c r="D12" s="42">
        <v>2</v>
      </c>
      <c r="E12" s="42">
        <v>2</v>
      </c>
      <c r="F12" s="42">
        <v>2</v>
      </c>
      <c r="G12" s="42">
        <v>2</v>
      </c>
      <c r="H12" s="42">
        <v>2</v>
      </c>
      <c r="I12" s="42">
        <v>3</v>
      </c>
      <c r="J12" s="42">
        <v>0</v>
      </c>
      <c r="K12" s="42" t="s">
        <v>1236</v>
      </c>
    </row>
    <row r="13" spans="1:11" ht="20" customHeight="1" x14ac:dyDescent="0.2">
      <c r="A13" s="50" t="s">
        <v>151</v>
      </c>
      <c r="B13" s="50" t="s">
        <v>2016</v>
      </c>
      <c r="C13" s="50" t="s">
        <v>2016</v>
      </c>
      <c r="D13" s="50">
        <v>2</v>
      </c>
      <c r="E13" s="50">
        <v>2</v>
      </c>
      <c r="F13" s="50">
        <v>1</v>
      </c>
      <c r="G13" s="50">
        <v>0</v>
      </c>
      <c r="H13" s="50">
        <v>0</v>
      </c>
      <c r="I13" s="50">
        <v>4</v>
      </c>
      <c r="J13" s="50">
        <v>0</v>
      </c>
      <c r="K13" s="50" t="s">
        <v>2017</v>
      </c>
    </row>
    <row r="14" spans="1:11" ht="20" customHeight="1" x14ac:dyDescent="0.2">
      <c r="A14" s="42" t="s">
        <v>157</v>
      </c>
      <c r="B14" s="42" t="s">
        <v>2016</v>
      </c>
      <c r="C14" s="42" t="s">
        <v>2016</v>
      </c>
      <c r="D14" s="42">
        <v>2</v>
      </c>
      <c r="E14" s="42">
        <v>0</v>
      </c>
      <c r="F14" s="42">
        <v>1</v>
      </c>
      <c r="G14" s="42">
        <v>0</v>
      </c>
      <c r="H14" s="42">
        <v>2</v>
      </c>
      <c r="I14" s="42">
        <v>3</v>
      </c>
      <c r="J14" s="42">
        <v>0</v>
      </c>
      <c r="K14" s="42" t="s">
        <v>2017</v>
      </c>
    </row>
    <row r="15" spans="1:11" ht="20" customHeight="1" x14ac:dyDescent="0.2">
      <c r="A15" s="50" t="s">
        <v>159</v>
      </c>
      <c r="B15" s="50" t="s">
        <v>2015</v>
      </c>
      <c r="C15" s="50" t="s">
        <v>2015</v>
      </c>
      <c r="D15" s="50">
        <v>5</v>
      </c>
      <c r="E15" s="50">
        <v>5</v>
      </c>
      <c r="F15" s="50">
        <v>5</v>
      </c>
      <c r="G15" s="50">
        <v>0</v>
      </c>
      <c r="H15" s="50">
        <v>3</v>
      </c>
      <c r="I15" s="50">
        <v>0</v>
      </c>
      <c r="J15" s="50">
        <v>3</v>
      </c>
      <c r="K15" s="50" t="s">
        <v>1236</v>
      </c>
    </row>
    <row r="16" spans="1:11" ht="20" customHeight="1" x14ac:dyDescent="0.2">
      <c r="A16" s="42" t="s">
        <v>162</v>
      </c>
      <c r="B16" s="42" t="s">
        <v>2015</v>
      </c>
      <c r="C16" s="42" t="s">
        <v>2015</v>
      </c>
      <c r="D16" s="42">
        <v>1</v>
      </c>
      <c r="E16" s="42">
        <v>1</v>
      </c>
      <c r="F16" s="42">
        <v>1</v>
      </c>
      <c r="G16" s="42">
        <v>0</v>
      </c>
      <c r="H16" s="42">
        <v>0</v>
      </c>
      <c r="I16" s="42">
        <v>6</v>
      </c>
      <c r="J16" s="42">
        <v>1</v>
      </c>
      <c r="K16" s="42" t="s">
        <v>1236</v>
      </c>
    </row>
    <row r="17" spans="1:11" ht="20" customHeight="1" x14ac:dyDescent="0.2">
      <c r="A17" s="50" t="s">
        <v>165</v>
      </c>
      <c r="B17" s="50" t="s">
        <v>2015</v>
      </c>
      <c r="C17" s="50" t="s">
        <v>2015</v>
      </c>
      <c r="D17" s="50">
        <v>2</v>
      </c>
      <c r="E17" s="50">
        <v>2</v>
      </c>
      <c r="F17" s="50">
        <v>2</v>
      </c>
      <c r="G17" s="50">
        <v>0</v>
      </c>
      <c r="H17" s="50">
        <v>2</v>
      </c>
      <c r="I17" s="50">
        <v>3</v>
      </c>
      <c r="J17" s="50">
        <v>0</v>
      </c>
      <c r="K17" s="50" t="s">
        <v>1236</v>
      </c>
    </row>
    <row r="18" spans="1:11" ht="20" customHeight="1" x14ac:dyDescent="0.2">
      <c r="A18" s="42" t="s">
        <v>168</v>
      </c>
      <c r="B18" s="42" t="s">
        <v>2015</v>
      </c>
      <c r="C18" s="42" t="s">
        <v>2015</v>
      </c>
      <c r="D18" s="42">
        <v>8</v>
      </c>
      <c r="E18" s="42">
        <v>2</v>
      </c>
      <c r="F18" s="42">
        <v>2</v>
      </c>
      <c r="G18" s="42">
        <v>0</v>
      </c>
      <c r="H18" s="42">
        <v>0</v>
      </c>
      <c r="I18" s="42">
        <v>4</v>
      </c>
      <c r="J18" s="42">
        <v>0</v>
      </c>
      <c r="K18" s="42" t="s">
        <v>1236</v>
      </c>
    </row>
    <row r="19" spans="1:11" ht="20" customHeight="1" x14ac:dyDescent="0.2">
      <c r="A19" s="50" t="s">
        <v>171</v>
      </c>
      <c r="B19" s="50" t="s">
        <v>2015</v>
      </c>
      <c r="C19" s="50" t="s">
        <v>2015</v>
      </c>
      <c r="D19" s="50">
        <v>2</v>
      </c>
      <c r="E19" s="50">
        <v>2</v>
      </c>
      <c r="F19" s="50">
        <v>2</v>
      </c>
      <c r="G19" s="50">
        <v>0</v>
      </c>
      <c r="H19" s="50">
        <v>0</v>
      </c>
      <c r="I19" s="50">
        <v>2</v>
      </c>
      <c r="J19" s="50">
        <v>2</v>
      </c>
      <c r="K19" s="50" t="s">
        <v>1236</v>
      </c>
    </row>
    <row r="20" spans="1:11" ht="20" customHeight="1" x14ac:dyDescent="0.2">
      <c r="A20" s="42" t="s">
        <v>174</v>
      </c>
      <c r="B20" s="42" t="s">
        <v>2015</v>
      </c>
      <c r="C20" s="42" t="s">
        <v>2015</v>
      </c>
      <c r="D20" s="42">
        <v>3</v>
      </c>
      <c r="E20" s="42">
        <v>3</v>
      </c>
      <c r="F20" s="42">
        <v>3</v>
      </c>
      <c r="G20" s="42">
        <v>0</v>
      </c>
      <c r="H20" s="42">
        <v>3</v>
      </c>
      <c r="I20" s="42">
        <v>1</v>
      </c>
      <c r="J20" s="42">
        <v>0</v>
      </c>
      <c r="K20" s="42" t="s">
        <v>1236</v>
      </c>
    </row>
    <row r="21" spans="1:11" ht="20" customHeight="1" x14ac:dyDescent="0.2">
      <c r="A21" s="50" t="s">
        <v>179</v>
      </c>
      <c r="B21" s="50" t="s">
        <v>2015</v>
      </c>
      <c r="C21" s="50" t="s">
        <v>2015</v>
      </c>
      <c r="D21" s="50">
        <v>2</v>
      </c>
      <c r="E21" s="50">
        <v>2</v>
      </c>
      <c r="F21" s="50">
        <v>2</v>
      </c>
      <c r="G21" s="50">
        <v>0</v>
      </c>
      <c r="H21" s="50">
        <v>2</v>
      </c>
      <c r="I21" s="50">
        <v>0</v>
      </c>
      <c r="J21" s="50">
        <v>0</v>
      </c>
      <c r="K21" s="50" t="s">
        <v>1236</v>
      </c>
    </row>
    <row r="22" spans="1:11" ht="20" customHeight="1" x14ac:dyDescent="0.2">
      <c r="A22" s="42" t="s">
        <v>182</v>
      </c>
      <c r="B22" s="42" t="s">
        <v>2015</v>
      </c>
      <c r="C22" s="42" t="s">
        <v>2015</v>
      </c>
      <c r="D22" s="42">
        <v>3</v>
      </c>
      <c r="E22" s="42">
        <v>3</v>
      </c>
      <c r="F22" s="42">
        <v>2</v>
      </c>
      <c r="G22" s="42">
        <v>0</v>
      </c>
      <c r="H22" s="42">
        <v>2</v>
      </c>
      <c r="I22" s="42">
        <v>6</v>
      </c>
      <c r="J22" s="42">
        <v>1</v>
      </c>
      <c r="K22" s="42" t="s">
        <v>1236</v>
      </c>
    </row>
    <row r="23" spans="1:11" ht="20" customHeight="1" x14ac:dyDescent="0.2">
      <c r="A23" s="50" t="s">
        <v>187</v>
      </c>
      <c r="B23" s="50" t="s">
        <v>2015</v>
      </c>
      <c r="C23" s="50" t="s">
        <v>2015</v>
      </c>
      <c r="D23" s="50">
        <v>3</v>
      </c>
      <c r="E23" s="50">
        <v>1</v>
      </c>
      <c r="F23" s="50">
        <v>1</v>
      </c>
      <c r="G23" s="50">
        <v>0</v>
      </c>
      <c r="H23" s="50">
        <v>1</v>
      </c>
      <c r="I23" s="50">
        <v>2</v>
      </c>
      <c r="J23" s="50">
        <v>1</v>
      </c>
      <c r="K23" s="50" t="s">
        <v>1236</v>
      </c>
    </row>
    <row r="24" spans="1:11" ht="20" customHeight="1" x14ac:dyDescent="0.2">
      <c r="A24" s="42" t="s">
        <v>190</v>
      </c>
      <c r="B24" s="42" t="s">
        <v>2015</v>
      </c>
      <c r="C24" s="42" t="s">
        <v>2015</v>
      </c>
      <c r="D24" s="42">
        <v>2</v>
      </c>
      <c r="E24" s="42">
        <v>2</v>
      </c>
      <c r="F24" s="42">
        <v>1</v>
      </c>
      <c r="G24" s="42">
        <v>0</v>
      </c>
      <c r="H24" s="42">
        <v>0</v>
      </c>
      <c r="I24" s="42">
        <v>2</v>
      </c>
      <c r="J24" s="42">
        <v>0</v>
      </c>
      <c r="K24" s="42" t="s">
        <v>1236</v>
      </c>
    </row>
    <row r="25" spans="1:11" ht="20" customHeight="1" x14ac:dyDescent="0.2">
      <c r="A25" s="50" t="s">
        <v>196</v>
      </c>
      <c r="B25" s="50" t="s">
        <v>2015</v>
      </c>
      <c r="C25" s="50" t="s">
        <v>2015</v>
      </c>
      <c r="D25" s="50">
        <v>2</v>
      </c>
      <c r="E25" s="50">
        <v>2</v>
      </c>
      <c r="F25" s="50">
        <v>2</v>
      </c>
      <c r="G25" s="50">
        <v>0</v>
      </c>
      <c r="H25" s="50">
        <v>2</v>
      </c>
      <c r="I25" s="50">
        <v>1</v>
      </c>
      <c r="J25" s="50">
        <v>2</v>
      </c>
      <c r="K25" s="50" t="s">
        <v>1236</v>
      </c>
    </row>
    <row r="26" spans="1:11" ht="20" customHeight="1" x14ac:dyDescent="0.2">
      <c r="A26" s="42" t="s">
        <v>199</v>
      </c>
      <c r="B26" s="42" t="s">
        <v>2015</v>
      </c>
      <c r="C26" s="42" t="s">
        <v>2015</v>
      </c>
      <c r="D26" s="42">
        <v>2</v>
      </c>
      <c r="E26" s="42">
        <v>2</v>
      </c>
      <c r="F26" s="42">
        <v>2</v>
      </c>
      <c r="G26" s="42">
        <v>0</v>
      </c>
      <c r="H26" s="42">
        <v>2</v>
      </c>
      <c r="I26" s="42">
        <v>4</v>
      </c>
      <c r="J26" s="42">
        <v>0</v>
      </c>
      <c r="K26" s="42" t="s">
        <v>1236</v>
      </c>
    </row>
    <row r="27" spans="1:11" ht="20" customHeight="1" x14ac:dyDescent="0.2">
      <c r="A27" s="50" t="s">
        <v>202</v>
      </c>
      <c r="B27" s="50" t="s">
        <v>2015</v>
      </c>
      <c r="C27" s="50" t="s">
        <v>2015</v>
      </c>
      <c r="D27" s="50">
        <v>2</v>
      </c>
      <c r="E27" s="50">
        <v>2</v>
      </c>
      <c r="F27" s="50">
        <v>2</v>
      </c>
      <c r="G27" s="50">
        <v>0</v>
      </c>
      <c r="H27" s="50">
        <v>2</v>
      </c>
      <c r="I27" s="50">
        <v>1</v>
      </c>
      <c r="J27" s="50">
        <v>0</v>
      </c>
      <c r="K27" s="50" t="s">
        <v>1236</v>
      </c>
    </row>
    <row r="28" spans="1:11" ht="20" customHeight="1" x14ac:dyDescent="0.2">
      <c r="A28" s="42" t="s">
        <v>206</v>
      </c>
      <c r="B28" s="42" t="s">
        <v>2015</v>
      </c>
      <c r="C28" s="42" t="s">
        <v>2015</v>
      </c>
      <c r="D28" s="42">
        <v>2</v>
      </c>
      <c r="E28" s="42">
        <v>2</v>
      </c>
      <c r="F28" s="42">
        <v>2</v>
      </c>
      <c r="G28" s="42">
        <v>0</v>
      </c>
      <c r="H28" s="42">
        <v>2</v>
      </c>
      <c r="I28" s="42">
        <v>4</v>
      </c>
      <c r="J28" s="42">
        <v>2</v>
      </c>
      <c r="K28" s="42" t="s">
        <v>1236</v>
      </c>
    </row>
    <row r="29" spans="1:11" ht="20" customHeight="1" x14ac:dyDescent="0.2">
      <c r="A29" s="50" t="s">
        <v>209</v>
      </c>
      <c r="B29" s="50" t="s">
        <v>2015</v>
      </c>
      <c r="C29" s="50" t="s">
        <v>2015</v>
      </c>
      <c r="D29" s="50">
        <v>6</v>
      </c>
      <c r="E29" s="50">
        <v>6</v>
      </c>
      <c r="F29" s="50">
        <v>4</v>
      </c>
      <c r="G29" s="50">
        <v>0</v>
      </c>
      <c r="H29" s="50">
        <v>1</v>
      </c>
      <c r="I29" s="50">
        <v>1</v>
      </c>
      <c r="J29" s="50">
        <v>4</v>
      </c>
      <c r="K29" s="50" t="s">
        <v>1236</v>
      </c>
    </row>
    <row r="30" spans="1:11" ht="20" customHeight="1" x14ac:dyDescent="0.2">
      <c r="A30" s="42" t="s">
        <v>212</v>
      </c>
      <c r="B30" s="42" t="s">
        <v>2015</v>
      </c>
      <c r="C30" s="42" t="s">
        <v>2015</v>
      </c>
      <c r="D30" s="42">
        <v>2</v>
      </c>
      <c r="E30" s="42">
        <v>2</v>
      </c>
      <c r="F30" s="42">
        <v>2</v>
      </c>
      <c r="G30" s="42">
        <v>2</v>
      </c>
      <c r="H30" s="42">
        <v>2</v>
      </c>
      <c r="I30" s="42">
        <v>2</v>
      </c>
      <c r="J30" s="42">
        <v>2</v>
      </c>
      <c r="K30" s="42" t="s">
        <v>1236</v>
      </c>
    </row>
    <row r="31" spans="1:11" ht="20" customHeight="1" x14ac:dyDescent="0.2">
      <c r="A31" s="50" t="s">
        <v>24</v>
      </c>
      <c r="B31" s="50" t="s">
        <v>2016</v>
      </c>
      <c r="C31" s="50" t="s">
        <v>2016</v>
      </c>
      <c r="D31" s="50">
        <v>0</v>
      </c>
      <c r="E31" s="50">
        <v>0</v>
      </c>
      <c r="F31" s="50">
        <v>0</v>
      </c>
      <c r="G31" s="50">
        <v>0</v>
      </c>
      <c r="H31" s="50">
        <v>0</v>
      </c>
      <c r="I31" s="50">
        <v>0</v>
      </c>
      <c r="J31" s="50">
        <v>0</v>
      </c>
      <c r="K31" s="50" t="s">
        <v>1236</v>
      </c>
    </row>
    <row r="32" spans="1:11" ht="20" customHeight="1" x14ac:dyDescent="0.2">
      <c r="A32" s="42" t="s">
        <v>28</v>
      </c>
      <c r="B32" s="42" t="s">
        <v>2016</v>
      </c>
      <c r="C32" s="42" t="s">
        <v>2016</v>
      </c>
      <c r="D32" s="42">
        <v>2</v>
      </c>
      <c r="E32" s="42">
        <v>2</v>
      </c>
      <c r="F32" s="42">
        <v>2</v>
      </c>
      <c r="G32" s="42">
        <v>0</v>
      </c>
      <c r="H32" s="42">
        <v>0</v>
      </c>
      <c r="I32" s="42">
        <v>1</v>
      </c>
      <c r="J32" s="42">
        <v>0</v>
      </c>
      <c r="K32" s="42" t="s">
        <v>2017</v>
      </c>
    </row>
    <row r="33" spans="1:11" ht="20" customHeight="1" x14ac:dyDescent="0.2">
      <c r="A33" s="50" t="s">
        <v>222</v>
      </c>
      <c r="B33" s="50" t="s">
        <v>2016</v>
      </c>
      <c r="C33" s="50" t="s">
        <v>2016</v>
      </c>
      <c r="D33" s="50">
        <v>1</v>
      </c>
      <c r="E33" s="50">
        <v>1</v>
      </c>
      <c r="F33" s="50">
        <v>0</v>
      </c>
      <c r="G33" s="50">
        <v>0</v>
      </c>
      <c r="H33" s="50">
        <v>1</v>
      </c>
      <c r="I33" s="50">
        <v>3</v>
      </c>
      <c r="J33" s="50">
        <v>0</v>
      </c>
      <c r="K33" s="50" t="s">
        <v>2017</v>
      </c>
    </row>
  </sheetData>
  <mergeCells count="2">
    <mergeCell ref="A2:K2"/>
    <mergeCell ref="A1:K1"/>
  </mergeCell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D16"/>
  <sheetViews>
    <sheetView showGridLines="0" rightToLeft="1" workbookViewId="0">
      <pane ySplit="3" topLeftCell="A4" activePane="bottomLeft" state="frozen"/>
      <selection pane="bottomLeft"/>
    </sheetView>
  </sheetViews>
  <sheetFormatPr baseColWidth="10" defaultColWidth="8.83203125" defaultRowHeight="15" x14ac:dyDescent="0.2"/>
  <cols>
    <col min="1" max="1" width="42" customWidth="1"/>
    <col min="2" max="2" width="20.1640625" customWidth="1"/>
    <col min="3" max="3" width="42" customWidth="1"/>
    <col min="4" max="4" width="30.5" customWidth="1"/>
  </cols>
  <sheetData>
    <row r="1" spans="1:4" ht="34" customHeight="1" x14ac:dyDescent="0.2">
      <c r="A1" s="79" t="s">
        <v>2019</v>
      </c>
      <c r="B1" s="76"/>
      <c r="C1" s="76"/>
      <c r="D1" s="76"/>
    </row>
    <row r="2" spans="1:4" ht="28" customHeight="1" x14ac:dyDescent="0.2">
      <c r="A2" s="86" t="s">
        <v>2020</v>
      </c>
      <c r="B2" s="76"/>
      <c r="C2" s="76"/>
      <c r="D2" s="76"/>
    </row>
    <row r="3" spans="1:4" ht="30" customHeight="1" x14ac:dyDescent="0.2">
      <c r="A3" s="48" t="s">
        <v>1684</v>
      </c>
      <c r="B3" s="48" t="s">
        <v>811</v>
      </c>
      <c r="C3" s="48" t="s">
        <v>1230</v>
      </c>
      <c r="D3" s="48" t="s">
        <v>2021</v>
      </c>
    </row>
    <row r="4" spans="1:4" ht="20" customHeight="1" x14ac:dyDescent="0.2">
      <c r="A4" s="42" t="s">
        <v>2022</v>
      </c>
      <c r="B4" s="42" t="s">
        <v>818</v>
      </c>
      <c r="C4" s="42" t="s">
        <v>2023</v>
      </c>
      <c r="D4" s="42" t="s">
        <v>2024</v>
      </c>
    </row>
    <row r="5" spans="1:4" ht="20" customHeight="1" x14ac:dyDescent="0.2">
      <c r="A5" s="50" t="s">
        <v>1003</v>
      </c>
      <c r="B5" s="50" t="s">
        <v>844</v>
      </c>
      <c r="C5" s="50" t="s">
        <v>2025</v>
      </c>
      <c r="D5" s="50" t="s">
        <v>2024</v>
      </c>
    </row>
    <row r="6" spans="1:4" ht="20" customHeight="1" x14ac:dyDescent="0.2">
      <c r="A6" s="42" t="s">
        <v>2026</v>
      </c>
      <c r="B6" s="42" t="s">
        <v>844</v>
      </c>
      <c r="C6" s="42" t="s">
        <v>2027</v>
      </c>
      <c r="D6" s="42" t="s">
        <v>2024</v>
      </c>
    </row>
    <row r="7" spans="1:4" ht="20" customHeight="1" x14ac:dyDescent="0.2">
      <c r="A7" s="50" t="s">
        <v>2028</v>
      </c>
      <c r="B7" s="50" t="s">
        <v>856</v>
      </c>
      <c r="C7" s="50" t="s">
        <v>2029</v>
      </c>
      <c r="D7" s="50" t="s">
        <v>2024</v>
      </c>
    </row>
    <row r="8" spans="1:4" ht="20" customHeight="1" x14ac:dyDescent="0.2">
      <c r="A8" s="42" t="s">
        <v>2030</v>
      </c>
      <c r="B8" s="42" t="s">
        <v>818</v>
      </c>
      <c r="C8" s="42" t="s">
        <v>2031</v>
      </c>
      <c r="D8" s="42" t="s">
        <v>2024</v>
      </c>
    </row>
    <row r="9" spans="1:4" ht="20" customHeight="1" x14ac:dyDescent="0.2">
      <c r="A9" s="50" t="s">
        <v>2032</v>
      </c>
      <c r="B9" s="50" t="s">
        <v>856</v>
      </c>
      <c r="C9" s="50" t="s">
        <v>2033</v>
      </c>
      <c r="D9" s="50" t="s">
        <v>2024</v>
      </c>
    </row>
    <row r="10" spans="1:4" ht="20" customHeight="1" x14ac:dyDescent="0.2">
      <c r="A10" s="42" t="s">
        <v>2034</v>
      </c>
      <c r="B10" s="42" t="s">
        <v>827</v>
      </c>
      <c r="C10" s="42" t="s">
        <v>2035</v>
      </c>
      <c r="D10" s="42" t="s">
        <v>2036</v>
      </c>
    </row>
    <row r="11" spans="1:4" ht="20" customHeight="1" x14ac:dyDescent="0.2">
      <c r="A11" s="50" t="s">
        <v>2037</v>
      </c>
      <c r="B11" s="50" t="s">
        <v>827</v>
      </c>
      <c r="C11" s="50" t="s">
        <v>2038</v>
      </c>
      <c r="D11" s="50" t="s">
        <v>2036</v>
      </c>
    </row>
    <row r="12" spans="1:4" ht="20" customHeight="1" x14ac:dyDescent="0.2">
      <c r="A12" s="42" t="s">
        <v>2039</v>
      </c>
      <c r="B12" s="42" t="s">
        <v>827</v>
      </c>
      <c r="C12" s="42" t="s">
        <v>2040</v>
      </c>
      <c r="D12" s="42" t="s">
        <v>2036</v>
      </c>
    </row>
    <row r="13" spans="1:4" ht="20" customHeight="1" x14ac:dyDescent="0.2">
      <c r="A13" s="50" t="s">
        <v>2041</v>
      </c>
      <c r="B13" s="50" t="s">
        <v>818</v>
      </c>
      <c r="C13" s="50" t="s">
        <v>2042</v>
      </c>
      <c r="D13" s="50" t="s">
        <v>2024</v>
      </c>
    </row>
    <row r="14" spans="1:4" ht="20" customHeight="1" x14ac:dyDescent="0.2">
      <c r="A14" s="42" t="s">
        <v>2043</v>
      </c>
      <c r="B14" s="42" t="s">
        <v>827</v>
      </c>
      <c r="C14" s="42" t="s">
        <v>2044</v>
      </c>
      <c r="D14" s="42" t="s">
        <v>2036</v>
      </c>
    </row>
    <row r="15" spans="1:4" ht="20" customHeight="1" x14ac:dyDescent="0.2">
      <c r="A15" s="50" t="s">
        <v>2045</v>
      </c>
      <c r="B15" s="50" t="s">
        <v>827</v>
      </c>
      <c r="C15" s="50" t="s">
        <v>2046</v>
      </c>
      <c r="D15" s="50" t="s">
        <v>2036</v>
      </c>
    </row>
    <row r="16" spans="1:4" ht="20" customHeight="1" x14ac:dyDescent="0.2">
      <c r="A16" s="42" t="s">
        <v>2047</v>
      </c>
      <c r="B16" s="42" t="s">
        <v>844</v>
      </c>
      <c r="C16" s="42" t="s">
        <v>865</v>
      </c>
      <c r="D16" s="42" t="s">
        <v>2024</v>
      </c>
    </row>
  </sheetData>
  <mergeCells count="2">
    <mergeCell ref="A1:D1"/>
    <mergeCell ref="A2:D2"/>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10"/>
  <sheetViews>
    <sheetView showGridLines="0" rightToLeft="1" workbookViewId="0">
      <pane ySplit="3" topLeftCell="A4" activePane="bottomLeft" state="frozen"/>
      <selection pane="bottomLeft"/>
    </sheetView>
  </sheetViews>
  <sheetFormatPr baseColWidth="10" defaultColWidth="8.83203125" defaultRowHeight="15" x14ac:dyDescent="0.2"/>
  <cols>
    <col min="1" max="1" width="42" customWidth="1"/>
    <col min="2" max="3" width="24.83203125" customWidth="1"/>
    <col min="4" max="4" width="33.33203125" customWidth="1"/>
    <col min="5" max="5" width="42" customWidth="1"/>
  </cols>
  <sheetData>
    <row r="1" spans="1:5" ht="34" customHeight="1" x14ac:dyDescent="0.2">
      <c r="A1" s="79" t="s">
        <v>2048</v>
      </c>
      <c r="B1" s="76"/>
      <c r="C1" s="76"/>
      <c r="D1" s="76"/>
      <c r="E1" s="76"/>
    </row>
    <row r="2" spans="1:5" ht="28" customHeight="1" x14ac:dyDescent="0.2">
      <c r="A2" s="86" t="s">
        <v>2049</v>
      </c>
      <c r="B2" s="76"/>
      <c r="C2" s="76"/>
      <c r="D2" s="76"/>
      <c r="E2" s="76"/>
    </row>
    <row r="3" spans="1:5" ht="30" customHeight="1" x14ac:dyDescent="0.2">
      <c r="A3" s="48" t="s">
        <v>2050</v>
      </c>
      <c r="B3" s="48" t="s">
        <v>620</v>
      </c>
      <c r="C3" s="48" t="s">
        <v>2051</v>
      </c>
      <c r="D3" s="48" t="s">
        <v>1180</v>
      </c>
      <c r="E3" s="48" t="s">
        <v>107</v>
      </c>
    </row>
    <row r="4" spans="1:5" ht="20" customHeight="1" x14ac:dyDescent="0.2">
      <c r="A4" s="42" t="s">
        <v>2052</v>
      </c>
      <c r="B4" s="42" t="s">
        <v>2053</v>
      </c>
      <c r="C4" s="42" t="s">
        <v>2054</v>
      </c>
      <c r="D4" s="42" t="s">
        <v>1723</v>
      </c>
      <c r="E4" s="42" t="s">
        <v>1202</v>
      </c>
    </row>
    <row r="5" spans="1:5" ht="20" customHeight="1" x14ac:dyDescent="0.2">
      <c r="A5" s="50" t="s">
        <v>2055</v>
      </c>
      <c r="B5" s="50" t="s">
        <v>2056</v>
      </c>
      <c r="C5" s="50" t="s">
        <v>963</v>
      </c>
      <c r="D5" s="53" t="s">
        <v>858</v>
      </c>
      <c r="E5" s="50" t="s">
        <v>2057</v>
      </c>
    </row>
    <row r="6" spans="1:5" ht="20" customHeight="1" x14ac:dyDescent="0.2">
      <c r="A6" s="42" t="s">
        <v>2058</v>
      </c>
      <c r="B6" s="42" t="s">
        <v>2059</v>
      </c>
      <c r="C6" s="42" t="s">
        <v>2060</v>
      </c>
      <c r="D6" s="46" t="s">
        <v>2061</v>
      </c>
      <c r="E6" s="42" t="s">
        <v>2062</v>
      </c>
    </row>
    <row r="7" spans="1:5" ht="29" customHeight="1" x14ac:dyDescent="0.2">
      <c r="A7" s="50" t="s">
        <v>2063</v>
      </c>
      <c r="B7" s="50" t="s">
        <v>2064</v>
      </c>
      <c r="C7" s="50" t="s">
        <v>963</v>
      </c>
      <c r="D7" s="50" t="s">
        <v>2065</v>
      </c>
      <c r="E7" s="50" t="s">
        <v>2066</v>
      </c>
    </row>
    <row r="8" spans="1:5" ht="29" customHeight="1" x14ac:dyDescent="0.2">
      <c r="A8" s="42" t="s">
        <v>2067</v>
      </c>
      <c r="B8" s="42" t="s">
        <v>2068</v>
      </c>
      <c r="C8" s="42" t="s">
        <v>2069</v>
      </c>
      <c r="D8" s="53" t="s">
        <v>858</v>
      </c>
      <c r="E8" s="42" t="s">
        <v>2070</v>
      </c>
    </row>
    <row r="9" spans="1:5" ht="20" customHeight="1" x14ac:dyDescent="0.2">
      <c r="A9" s="50" t="s">
        <v>2071</v>
      </c>
      <c r="B9" s="50" t="s">
        <v>2072</v>
      </c>
      <c r="C9" s="50" t="s">
        <v>2060</v>
      </c>
      <c r="D9" s="50" t="s">
        <v>1723</v>
      </c>
      <c r="E9" s="50" t="s">
        <v>2073</v>
      </c>
    </row>
    <row r="10" spans="1:5" ht="29" customHeight="1" x14ac:dyDescent="0.2">
      <c r="A10" s="42" t="s">
        <v>2074</v>
      </c>
      <c r="B10" s="42" t="s">
        <v>1826</v>
      </c>
      <c r="C10" s="42" t="s">
        <v>2054</v>
      </c>
      <c r="D10" s="42" t="s">
        <v>1723</v>
      </c>
      <c r="E10" s="42" t="s">
        <v>2075</v>
      </c>
    </row>
  </sheetData>
  <mergeCells count="2">
    <mergeCell ref="A2:E2"/>
    <mergeCell ref="A1:E1"/>
  </mergeCells>
  <pageMargins left="0.75" right="0.75" top="1" bottom="1" header="0.5" footer="0.5"/>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25"/>
  <sheetViews>
    <sheetView showGridLines="0" rightToLeft="1" workbookViewId="0">
      <pane xSplit="1" ySplit="3" topLeftCell="B4" activePane="bottomRight" state="frozen"/>
      <selection pane="topRight"/>
      <selection pane="bottomLeft"/>
      <selection pane="bottomRight"/>
    </sheetView>
  </sheetViews>
  <sheetFormatPr baseColWidth="10" defaultColWidth="8.83203125" defaultRowHeight="15" x14ac:dyDescent="0.2"/>
  <cols>
    <col min="1" max="1" width="42" customWidth="1"/>
    <col min="2" max="3" width="27.6640625" customWidth="1"/>
    <col min="4" max="5" width="42" customWidth="1"/>
    <col min="6" max="6" width="10" customWidth="1"/>
    <col min="7" max="7" width="32.5" customWidth="1"/>
  </cols>
  <sheetData>
    <row r="1" spans="1:7" ht="34" customHeight="1" x14ac:dyDescent="0.2">
      <c r="A1" s="79" t="s">
        <v>2076</v>
      </c>
      <c r="B1" s="76"/>
      <c r="C1" s="76"/>
      <c r="D1" s="76"/>
      <c r="E1" s="76"/>
      <c r="F1" s="76"/>
      <c r="G1" s="76"/>
    </row>
    <row r="2" spans="1:7" ht="28" customHeight="1" x14ac:dyDescent="0.2">
      <c r="A2" s="86" t="s">
        <v>2077</v>
      </c>
      <c r="B2" s="76"/>
      <c r="C2" s="76"/>
      <c r="D2" s="76"/>
      <c r="E2" s="76"/>
      <c r="F2" s="76"/>
      <c r="G2" s="76"/>
    </row>
    <row r="3" spans="1:7" ht="30" customHeight="1" x14ac:dyDescent="0.2">
      <c r="A3" s="48" t="s">
        <v>617</v>
      </c>
      <c r="B3" s="48" t="s">
        <v>2078</v>
      </c>
      <c r="C3" s="48" t="s">
        <v>2079</v>
      </c>
      <c r="D3" s="48" t="s">
        <v>2080</v>
      </c>
      <c r="E3" s="48" t="s">
        <v>620</v>
      </c>
      <c r="F3" s="48" t="s">
        <v>2081</v>
      </c>
      <c r="G3" s="48" t="s">
        <v>815</v>
      </c>
    </row>
    <row r="4" spans="1:7" ht="20" customHeight="1" x14ac:dyDescent="0.2">
      <c r="A4" s="42" t="s">
        <v>2082</v>
      </c>
      <c r="B4" s="42" t="s">
        <v>2083</v>
      </c>
      <c r="C4" s="42" t="s">
        <v>1238</v>
      </c>
      <c r="D4" s="42" t="s">
        <v>1258</v>
      </c>
      <c r="E4" s="42" t="s">
        <v>2084</v>
      </c>
      <c r="F4" s="42" t="s">
        <v>1021</v>
      </c>
      <c r="G4" s="42" t="s">
        <v>2085</v>
      </c>
    </row>
    <row r="5" spans="1:7" ht="20" customHeight="1" x14ac:dyDescent="0.2">
      <c r="A5" s="50" t="s">
        <v>2086</v>
      </c>
      <c r="B5" s="50" t="s">
        <v>2087</v>
      </c>
      <c r="C5" s="50" t="s">
        <v>1984</v>
      </c>
      <c r="D5" s="50" t="s">
        <v>1980</v>
      </c>
      <c r="E5" s="50" t="s">
        <v>2088</v>
      </c>
      <c r="F5" s="50" t="s">
        <v>1021</v>
      </c>
      <c r="G5" s="50" t="s">
        <v>2089</v>
      </c>
    </row>
    <row r="6" spans="1:7" ht="20" customHeight="1" x14ac:dyDescent="0.2">
      <c r="A6" s="42" t="s">
        <v>2090</v>
      </c>
      <c r="B6" s="42" t="s">
        <v>2091</v>
      </c>
      <c r="C6" s="42" t="s">
        <v>2092</v>
      </c>
      <c r="D6" s="42" t="s">
        <v>2093</v>
      </c>
      <c r="E6" s="42" t="s">
        <v>1709</v>
      </c>
      <c r="F6" s="42" t="s">
        <v>1010</v>
      </c>
      <c r="G6" s="42" t="s">
        <v>2094</v>
      </c>
    </row>
    <row r="7" spans="1:7" ht="20" customHeight="1" x14ac:dyDescent="0.2">
      <c r="A7" s="50" t="s">
        <v>2095</v>
      </c>
      <c r="B7" s="50" t="s">
        <v>2096</v>
      </c>
      <c r="C7" s="50" t="s">
        <v>1238</v>
      </c>
      <c r="D7" s="50" t="s">
        <v>2097</v>
      </c>
      <c r="E7" s="50" t="s">
        <v>2098</v>
      </c>
      <c r="F7" s="50" t="s">
        <v>1010</v>
      </c>
      <c r="G7" s="50" t="s">
        <v>2099</v>
      </c>
    </row>
    <row r="8" spans="1:7" ht="20" customHeight="1" x14ac:dyDescent="0.2">
      <c r="A8" s="42" t="s">
        <v>2100</v>
      </c>
      <c r="B8" s="42" t="s">
        <v>2101</v>
      </c>
      <c r="C8" s="42" t="s">
        <v>1238</v>
      </c>
      <c r="D8" s="42" t="s">
        <v>2102</v>
      </c>
      <c r="E8" s="42" t="s">
        <v>869</v>
      </c>
      <c r="F8" s="42" t="s">
        <v>2103</v>
      </c>
      <c r="G8" s="42" t="s">
        <v>107</v>
      </c>
    </row>
    <row r="9" spans="1:7" ht="20" customHeight="1" x14ac:dyDescent="0.2">
      <c r="A9" s="50" t="s">
        <v>2104</v>
      </c>
      <c r="B9" s="50" t="s">
        <v>478</v>
      </c>
      <c r="C9" s="50" t="s">
        <v>2105</v>
      </c>
      <c r="D9" s="50" t="s">
        <v>2106</v>
      </c>
      <c r="E9" s="50" t="s">
        <v>2107</v>
      </c>
      <c r="F9" s="50" t="s">
        <v>1021</v>
      </c>
      <c r="G9" s="50" t="s">
        <v>2108</v>
      </c>
    </row>
    <row r="10" spans="1:7" ht="20" customHeight="1" x14ac:dyDescent="0.2">
      <c r="A10" s="42" t="s">
        <v>2109</v>
      </c>
      <c r="B10" s="42" t="s">
        <v>483</v>
      </c>
      <c r="C10" s="42" t="s">
        <v>2110</v>
      </c>
      <c r="D10" s="42" t="s">
        <v>2111</v>
      </c>
      <c r="E10" s="42" t="s">
        <v>1704</v>
      </c>
      <c r="F10" s="42" t="s">
        <v>1021</v>
      </c>
      <c r="G10" s="42" t="s">
        <v>2089</v>
      </c>
    </row>
    <row r="11" spans="1:7" ht="20" customHeight="1" x14ac:dyDescent="0.2">
      <c r="A11" s="50" t="s">
        <v>2112</v>
      </c>
      <c r="B11" s="50" t="s">
        <v>2113</v>
      </c>
      <c r="C11" s="50" t="s">
        <v>2114</v>
      </c>
      <c r="D11" s="50" t="s">
        <v>2115</v>
      </c>
      <c r="E11" s="50" t="s">
        <v>1562</v>
      </c>
      <c r="F11" s="50" t="s">
        <v>1010</v>
      </c>
      <c r="G11" s="50" t="s">
        <v>2116</v>
      </c>
    </row>
    <row r="12" spans="1:7" ht="20" customHeight="1" x14ac:dyDescent="0.2">
      <c r="A12" s="42" t="s">
        <v>2117</v>
      </c>
      <c r="B12" s="42" t="s">
        <v>2118</v>
      </c>
      <c r="C12" s="42" t="s">
        <v>2119</v>
      </c>
      <c r="D12" s="42" t="s">
        <v>2120</v>
      </c>
      <c r="E12" s="42" t="s">
        <v>2121</v>
      </c>
      <c r="F12" s="42" t="s">
        <v>1010</v>
      </c>
      <c r="G12" s="42" t="s">
        <v>2089</v>
      </c>
    </row>
    <row r="13" spans="1:7" ht="20" customHeight="1" x14ac:dyDescent="0.2">
      <c r="A13" s="50" t="s">
        <v>2122</v>
      </c>
      <c r="B13" s="50" t="s">
        <v>2123</v>
      </c>
      <c r="C13" s="50" t="s">
        <v>1008</v>
      </c>
      <c r="D13" s="50" t="s">
        <v>2124</v>
      </c>
      <c r="E13" s="50" t="s">
        <v>2125</v>
      </c>
      <c r="F13" s="50" t="s">
        <v>1010</v>
      </c>
      <c r="G13" s="46" t="s">
        <v>752</v>
      </c>
    </row>
    <row r="14" spans="1:7" ht="20" customHeight="1" x14ac:dyDescent="0.2">
      <c r="A14" s="42" t="s">
        <v>2126</v>
      </c>
      <c r="B14" s="42" t="s">
        <v>2127</v>
      </c>
      <c r="C14" s="42" t="s">
        <v>2128</v>
      </c>
      <c r="D14" s="42" t="s">
        <v>2129</v>
      </c>
      <c r="E14" s="42" t="s">
        <v>873</v>
      </c>
      <c r="F14" s="42" t="s">
        <v>1010</v>
      </c>
      <c r="G14" s="46" t="s">
        <v>752</v>
      </c>
    </row>
    <row r="15" spans="1:7" ht="29" customHeight="1" x14ac:dyDescent="0.2">
      <c r="A15" s="50" t="s">
        <v>2130</v>
      </c>
      <c r="B15" s="50" t="s">
        <v>2131</v>
      </c>
      <c r="C15" s="50" t="s">
        <v>2132</v>
      </c>
      <c r="D15" s="50" t="s">
        <v>2133</v>
      </c>
      <c r="E15" s="50" t="s">
        <v>873</v>
      </c>
      <c r="F15" s="50" t="s">
        <v>1010</v>
      </c>
      <c r="G15" s="46" t="s">
        <v>752</v>
      </c>
    </row>
    <row r="16" spans="1:7" ht="20" customHeight="1" x14ac:dyDescent="0.2">
      <c r="A16" s="42" t="s">
        <v>2134</v>
      </c>
      <c r="B16" s="42" t="s">
        <v>2135</v>
      </c>
      <c r="C16" s="42" t="s">
        <v>2136</v>
      </c>
      <c r="D16" s="42" t="s">
        <v>2137</v>
      </c>
      <c r="E16" s="42" t="s">
        <v>2138</v>
      </c>
      <c r="F16" s="42" t="s">
        <v>1021</v>
      </c>
      <c r="G16" s="46" t="s">
        <v>752</v>
      </c>
    </row>
    <row r="17" spans="1:7" ht="20" customHeight="1" x14ac:dyDescent="0.2">
      <c r="A17" s="50" t="s">
        <v>2139</v>
      </c>
      <c r="B17" s="50" t="s">
        <v>2140</v>
      </c>
      <c r="C17" s="50" t="s">
        <v>2141</v>
      </c>
      <c r="D17" s="50" t="s">
        <v>2142</v>
      </c>
      <c r="E17" s="50" t="s">
        <v>2138</v>
      </c>
      <c r="F17" s="50" t="s">
        <v>1021</v>
      </c>
      <c r="G17" s="46" t="s">
        <v>752</v>
      </c>
    </row>
    <row r="18" spans="1:7" ht="20" customHeight="1" x14ac:dyDescent="0.2">
      <c r="A18" s="42" t="s">
        <v>2143</v>
      </c>
      <c r="B18" s="42" t="s">
        <v>2144</v>
      </c>
      <c r="C18" s="42" t="s">
        <v>2145</v>
      </c>
      <c r="D18" s="42" t="s">
        <v>2146</v>
      </c>
      <c r="E18" s="42" t="s">
        <v>2147</v>
      </c>
      <c r="F18" s="42" t="s">
        <v>2103</v>
      </c>
      <c r="G18" s="42" t="s">
        <v>2148</v>
      </c>
    </row>
    <row r="19" spans="1:7" ht="20" customHeight="1" x14ac:dyDescent="0.2">
      <c r="A19" s="50" t="s">
        <v>2149</v>
      </c>
      <c r="B19" s="50" t="s">
        <v>2150</v>
      </c>
      <c r="C19" s="50" t="s">
        <v>2151</v>
      </c>
      <c r="D19" s="50" t="s">
        <v>2152</v>
      </c>
      <c r="E19" s="50" t="s">
        <v>2153</v>
      </c>
      <c r="F19" s="50" t="s">
        <v>1021</v>
      </c>
      <c r="G19" s="50" t="s">
        <v>2154</v>
      </c>
    </row>
    <row r="20" spans="1:7" ht="20" customHeight="1" x14ac:dyDescent="0.2">
      <c r="A20" s="42" t="s">
        <v>2155</v>
      </c>
      <c r="B20" s="42" t="s">
        <v>2156</v>
      </c>
      <c r="C20" s="42" t="s">
        <v>2157</v>
      </c>
      <c r="D20" s="42" t="s">
        <v>2158</v>
      </c>
      <c r="E20" s="42" t="s">
        <v>2159</v>
      </c>
      <c r="F20" s="42" t="s">
        <v>1021</v>
      </c>
      <c r="G20" s="42" t="s">
        <v>2148</v>
      </c>
    </row>
    <row r="21" spans="1:7" ht="29" customHeight="1" x14ac:dyDescent="0.2">
      <c r="A21" s="50" t="s">
        <v>2160</v>
      </c>
      <c r="B21" s="50" t="s">
        <v>2161</v>
      </c>
      <c r="C21" s="50" t="s">
        <v>1236</v>
      </c>
      <c r="D21" s="50" t="s">
        <v>2162</v>
      </c>
      <c r="E21" s="50" t="s">
        <v>2163</v>
      </c>
      <c r="F21" s="50" t="s">
        <v>1021</v>
      </c>
      <c r="G21" s="50" t="s">
        <v>2164</v>
      </c>
    </row>
    <row r="22" spans="1:7" ht="20" customHeight="1" x14ac:dyDescent="0.2">
      <c r="A22" s="42" t="s">
        <v>2165</v>
      </c>
      <c r="B22" s="42" t="s">
        <v>2166</v>
      </c>
      <c r="C22" s="42" t="s">
        <v>2167</v>
      </c>
      <c r="D22" s="42" t="s">
        <v>2015</v>
      </c>
      <c r="E22" s="42" t="s">
        <v>2168</v>
      </c>
      <c r="F22" s="42" t="s">
        <v>1021</v>
      </c>
      <c r="G22" s="42" t="s">
        <v>2089</v>
      </c>
    </row>
    <row r="23" spans="1:7" ht="29" customHeight="1" x14ac:dyDescent="0.2">
      <c r="A23" s="50" t="s">
        <v>2169</v>
      </c>
      <c r="B23" s="50" t="s">
        <v>2170</v>
      </c>
      <c r="C23" s="50" t="s">
        <v>1516</v>
      </c>
      <c r="D23" s="50" t="s">
        <v>2171</v>
      </c>
      <c r="E23" s="50" t="s">
        <v>2172</v>
      </c>
      <c r="F23" s="50" t="s">
        <v>1010</v>
      </c>
      <c r="G23" s="50" t="s">
        <v>2173</v>
      </c>
    </row>
    <row r="24" spans="1:7" ht="20" customHeight="1" x14ac:dyDescent="0.2">
      <c r="A24" s="42" t="s">
        <v>2174</v>
      </c>
      <c r="B24" s="42" t="s">
        <v>2175</v>
      </c>
      <c r="C24" s="42" t="s">
        <v>2176</v>
      </c>
      <c r="D24" s="42" t="s">
        <v>2177</v>
      </c>
      <c r="E24" s="42" t="s">
        <v>388</v>
      </c>
      <c r="F24" s="42" t="s">
        <v>1021</v>
      </c>
      <c r="G24" s="42" t="s">
        <v>107</v>
      </c>
    </row>
    <row r="25" spans="1:7" ht="20" customHeight="1" x14ac:dyDescent="0.2">
      <c r="A25" s="50" t="s">
        <v>2178</v>
      </c>
      <c r="B25" s="50" t="s">
        <v>2179</v>
      </c>
      <c r="C25" s="50" t="s">
        <v>2180</v>
      </c>
      <c r="D25" s="50" t="s">
        <v>2181</v>
      </c>
      <c r="E25" s="50" t="s">
        <v>2182</v>
      </c>
      <c r="F25" s="50" t="s">
        <v>1021</v>
      </c>
      <c r="G25" s="50" t="s">
        <v>2089</v>
      </c>
    </row>
  </sheetData>
  <mergeCells count="2">
    <mergeCell ref="A2:G2"/>
    <mergeCell ref="A1:G1"/>
  </mergeCells>
  <pageMargins left="0.75" right="0.75" top="1" bottom="1" header="0.5" footer="0.5"/>
  <legacy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E19"/>
  <sheetViews>
    <sheetView showGridLines="0" rightToLeft="1" workbookViewId="0">
      <pane xSplit="1" ySplit="3" topLeftCell="B4" activePane="bottomRight" state="frozen"/>
      <selection pane="topRight"/>
      <selection pane="bottomLeft"/>
      <selection pane="bottomRight"/>
    </sheetView>
  </sheetViews>
  <sheetFormatPr baseColWidth="10" defaultColWidth="8.83203125" defaultRowHeight="15" x14ac:dyDescent="0.2"/>
  <cols>
    <col min="1" max="1" width="42" customWidth="1"/>
    <col min="2" max="2" width="17.1640625" customWidth="1"/>
    <col min="3" max="3" width="23" customWidth="1"/>
    <col min="4" max="4" width="31.5" customWidth="1"/>
    <col min="5" max="5" width="22" customWidth="1"/>
  </cols>
  <sheetData>
    <row r="1" spans="1:5" ht="34" customHeight="1" x14ac:dyDescent="0.2">
      <c r="A1" s="79" t="s">
        <v>2183</v>
      </c>
      <c r="B1" s="76"/>
      <c r="C1" s="76"/>
      <c r="D1" s="76"/>
      <c r="E1" s="76"/>
    </row>
    <row r="2" spans="1:5" ht="28" customHeight="1" x14ac:dyDescent="0.2">
      <c r="A2" s="86" t="s">
        <v>2184</v>
      </c>
      <c r="B2" s="76"/>
      <c r="C2" s="76"/>
      <c r="D2" s="76"/>
      <c r="E2" s="76"/>
    </row>
    <row r="3" spans="1:5" ht="30" customHeight="1" x14ac:dyDescent="0.2">
      <c r="A3" s="48" t="s">
        <v>535</v>
      </c>
      <c r="B3" s="48" t="s">
        <v>1559</v>
      </c>
      <c r="C3" s="48" t="s">
        <v>1482</v>
      </c>
      <c r="D3" s="48" t="s">
        <v>620</v>
      </c>
      <c r="E3" s="48" t="s">
        <v>376</v>
      </c>
    </row>
    <row r="4" spans="1:5" ht="20" customHeight="1" x14ac:dyDescent="0.2">
      <c r="A4" s="42" t="s">
        <v>409</v>
      </c>
      <c r="B4" s="42" t="s">
        <v>1560</v>
      </c>
      <c r="C4" s="42" t="s">
        <v>2185</v>
      </c>
      <c r="D4" s="42" t="s">
        <v>1562</v>
      </c>
      <c r="E4" s="42" t="s">
        <v>2186</v>
      </c>
    </row>
    <row r="5" spans="1:5" ht="20" customHeight="1" x14ac:dyDescent="0.2">
      <c r="A5" s="50" t="s">
        <v>409</v>
      </c>
      <c r="B5" s="50" t="s">
        <v>1563</v>
      </c>
      <c r="C5" s="50" t="s">
        <v>2187</v>
      </c>
      <c r="D5" s="50" t="s">
        <v>2188</v>
      </c>
      <c r="E5" s="50" t="s">
        <v>2186</v>
      </c>
    </row>
    <row r="6" spans="1:5" ht="20" customHeight="1" x14ac:dyDescent="0.2">
      <c r="A6" s="42" t="s">
        <v>409</v>
      </c>
      <c r="B6" s="42" t="s">
        <v>1566</v>
      </c>
      <c r="C6" s="42" t="s">
        <v>2189</v>
      </c>
      <c r="D6" s="42" t="s">
        <v>1568</v>
      </c>
      <c r="E6" s="42" t="s">
        <v>2186</v>
      </c>
    </row>
    <row r="7" spans="1:5" ht="20" customHeight="1" x14ac:dyDescent="0.2">
      <c r="A7" s="50" t="s">
        <v>1569</v>
      </c>
      <c r="B7" s="50" t="s">
        <v>2083</v>
      </c>
      <c r="C7" s="50" t="s">
        <v>2190</v>
      </c>
      <c r="D7" s="50" t="s">
        <v>873</v>
      </c>
      <c r="E7" s="50" t="s">
        <v>2186</v>
      </c>
    </row>
    <row r="8" spans="1:5" ht="20" customHeight="1" x14ac:dyDescent="0.2">
      <c r="A8" s="42" t="s">
        <v>1569</v>
      </c>
      <c r="B8" s="42" t="s">
        <v>2087</v>
      </c>
      <c r="C8" s="42" t="s">
        <v>2191</v>
      </c>
      <c r="D8" s="42" t="s">
        <v>942</v>
      </c>
      <c r="E8" s="42" t="s">
        <v>2186</v>
      </c>
    </row>
    <row r="9" spans="1:5" ht="20" customHeight="1" x14ac:dyDescent="0.2">
      <c r="A9" s="50" t="s">
        <v>1569</v>
      </c>
      <c r="B9" s="50" t="s">
        <v>2096</v>
      </c>
      <c r="C9" s="50" t="s">
        <v>2192</v>
      </c>
      <c r="D9" s="50" t="s">
        <v>2193</v>
      </c>
      <c r="E9" s="50" t="s">
        <v>2186</v>
      </c>
    </row>
    <row r="10" spans="1:5" ht="20" customHeight="1" x14ac:dyDescent="0.2">
      <c r="A10" s="42" t="s">
        <v>1569</v>
      </c>
      <c r="B10" s="42" t="s">
        <v>478</v>
      </c>
      <c r="C10" s="42" t="s">
        <v>2194</v>
      </c>
      <c r="D10" s="42" t="s">
        <v>2195</v>
      </c>
      <c r="E10" s="42" t="s">
        <v>2186</v>
      </c>
    </row>
    <row r="11" spans="1:5" ht="20" customHeight="1" x14ac:dyDescent="0.2">
      <c r="A11" s="50" t="s">
        <v>1569</v>
      </c>
      <c r="B11" s="50" t="s">
        <v>483</v>
      </c>
      <c r="C11" s="50" t="s">
        <v>2196</v>
      </c>
      <c r="D11" s="50" t="s">
        <v>2197</v>
      </c>
      <c r="E11" s="50" t="s">
        <v>2186</v>
      </c>
    </row>
    <row r="12" spans="1:5" ht="20" customHeight="1" x14ac:dyDescent="0.2">
      <c r="A12" s="42" t="s">
        <v>1569</v>
      </c>
      <c r="B12" s="42" t="s">
        <v>1626</v>
      </c>
      <c r="C12" s="42" t="s">
        <v>2198</v>
      </c>
      <c r="D12" s="42" t="s">
        <v>873</v>
      </c>
      <c r="E12" s="42" t="s">
        <v>2186</v>
      </c>
    </row>
    <row r="13" spans="1:5" ht="20" customHeight="1" x14ac:dyDescent="0.2">
      <c r="A13" s="50" t="s">
        <v>1569</v>
      </c>
      <c r="B13" s="50" t="s">
        <v>496</v>
      </c>
      <c r="C13" s="50" t="s">
        <v>2199</v>
      </c>
      <c r="D13" s="50" t="s">
        <v>873</v>
      </c>
      <c r="E13" s="50" t="s">
        <v>2186</v>
      </c>
    </row>
    <row r="14" spans="1:5" ht="20" customHeight="1" x14ac:dyDescent="0.2">
      <c r="A14" s="42" t="s">
        <v>1569</v>
      </c>
      <c r="B14" s="42" t="s">
        <v>506</v>
      </c>
      <c r="C14" s="42" t="s">
        <v>2200</v>
      </c>
      <c r="D14" s="42" t="s">
        <v>2182</v>
      </c>
      <c r="E14" s="42" t="s">
        <v>2186</v>
      </c>
    </row>
    <row r="15" spans="1:5" ht="20" customHeight="1" x14ac:dyDescent="0.2">
      <c r="A15" s="50" t="s">
        <v>380</v>
      </c>
      <c r="B15" s="50" t="s">
        <v>2201</v>
      </c>
      <c r="C15" s="50" t="s">
        <v>2202</v>
      </c>
      <c r="D15" s="50" t="s">
        <v>1236</v>
      </c>
      <c r="E15" s="50" t="s">
        <v>2186</v>
      </c>
    </row>
    <row r="16" spans="1:5" ht="29" customHeight="1" x14ac:dyDescent="0.2">
      <c r="A16" s="42" t="s">
        <v>2203</v>
      </c>
      <c r="B16" s="42" t="s">
        <v>2204</v>
      </c>
      <c r="C16" s="42" t="s">
        <v>2205</v>
      </c>
      <c r="D16" s="42" t="s">
        <v>2206</v>
      </c>
      <c r="E16" s="42" t="s">
        <v>2207</v>
      </c>
    </row>
    <row r="17" spans="1:5" ht="20" customHeight="1" x14ac:dyDescent="0.2">
      <c r="A17" s="50" t="s">
        <v>2208</v>
      </c>
      <c r="B17" s="50" t="s">
        <v>2209</v>
      </c>
      <c r="C17" s="50" t="s">
        <v>2205</v>
      </c>
      <c r="D17" s="50" t="s">
        <v>660</v>
      </c>
      <c r="E17" s="50" t="s">
        <v>2207</v>
      </c>
    </row>
    <row r="18" spans="1:5" ht="76" customHeight="1" x14ac:dyDescent="0.2">
      <c r="A18" s="50" t="s">
        <v>2210</v>
      </c>
      <c r="B18" s="50" t="s">
        <v>2211</v>
      </c>
      <c r="C18" s="50" t="s">
        <v>2212</v>
      </c>
      <c r="D18" s="50" t="s">
        <v>1551</v>
      </c>
      <c r="E18" s="50" t="s">
        <v>2213</v>
      </c>
    </row>
    <row r="19" spans="1:5" ht="76" customHeight="1" x14ac:dyDescent="0.2">
      <c r="A19" s="50" t="s">
        <v>2214</v>
      </c>
      <c r="B19" s="50" t="s">
        <v>2215</v>
      </c>
      <c r="C19" s="50" t="s">
        <v>2216</v>
      </c>
      <c r="D19" s="50" t="s">
        <v>55</v>
      </c>
      <c r="E19" s="50" t="s">
        <v>2217</v>
      </c>
    </row>
  </sheetData>
  <mergeCells count="2">
    <mergeCell ref="A2:E2"/>
    <mergeCell ref="A1:E1"/>
  </mergeCells>
  <pageMargins left="0.75" right="0.75" top="1" bottom="1" header="0.5" footer="0.5"/>
  <legacy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E11"/>
  <sheetViews>
    <sheetView showGridLines="0" rightToLeft="1" workbookViewId="0">
      <pane ySplit="3" topLeftCell="A4" activePane="bottomLeft" state="frozen"/>
      <selection pane="bottomLeft"/>
    </sheetView>
  </sheetViews>
  <sheetFormatPr baseColWidth="10" defaultColWidth="8.83203125" defaultRowHeight="15" x14ac:dyDescent="0.2"/>
  <cols>
    <col min="1" max="1" width="42" customWidth="1"/>
    <col min="2" max="3" width="25.83203125" customWidth="1"/>
    <col min="4" max="4" width="30.5" customWidth="1"/>
    <col min="5" max="5" width="42" customWidth="1"/>
  </cols>
  <sheetData>
    <row r="1" spans="1:5" ht="34" customHeight="1" x14ac:dyDescent="0.2">
      <c r="A1" s="79" t="s">
        <v>2218</v>
      </c>
      <c r="B1" s="76"/>
      <c r="C1" s="76"/>
      <c r="D1" s="76"/>
      <c r="E1" s="76"/>
    </row>
    <row r="2" spans="1:5" ht="28" customHeight="1" x14ac:dyDescent="0.2">
      <c r="A2" s="86" t="s">
        <v>2219</v>
      </c>
      <c r="B2" s="76"/>
      <c r="C2" s="76"/>
      <c r="D2" s="76"/>
      <c r="E2" s="76"/>
    </row>
    <row r="3" spans="1:5" ht="30" customHeight="1" x14ac:dyDescent="0.2">
      <c r="A3" s="48" t="s">
        <v>1684</v>
      </c>
      <c r="B3" s="48" t="s">
        <v>1685</v>
      </c>
      <c r="C3" s="48" t="s">
        <v>706</v>
      </c>
      <c r="D3" s="48" t="s">
        <v>935</v>
      </c>
      <c r="E3" s="48" t="s">
        <v>264</v>
      </c>
    </row>
    <row r="4" spans="1:5" ht="29" customHeight="1" x14ac:dyDescent="0.2">
      <c r="A4" s="42" t="s">
        <v>449</v>
      </c>
      <c r="B4" s="42" t="s">
        <v>937</v>
      </c>
      <c r="C4" s="44" t="s">
        <v>824</v>
      </c>
      <c r="D4" s="44" t="s">
        <v>820</v>
      </c>
      <c r="E4" s="42" t="s">
        <v>1688</v>
      </c>
    </row>
    <row r="5" spans="1:5" ht="20" customHeight="1" x14ac:dyDescent="0.2">
      <c r="A5" s="50" t="s">
        <v>457</v>
      </c>
      <c r="B5" s="50" t="s">
        <v>458</v>
      </c>
      <c r="C5" s="44" t="s">
        <v>824</v>
      </c>
      <c r="D5" s="44" t="s">
        <v>820</v>
      </c>
      <c r="E5" s="50" t="s">
        <v>1691</v>
      </c>
    </row>
    <row r="6" spans="1:5" ht="20" customHeight="1" x14ac:dyDescent="0.2">
      <c r="A6" s="42" t="s">
        <v>467</v>
      </c>
      <c r="B6" s="42" t="s">
        <v>943</v>
      </c>
      <c r="C6" s="44" t="s">
        <v>824</v>
      </c>
      <c r="D6" s="52" t="s">
        <v>765</v>
      </c>
      <c r="E6" s="42" t="s">
        <v>1696</v>
      </c>
    </row>
    <row r="7" spans="1:5" ht="20" customHeight="1" x14ac:dyDescent="0.2">
      <c r="A7" s="50" t="s">
        <v>488</v>
      </c>
      <c r="B7" s="50" t="s">
        <v>950</v>
      </c>
      <c r="C7" s="44" t="s">
        <v>824</v>
      </c>
      <c r="D7" s="54" t="s">
        <v>866</v>
      </c>
      <c r="E7" s="50" t="s">
        <v>1705</v>
      </c>
    </row>
    <row r="8" spans="1:5" ht="20" customHeight="1" x14ac:dyDescent="0.2">
      <c r="A8" s="42" t="s">
        <v>493</v>
      </c>
      <c r="B8" s="42" t="s">
        <v>958</v>
      </c>
      <c r="C8" s="44" t="s">
        <v>824</v>
      </c>
      <c r="D8" s="53" t="s">
        <v>858</v>
      </c>
      <c r="E8" s="42" t="s">
        <v>1706</v>
      </c>
    </row>
    <row r="9" spans="1:5" ht="20" customHeight="1" x14ac:dyDescent="0.2">
      <c r="A9" s="50" t="s">
        <v>510</v>
      </c>
      <c r="B9" s="50" t="s">
        <v>1715</v>
      </c>
      <c r="C9" s="44" t="s">
        <v>824</v>
      </c>
      <c r="D9" s="53" t="s">
        <v>858</v>
      </c>
      <c r="E9" s="50" t="s">
        <v>1717</v>
      </c>
    </row>
    <row r="10" spans="1:5" ht="20" customHeight="1" x14ac:dyDescent="0.2">
      <c r="A10" s="42" t="s">
        <v>515</v>
      </c>
      <c r="B10" s="42" t="s">
        <v>1719</v>
      </c>
      <c r="C10" s="44" t="s">
        <v>824</v>
      </c>
      <c r="D10" s="53" t="s">
        <v>858</v>
      </c>
      <c r="E10" s="42" t="s">
        <v>1720</v>
      </c>
    </row>
    <row r="11" spans="1:5" ht="20" customHeight="1" x14ac:dyDescent="0.2">
      <c r="A11" s="50" t="s">
        <v>520</v>
      </c>
      <c r="B11" s="50" t="s">
        <v>1722</v>
      </c>
      <c r="C11" s="44" t="s">
        <v>824</v>
      </c>
      <c r="D11" s="50" t="s">
        <v>1723</v>
      </c>
      <c r="E11" s="50" t="s">
        <v>1724</v>
      </c>
    </row>
  </sheetData>
  <mergeCells count="2">
    <mergeCell ref="A2:E2"/>
    <mergeCell ref="A1:E1"/>
  </mergeCell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C6"/>
  <sheetViews>
    <sheetView showGridLines="0" rightToLeft="1" workbookViewId="0">
      <pane ySplit="3" topLeftCell="A4" activePane="bottomLeft" state="frozen"/>
      <selection pane="bottomLeft"/>
    </sheetView>
  </sheetViews>
  <sheetFormatPr baseColWidth="10" defaultColWidth="8.83203125" defaultRowHeight="15" x14ac:dyDescent="0.2"/>
  <cols>
    <col min="1" max="3" width="42" customWidth="1"/>
  </cols>
  <sheetData>
    <row r="1" spans="1:3" ht="34" customHeight="1" x14ac:dyDescent="0.2">
      <c r="A1" s="79" t="s">
        <v>2220</v>
      </c>
      <c r="B1" s="76"/>
      <c r="C1" s="76"/>
    </row>
    <row r="2" spans="1:3" ht="28" customHeight="1" x14ac:dyDescent="0.2">
      <c r="A2" s="86" t="s">
        <v>2221</v>
      </c>
      <c r="B2" s="76"/>
      <c r="C2" s="76"/>
    </row>
    <row r="3" spans="1:3" ht="30" customHeight="1" x14ac:dyDescent="0.2">
      <c r="A3" s="48" t="s">
        <v>1559</v>
      </c>
      <c r="B3" s="48" t="s">
        <v>228</v>
      </c>
      <c r="C3" s="48" t="s">
        <v>4</v>
      </c>
    </row>
    <row r="4" spans="1:3" ht="29" customHeight="1" x14ac:dyDescent="0.2">
      <c r="A4" s="42" t="s">
        <v>2222</v>
      </c>
      <c r="B4" s="42" t="s">
        <v>710</v>
      </c>
      <c r="C4" s="42" t="s">
        <v>2223</v>
      </c>
    </row>
    <row r="5" spans="1:3" ht="29" customHeight="1" x14ac:dyDescent="0.2">
      <c r="A5" s="50" t="s">
        <v>2224</v>
      </c>
      <c r="B5" s="50" t="s">
        <v>2225</v>
      </c>
      <c r="C5" s="50" t="s">
        <v>2226</v>
      </c>
    </row>
    <row r="6" spans="1:3" ht="20" customHeight="1" x14ac:dyDescent="0.2">
      <c r="A6" s="42" t="s">
        <v>2227</v>
      </c>
      <c r="B6" s="42">
        <v>9</v>
      </c>
      <c r="C6" s="42" t="s">
        <v>2228</v>
      </c>
    </row>
  </sheetData>
  <mergeCells count="2">
    <mergeCell ref="A1:C1"/>
    <mergeCell ref="A2:C2"/>
  </mergeCell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C11"/>
  <sheetViews>
    <sheetView showGridLines="0" rightToLeft="1" workbookViewId="0">
      <pane ySplit="3" topLeftCell="A4" activePane="bottomLeft" state="frozen"/>
      <selection pane="bottomLeft"/>
    </sheetView>
  </sheetViews>
  <sheetFormatPr baseColWidth="10" defaultColWidth="8.83203125" defaultRowHeight="15" x14ac:dyDescent="0.2"/>
  <cols>
    <col min="1" max="3" width="42" customWidth="1"/>
  </cols>
  <sheetData>
    <row r="1" spans="1:3" ht="34" customHeight="1" x14ac:dyDescent="0.2">
      <c r="A1" s="79" t="s">
        <v>2229</v>
      </c>
      <c r="B1" s="76"/>
      <c r="C1" s="76"/>
    </row>
    <row r="2" spans="1:3" ht="28" customHeight="1" x14ac:dyDescent="0.2">
      <c r="A2" s="86" t="s">
        <v>2230</v>
      </c>
      <c r="B2" s="76"/>
      <c r="C2" s="76"/>
    </row>
    <row r="3" spans="1:3" ht="30" customHeight="1" x14ac:dyDescent="0.2">
      <c r="A3" s="48" t="s">
        <v>1207</v>
      </c>
      <c r="B3" s="48" t="s">
        <v>228</v>
      </c>
      <c r="C3" s="48" t="s">
        <v>4</v>
      </c>
    </row>
    <row r="4" spans="1:3" ht="20" customHeight="1" x14ac:dyDescent="0.2">
      <c r="A4" s="42" t="s">
        <v>2231</v>
      </c>
      <c r="B4" s="42">
        <f>COUNTA('تمام Measureهای پیشنهادی'!A4:A38)</f>
        <v>35</v>
      </c>
      <c r="C4" s="43"/>
    </row>
    <row r="5" spans="1:3" ht="20" customHeight="1" x14ac:dyDescent="0.2">
      <c r="A5" s="50" t="s">
        <v>2232</v>
      </c>
      <c r="B5" s="50">
        <f>COUNTIF('تمام Measureهای پیشنهادی'!Y4:Y38,"SCALE_UP*")</f>
        <v>1</v>
      </c>
      <c r="C5" s="50" t="s">
        <v>2233</v>
      </c>
    </row>
    <row r="6" spans="1:3" ht="20" customHeight="1" x14ac:dyDescent="0.2">
      <c r="A6" s="42" t="s">
        <v>2234</v>
      </c>
      <c r="B6" s="42">
        <f>COUNTIF('تمام Measureهای پیشنهادی'!Y4:Y38,"TARGETED_VALIDATION")</f>
        <v>9</v>
      </c>
      <c r="C6" s="43"/>
    </row>
    <row r="7" spans="1:3" ht="20" customHeight="1" x14ac:dyDescent="0.2">
      <c r="A7" s="50" t="s">
        <v>2235</v>
      </c>
      <c r="B7" s="50">
        <f>COUNTIF('تمام Measureهای پیشنهادی'!Y4:Y38,"ROBUSTNESS_ONLY")</f>
        <v>5</v>
      </c>
      <c r="C7" s="51"/>
    </row>
    <row r="8" spans="1:3" ht="20" customHeight="1" x14ac:dyDescent="0.2">
      <c r="A8" s="42" t="s">
        <v>2236</v>
      </c>
      <c r="B8" s="42">
        <f>COUNTIF('تمام Measureهای پیشنهادی'!Y4:Y38,"CONTROL_DIAGNOSTIC")</f>
        <v>2</v>
      </c>
      <c r="C8" s="43"/>
    </row>
    <row r="9" spans="1:3" ht="20" customHeight="1" x14ac:dyDescent="0.2">
      <c r="A9" s="53" t="s">
        <v>2237</v>
      </c>
      <c r="B9" s="50">
        <f>COUNTIF('تمام Measureهای پیشنهادی'!Y4:Y38,"DEFER")</f>
        <v>13</v>
      </c>
      <c r="C9" s="51"/>
    </row>
    <row r="10" spans="1:3" ht="20" customHeight="1" x14ac:dyDescent="0.2">
      <c r="A10" s="46" t="s">
        <v>2061</v>
      </c>
      <c r="B10" s="42">
        <f>COUNTIF('تمام Measureهای پیشنهادی'!Y4:Y38,"DROP")</f>
        <v>5</v>
      </c>
      <c r="C10" s="43"/>
    </row>
    <row r="11" spans="1:3" ht="29" customHeight="1" x14ac:dyDescent="0.2">
      <c r="A11" s="50" t="s">
        <v>2238</v>
      </c>
      <c r="B11" s="50" t="s">
        <v>2239</v>
      </c>
      <c r="C11" s="50" t="s">
        <v>2240</v>
      </c>
    </row>
  </sheetData>
  <mergeCells count="2">
    <mergeCell ref="A1:C1"/>
    <mergeCell ref="A2:C2"/>
  </mergeCells>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Y38"/>
  <sheetViews>
    <sheetView showGridLines="0" rightToLeft="1" workbookViewId="0">
      <pane xSplit="2" ySplit="3" topLeftCell="C4" activePane="bottomRight" state="frozen"/>
      <selection pane="topRight"/>
      <selection pane="bottomLeft"/>
      <selection pane="bottomRight"/>
    </sheetView>
  </sheetViews>
  <sheetFormatPr baseColWidth="10" defaultColWidth="8.83203125" defaultRowHeight="15" x14ac:dyDescent="0.2"/>
  <cols>
    <col min="1" max="1" width="42" customWidth="1"/>
    <col min="2" max="2" width="38.1640625" customWidth="1"/>
    <col min="3" max="3" width="34.33203125" customWidth="1"/>
    <col min="4" max="4" width="15.33203125" customWidth="1"/>
    <col min="5" max="5" width="42" customWidth="1"/>
    <col min="6" max="6" width="26.6640625" customWidth="1"/>
    <col min="7" max="7" width="10.6640625" customWidth="1"/>
    <col min="8" max="8" width="26.6640625" customWidth="1"/>
    <col min="9" max="9" width="22" customWidth="1"/>
    <col min="10" max="10" width="29.6640625" customWidth="1"/>
    <col min="11" max="11" width="13.5" customWidth="1"/>
    <col min="12" max="13" width="16.33203125" customWidth="1"/>
    <col min="14" max="14" width="14.33203125" customWidth="1"/>
    <col min="15" max="16" width="11.5" customWidth="1"/>
    <col min="17" max="17" width="12.5" customWidth="1"/>
    <col min="18" max="18" width="10.6640625" customWidth="1"/>
    <col min="19" max="19" width="20.1640625" customWidth="1"/>
    <col min="20" max="20" width="39.1640625" customWidth="1"/>
    <col min="21" max="21" width="16.33203125" customWidth="1"/>
    <col min="22" max="22" width="18.1640625" customWidth="1"/>
    <col min="23" max="23" width="21" customWidth="1"/>
    <col min="24" max="24" width="42" customWidth="1"/>
    <col min="25" max="25" width="25.83203125" customWidth="1"/>
  </cols>
  <sheetData>
    <row r="1" spans="1:25" ht="34" customHeight="1" x14ac:dyDescent="0.2">
      <c r="A1" s="79" t="s">
        <v>2241</v>
      </c>
      <c r="B1" s="76"/>
      <c r="C1" s="76"/>
      <c r="D1" s="76"/>
      <c r="E1" s="76"/>
      <c r="F1" s="76"/>
      <c r="G1" s="76"/>
      <c r="H1" s="76"/>
      <c r="I1" s="76"/>
      <c r="J1" s="76"/>
      <c r="K1" s="76"/>
      <c r="L1" s="76"/>
      <c r="M1" s="76"/>
      <c r="N1" s="76"/>
      <c r="O1" s="76"/>
      <c r="P1" s="76"/>
      <c r="Q1" s="76"/>
      <c r="R1" s="76"/>
      <c r="S1" s="76"/>
      <c r="T1" s="76"/>
      <c r="U1" s="76"/>
      <c r="V1" s="76"/>
      <c r="W1" s="76"/>
      <c r="X1" s="76"/>
      <c r="Y1" s="76"/>
    </row>
    <row r="2" spans="1:25" ht="28" customHeight="1" x14ac:dyDescent="0.2">
      <c r="A2" s="86" t="s">
        <v>2242</v>
      </c>
      <c r="B2" s="76"/>
      <c r="C2" s="76"/>
      <c r="D2" s="76"/>
      <c r="E2" s="76"/>
      <c r="F2" s="76"/>
      <c r="G2" s="76"/>
      <c r="H2" s="76"/>
      <c r="I2" s="76"/>
      <c r="J2" s="76"/>
      <c r="K2" s="76"/>
      <c r="L2" s="76"/>
      <c r="M2" s="76"/>
      <c r="N2" s="76"/>
      <c r="O2" s="76"/>
      <c r="P2" s="76"/>
      <c r="Q2" s="76"/>
      <c r="R2" s="76"/>
      <c r="S2" s="76"/>
      <c r="T2" s="76"/>
      <c r="U2" s="76"/>
      <c r="V2" s="76"/>
      <c r="W2" s="76"/>
      <c r="X2" s="76"/>
      <c r="Y2" s="76"/>
    </row>
    <row r="3" spans="1:25" ht="30" customHeight="1" x14ac:dyDescent="0.2">
      <c r="A3" s="48" t="s">
        <v>2243</v>
      </c>
      <c r="B3" s="48" t="s">
        <v>903</v>
      </c>
      <c r="C3" s="48" t="s">
        <v>2244</v>
      </c>
      <c r="D3" s="48" t="s">
        <v>2245</v>
      </c>
      <c r="E3" s="48" t="s">
        <v>906</v>
      </c>
      <c r="F3" s="48" t="s">
        <v>2246</v>
      </c>
      <c r="G3" s="48" t="s">
        <v>910</v>
      </c>
      <c r="H3" s="48" t="s">
        <v>2247</v>
      </c>
      <c r="I3" s="48" t="s">
        <v>377</v>
      </c>
      <c r="J3" s="48" t="s">
        <v>2248</v>
      </c>
      <c r="K3" s="48" t="s">
        <v>2249</v>
      </c>
      <c r="L3" s="48" t="s">
        <v>2250</v>
      </c>
      <c r="M3" s="48" t="s">
        <v>2251</v>
      </c>
      <c r="N3" s="48" t="s">
        <v>2252</v>
      </c>
      <c r="O3" s="48" t="s">
        <v>2253</v>
      </c>
      <c r="P3" s="48" t="s">
        <v>2254</v>
      </c>
      <c r="Q3" s="48" t="s">
        <v>2255</v>
      </c>
      <c r="R3" s="48" t="s">
        <v>2256</v>
      </c>
      <c r="S3" s="48" t="s">
        <v>811</v>
      </c>
      <c r="T3" s="48" t="s">
        <v>2257</v>
      </c>
      <c r="U3" s="48" t="s">
        <v>2258</v>
      </c>
      <c r="V3" s="48" t="s">
        <v>2259</v>
      </c>
      <c r="W3" s="48" t="s">
        <v>935</v>
      </c>
      <c r="X3" s="48" t="s">
        <v>2260</v>
      </c>
      <c r="Y3" s="48" t="s">
        <v>2261</v>
      </c>
    </row>
    <row r="4" spans="1:25" ht="29" customHeight="1" x14ac:dyDescent="0.2">
      <c r="A4" s="42" t="s">
        <v>2262</v>
      </c>
      <c r="B4" s="42" t="s">
        <v>2263</v>
      </c>
      <c r="C4" s="42" t="s">
        <v>2264</v>
      </c>
      <c r="D4" s="42" t="s">
        <v>2265</v>
      </c>
      <c r="E4" s="42" t="s">
        <v>2266</v>
      </c>
      <c r="F4" s="42" t="s">
        <v>2267</v>
      </c>
      <c r="G4" s="42" t="s">
        <v>2268</v>
      </c>
      <c r="H4" s="42" t="s">
        <v>2269</v>
      </c>
      <c r="I4" s="42" t="s">
        <v>2270</v>
      </c>
      <c r="J4" s="42" t="s">
        <v>2271</v>
      </c>
      <c r="K4" s="42" t="s">
        <v>921</v>
      </c>
      <c r="L4" s="42" t="s">
        <v>2272</v>
      </c>
      <c r="M4" s="42" t="s">
        <v>921</v>
      </c>
      <c r="N4" s="42" t="s">
        <v>921</v>
      </c>
      <c r="O4" s="42" t="s">
        <v>921</v>
      </c>
      <c r="P4" s="42" t="s">
        <v>921</v>
      </c>
      <c r="Q4" s="42" t="s">
        <v>921</v>
      </c>
      <c r="R4" s="42" t="s">
        <v>843</v>
      </c>
      <c r="S4" s="42" t="s">
        <v>818</v>
      </c>
      <c r="T4" s="42" t="s">
        <v>2273</v>
      </c>
      <c r="U4" s="42" t="s">
        <v>2274</v>
      </c>
      <c r="V4" s="42" t="s">
        <v>843</v>
      </c>
      <c r="W4" s="42" t="s">
        <v>339</v>
      </c>
      <c r="X4" s="52" t="s">
        <v>765</v>
      </c>
      <c r="Y4" s="53" t="s">
        <v>846</v>
      </c>
    </row>
    <row r="5" spans="1:25" ht="29" customHeight="1" x14ac:dyDescent="0.2">
      <c r="A5" s="50" t="s">
        <v>894</v>
      </c>
      <c r="B5" s="50" t="s">
        <v>760</v>
      </c>
      <c r="C5" s="50" t="s">
        <v>905</v>
      </c>
      <c r="D5" s="50" t="s">
        <v>895</v>
      </c>
      <c r="E5" s="50" t="s">
        <v>2275</v>
      </c>
      <c r="F5" s="50" t="s">
        <v>2276</v>
      </c>
      <c r="G5" s="50" t="s">
        <v>2277</v>
      </c>
      <c r="H5" s="50" t="s">
        <v>913</v>
      </c>
      <c r="I5" s="50" t="s">
        <v>2278</v>
      </c>
      <c r="J5" s="50" t="s">
        <v>2271</v>
      </c>
      <c r="K5" s="50" t="s">
        <v>921</v>
      </c>
      <c r="L5" s="50" t="s">
        <v>2272</v>
      </c>
      <c r="M5" s="50" t="s">
        <v>921</v>
      </c>
      <c r="N5" s="50" t="s">
        <v>923</v>
      </c>
      <c r="O5" s="50" t="s">
        <v>921</v>
      </c>
      <c r="P5" s="50" t="s">
        <v>921</v>
      </c>
      <c r="Q5" s="50" t="s">
        <v>923</v>
      </c>
      <c r="R5" s="50" t="s">
        <v>923</v>
      </c>
      <c r="S5" s="50" t="s">
        <v>818</v>
      </c>
      <c r="T5" s="50" t="s">
        <v>2279</v>
      </c>
      <c r="U5" s="50" t="s">
        <v>923</v>
      </c>
      <c r="V5" s="50" t="s">
        <v>843</v>
      </c>
      <c r="W5" s="50" t="s">
        <v>2280</v>
      </c>
      <c r="X5" s="52" t="s">
        <v>765</v>
      </c>
      <c r="Y5" s="52" t="s">
        <v>765</v>
      </c>
    </row>
    <row r="6" spans="1:25" ht="29" customHeight="1" x14ac:dyDescent="0.2">
      <c r="A6" s="42" t="s">
        <v>2281</v>
      </c>
      <c r="B6" s="42" t="s">
        <v>2282</v>
      </c>
      <c r="C6" s="42" t="s">
        <v>2283</v>
      </c>
      <c r="D6" s="42" t="s">
        <v>895</v>
      </c>
      <c r="E6" s="42" t="s">
        <v>2284</v>
      </c>
      <c r="F6" s="42" t="s">
        <v>2285</v>
      </c>
      <c r="G6" s="42" t="s">
        <v>2277</v>
      </c>
      <c r="H6" s="42" t="s">
        <v>913</v>
      </c>
      <c r="I6" s="42" t="s">
        <v>2286</v>
      </c>
      <c r="J6" s="42" t="s">
        <v>2271</v>
      </c>
      <c r="K6" s="42" t="s">
        <v>921</v>
      </c>
      <c r="L6" s="42" t="s">
        <v>2272</v>
      </c>
      <c r="M6" s="42" t="s">
        <v>921</v>
      </c>
      <c r="N6" s="42" t="s">
        <v>923</v>
      </c>
      <c r="O6" s="42" t="s">
        <v>921</v>
      </c>
      <c r="P6" s="42" t="s">
        <v>921</v>
      </c>
      <c r="Q6" s="42" t="s">
        <v>923</v>
      </c>
      <c r="R6" s="42" t="s">
        <v>923</v>
      </c>
      <c r="S6" s="42" t="s">
        <v>827</v>
      </c>
      <c r="T6" s="42" t="s">
        <v>2287</v>
      </c>
      <c r="U6" s="42" t="s">
        <v>843</v>
      </c>
      <c r="V6" s="42" t="s">
        <v>843</v>
      </c>
      <c r="W6" s="42" t="s">
        <v>857</v>
      </c>
      <c r="X6" s="52" t="s">
        <v>765</v>
      </c>
      <c r="Y6" s="53" t="s">
        <v>858</v>
      </c>
    </row>
    <row r="7" spans="1:25" ht="29" customHeight="1" x14ac:dyDescent="0.2">
      <c r="A7" s="50" t="s">
        <v>2288</v>
      </c>
      <c r="B7" s="50" t="s">
        <v>2289</v>
      </c>
      <c r="C7" s="50" t="s">
        <v>2290</v>
      </c>
      <c r="D7" s="50" t="s">
        <v>2291</v>
      </c>
      <c r="E7" s="50" t="s">
        <v>2292</v>
      </c>
      <c r="F7" s="50" t="s">
        <v>2293</v>
      </c>
      <c r="G7" s="50" t="s">
        <v>1207</v>
      </c>
      <c r="H7" s="50" t="s">
        <v>2294</v>
      </c>
      <c r="I7" s="50" t="s">
        <v>2286</v>
      </c>
      <c r="J7" s="50" t="s">
        <v>2271</v>
      </c>
      <c r="K7" s="50" t="s">
        <v>921</v>
      </c>
      <c r="L7" s="50" t="s">
        <v>2272</v>
      </c>
      <c r="M7" s="50" t="s">
        <v>921</v>
      </c>
      <c r="N7" s="50" t="s">
        <v>921</v>
      </c>
      <c r="O7" s="50" t="s">
        <v>921</v>
      </c>
      <c r="P7" s="50" t="s">
        <v>921</v>
      </c>
      <c r="Q7" s="50" t="s">
        <v>921</v>
      </c>
      <c r="R7" s="50" t="s">
        <v>843</v>
      </c>
      <c r="S7" s="50" t="s">
        <v>844</v>
      </c>
      <c r="T7" s="50" t="s">
        <v>2295</v>
      </c>
      <c r="U7" s="50" t="s">
        <v>2274</v>
      </c>
      <c r="V7" s="50" t="s">
        <v>843</v>
      </c>
      <c r="W7" s="50" t="s">
        <v>2296</v>
      </c>
      <c r="X7" s="52" t="s">
        <v>765</v>
      </c>
      <c r="Y7" s="46" t="s">
        <v>2061</v>
      </c>
    </row>
    <row r="8" spans="1:25" ht="29" customHeight="1" x14ac:dyDescent="0.2">
      <c r="A8" s="42" t="s">
        <v>2297</v>
      </c>
      <c r="B8" s="42" t="s">
        <v>2298</v>
      </c>
      <c r="C8" s="42" t="s">
        <v>2299</v>
      </c>
      <c r="D8" s="42" t="s">
        <v>2291</v>
      </c>
      <c r="E8" s="42" t="s">
        <v>2300</v>
      </c>
      <c r="F8" s="42" t="s">
        <v>2301</v>
      </c>
      <c r="G8" s="42" t="s">
        <v>2302</v>
      </c>
      <c r="H8" s="42" t="s">
        <v>2294</v>
      </c>
      <c r="I8" s="42" t="s">
        <v>2286</v>
      </c>
      <c r="J8" s="42" t="s">
        <v>2271</v>
      </c>
      <c r="K8" s="42" t="s">
        <v>921</v>
      </c>
      <c r="L8" s="42" t="s">
        <v>2272</v>
      </c>
      <c r="M8" s="42" t="s">
        <v>921</v>
      </c>
      <c r="N8" s="42" t="s">
        <v>921</v>
      </c>
      <c r="O8" s="42" t="s">
        <v>921</v>
      </c>
      <c r="P8" s="42" t="s">
        <v>921</v>
      </c>
      <c r="Q8" s="42" t="s">
        <v>921</v>
      </c>
      <c r="R8" s="42" t="s">
        <v>843</v>
      </c>
      <c r="S8" s="42" t="s">
        <v>844</v>
      </c>
      <c r="T8" s="42" t="s">
        <v>2303</v>
      </c>
      <c r="U8" s="42" t="s">
        <v>2274</v>
      </c>
      <c r="V8" s="42" t="s">
        <v>843</v>
      </c>
      <c r="W8" s="42" t="s">
        <v>2296</v>
      </c>
      <c r="X8" s="52" t="s">
        <v>765</v>
      </c>
      <c r="Y8" s="46" t="s">
        <v>2061</v>
      </c>
    </row>
    <row r="9" spans="1:25" ht="29" customHeight="1" x14ac:dyDescent="0.2">
      <c r="A9" s="50" t="s">
        <v>2304</v>
      </c>
      <c r="B9" s="50" t="s">
        <v>2305</v>
      </c>
      <c r="C9" s="50" t="s">
        <v>2306</v>
      </c>
      <c r="D9" s="50" t="s">
        <v>2307</v>
      </c>
      <c r="E9" s="50" t="s">
        <v>2308</v>
      </c>
      <c r="F9" s="50" t="s">
        <v>2309</v>
      </c>
      <c r="G9" s="50" t="s">
        <v>2310</v>
      </c>
      <c r="H9" s="50" t="s">
        <v>2294</v>
      </c>
      <c r="I9" s="50" t="s">
        <v>2286</v>
      </c>
      <c r="J9" s="50" t="s">
        <v>2271</v>
      </c>
      <c r="K9" s="50" t="s">
        <v>923</v>
      </c>
      <c r="L9" s="50" t="s">
        <v>2272</v>
      </c>
      <c r="M9" s="50" t="s">
        <v>923</v>
      </c>
      <c r="N9" s="50" t="s">
        <v>923</v>
      </c>
      <c r="O9" s="50" t="s">
        <v>921</v>
      </c>
      <c r="P9" s="50" t="s">
        <v>921</v>
      </c>
      <c r="Q9" s="50" t="s">
        <v>921</v>
      </c>
      <c r="R9" s="50" t="s">
        <v>843</v>
      </c>
      <c r="S9" s="50" t="s">
        <v>818</v>
      </c>
      <c r="T9" s="50" t="s">
        <v>2311</v>
      </c>
      <c r="U9" s="50" t="s">
        <v>923</v>
      </c>
      <c r="V9" s="50" t="s">
        <v>923</v>
      </c>
      <c r="W9" s="50" t="s">
        <v>888</v>
      </c>
      <c r="X9" s="45" t="s">
        <v>889</v>
      </c>
      <c r="Y9" s="45" t="s">
        <v>889</v>
      </c>
    </row>
    <row r="10" spans="1:25" ht="29" customHeight="1" x14ac:dyDescent="0.2">
      <c r="A10" s="42" t="s">
        <v>2312</v>
      </c>
      <c r="B10" s="42" t="s">
        <v>2313</v>
      </c>
      <c r="C10" s="42" t="s">
        <v>2314</v>
      </c>
      <c r="D10" s="42" t="s">
        <v>2315</v>
      </c>
      <c r="E10" s="42" t="s">
        <v>2316</v>
      </c>
      <c r="F10" s="42" t="s">
        <v>2317</v>
      </c>
      <c r="G10" s="42" t="s">
        <v>2302</v>
      </c>
      <c r="H10" s="42" t="s">
        <v>2318</v>
      </c>
      <c r="I10" s="42" t="s">
        <v>2286</v>
      </c>
      <c r="J10" s="42" t="s">
        <v>2271</v>
      </c>
      <c r="K10" s="42" t="s">
        <v>923</v>
      </c>
      <c r="L10" s="42" t="s">
        <v>2319</v>
      </c>
      <c r="M10" s="42" t="s">
        <v>923</v>
      </c>
      <c r="N10" s="42" t="s">
        <v>923</v>
      </c>
      <c r="O10" s="42" t="s">
        <v>921</v>
      </c>
      <c r="P10" s="42" t="s">
        <v>923</v>
      </c>
      <c r="Q10" s="42" t="s">
        <v>923</v>
      </c>
      <c r="R10" s="42" t="s">
        <v>923</v>
      </c>
      <c r="S10" s="42" t="s">
        <v>818</v>
      </c>
      <c r="T10" s="42" t="s">
        <v>2069</v>
      </c>
      <c r="U10" s="42" t="s">
        <v>923</v>
      </c>
      <c r="V10" s="42" t="s">
        <v>921</v>
      </c>
      <c r="W10" s="42" t="s">
        <v>2320</v>
      </c>
      <c r="X10" s="42" t="s">
        <v>2321</v>
      </c>
      <c r="Y10" s="53" t="s">
        <v>2237</v>
      </c>
    </row>
    <row r="11" spans="1:25" ht="29" customHeight="1" x14ac:dyDescent="0.2">
      <c r="A11" s="50" t="s">
        <v>2322</v>
      </c>
      <c r="B11" s="50" t="s">
        <v>2323</v>
      </c>
      <c r="C11" s="50" t="s">
        <v>2324</v>
      </c>
      <c r="D11" s="50" t="s">
        <v>2325</v>
      </c>
      <c r="E11" s="50" t="s">
        <v>2326</v>
      </c>
      <c r="F11" s="50" t="s">
        <v>2327</v>
      </c>
      <c r="G11" s="50" t="s">
        <v>2277</v>
      </c>
      <c r="H11" s="50" t="s">
        <v>2328</v>
      </c>
      <c r="I11" s="50" t="s">
        <v>2329</v>
      </c>
      <c r="J11" s="50" t="s">
        <v>2271</v>
      </c>
      <c r="K11" s="50" t="s">
        <v>923</v>
      </c>
      <c r="L11" s="50" t="s">
        <v>2330</v>
      </c>
      <c r="M11" s="50" t="s">
        <v>923</v>
      </c>
      <c r="N11" s="50" t="s">
        <v>923</v>
      </c>
      <c r="O11" s="50" t="s">
        <v>921</v>
      </c>
      <c r="P11" s="50" t="s">
        <v>923</v>
      </c>
      <c r="Q11" s="50" t="s">
        <v>843</v>
      </c>
      <c r="R11" s="50" t="s">
        <v>921</v>
      </c>
      <c r="S11" s="50" t="s">
        <v>818</v>
      </c>
      <c r="T11" s="50" t="s">
        <v>2331</v>
      </c>
      <c r="U11" s="50" t="s">
        <v>843</v>
      </c>
      <c r="V11" s="50" t="s">
        <v>923</v>
      </c>
      <c r="W11" s="50" t="s">
        <v>339</v>
      </c>
      <c r="X11" s="52" t="s">
        <v>765</v>
      </c>
      <c r="Y11" s="53" t="s">
        <v>846</v>
      </c>
    </row>
    <row r="12" spans="1:25" ht="29" customHeight="1" x14ac:dyDescent="0.2">
      <c r="A12" s="42" t="s">
        <v>2332</v>
      </c>
      <c r="B12" s="42" t="s">
        <v>2333</v>
      </c>
      <c r="C12" s="42" t="s">
        <v>2334</v>
      </c>
      <c r="D12" s="42" t="s">
        <v>2325</v>
      </c>
      <c r="E12" s="42" t="s">
        <v>2335</v>
      </c>
      <c r="F12" s="42" t="s">
        <v>2336</v>
      </c>
      <c r="G12" s="42" t="s">
        <v>2277</v>
      </c>
      <c r="H12" s="42" t="s">
        <v>2328</v>
      </c>
      <c r="I12" s="42" t="s">
        <v>2286</v>
      </c>
      <c r="J12" s="42" t="s">
        <v>2271</v>
      </c>
      <c r="K12" s="42" t="s">
        <v>923</v>
      </c>
      <c r="L12" s="42" t="s">
        <v>2330</v>
      </c>
      <c r="M12" s="42" t="s">
        <v>923</v>
      </c>
      <c r="N12" s="42" t="s">
        <v>923</v>
      </c>
      <c r="O12" s="42" t="s">
        <v>921</v>
      </c>
      <c r="P12" s="42" t="s">
        <v>923</v>
      </c>
      <c r="Q12" s="42" t="s">
        <v>843</v>
      </c>
      <c r="R12" s="42" t="s">
        <v>921</v>
      </c>
      <c r="S12" s="42" t="s">
        <v>818</v>
      </c>
      <c r="T12" s="42" t="s">
        <v>2331</v>
      </c>
      <c r="U12" s="42" t="s">
        <v>843</v>
      </c>
      <c r="V12" s="42" t="s">
        <v>923</v>
      </c>
      <c r="W12" s="42" t="s">
        <v>857</v>
      </c>
      <c r="X12" s="52" t="s">
        <v>765</v>
      </c>
      <c r="Y12" s="53" t="s">
        <v>858</v>
      </c>
    </row>
    <row r="13" spans="1:25" ht="29" customHeight="1" x14ac:dyDescent="0.2">
      <c r="A13" s="50" t="s">
        <v>2337</v>
      </c>
      <c r="B13" s="50" t="s">
        <v>2338</v>
      </c>
      <c r="C13" s="50" t="s">
        <v>2339</v>
      </c>
      <c r="D13" s="50" t="s">
        <v>2325</v>
      </c>
      <c r="E13" s="50" t="s">
        <v>2340</v>
      </c>
      <c r="F13" s="50" t="s">
        <v>2341</v>
      </c>
      <c r="G13" s="50" t="s">
        <v>2277</v>
      </c>
      <c r="H13" s="50" t="s">
        <v>2328</v>
      </c>
      <c r="I13" s="50" t="s">
        <v>2286</v>
      </c>
      <c r="J13" s="50" t="s">
        <v>2271</v>
      </c>
      <c r="K13" s="50" t="s">
        <v>923</v>
      </c>
      <c r="L13" s="50" t="s">
        <v>2330</v>
      </c>
      <c r="M13" s="50" t="s">
        <v>923</v>
      </c>
      <c r="N13" s="50" t="s">
        <v>923</v>
      </c>
      <c r="O13" s="50" t="s">
        <v>921</v>
      </c>
      <c r="P13" s="50" t="s">
        <v>923</v>
      </c>
      <c r="Q13" s="50" t="s">
        <v>843</v>
      </c>
      <c r="R13" s="50" t="s">
        <v>921</v>
      </c>
      <c r="S13" s="50" t="s">
        <v>827</v>
      </c>
      <c r="T13" s="50" t="s">
        <v>2342</v>
      </c>
      <c r="U13" s="50" t="s">
        <v>843</v>
      </c>
      <c r="V13" s="50" t="s">
        <v>923</v>
      </c>
      <c r="W13" s="50" t="s">
        <v>857</v>
      </c>
      <c r="X13" s="52" t="s">
        <v>765</v>
      </c>
      <c r="Y13" s="53" t="s">
        <v>858</v>
      </c>
    </row>
    <row r="14" spans="1:25" ht="29" customHeight="1" x14ac:dyDescent="0.2">
      <c r="A14" s="42" t="s">
        <v>2343</v>
      </c>
      <c r="B14" s="42" t="s">
        <v>2344</v>
      </c>
      <c r="C14" s="42" t="s">
        <v>2345</v>
      </c>
      <c r="D14" s="42" t="s">
        <v>1695</v>
      </c>
      <c r="E14" s="42" t="s">
        <v>2346</v>
      </c>
      <c r="F14" s="42" t="s">
        <v>2347</v>
      </c>
      <c r="G14" s="42" t="s">
        <v>2277</v>
      </c>
      <c r="H14" s="42" t="s">
        <v>2328</v>
      </c>
      <c r="I14" s="42" t="s">
        <v>2286</v>
      </c>
      <c r="J14" s="42" t="s">
        <v>2271</v>
      </c>
      <c r="K14" s="42" t="s">
        <v>923</v>
      </c>
      <c r="L14" s="42" t="s">
        <v>2330</v>
      </c>
      <c r="M14" s="42" t="s">
        <v>923</v>
      </c>
      <c r="N14" s="42" t="s">
        <v>923</v>
      </c>
      <c r="O14" s="42" t="s">
        <v>921</v>
      </c>
      <c r="P14" s="42" t="s">
        <v>923</v>
      </c>
      <c r="Q14" s="42" t="s">
        <v>843</v>
      </c>
      <c r="R14" s="42" t="s">
        <v>921</v>
      </c>
      <c r="S14" s="42" t="s">
        <v>827</v>
      </c>
      <c r="T14" s="42" t="s">
        <v>963</v>
      </c>
      <c r="U14" s="42" t="s">
        <v>843</v>
      </c>
      <c r="V14" s="42" t="s">
        <v>921</v>
      </c>
      <c r="W14" s="42" t="s">
        <v>2320</v>
      </c>
      <c r="X14" s="42" t="s">
        <v>2321</v>
      </c>
      <c r="Y14" s="53" t="s">
        <v>2237</v>
      </c>
    </row>
    <row r="15" spans="1:25" ht="29" customHeight="1" x14ac:dyDescent="0.2">
      <c r="A15" s="50" t="s">
        <v>2348</v>
      </c>
      <c r="B15" s="50" t="s">
        <v>2349</v>
      </c>
      <c r="C15" s="50" t="s">
        <v>2350</v>
      </c>
      <c r="D15" s="50" t="s">
        <v>1695</v>
      </c>
      <c r="E15" s="50" t="s">
        <v>2351</v>
      </c>
      <c r="F15" s="50" t="s">
        <v>2352</v>
      </c>
      <c r="G15" s="50" t="s">
        <v>2277</v>
      </c>
      <c r="H15" s="50" t="s">
        <v>2328</v>
      </c>
      <c r="I15" s="50" t="s">
        <v>2286</v>
      </c>
      <c r="J15" s="50" t="s">
        <v>2271</v>
      </c>
      <c r="K15" s="50" t="s">
        <v>843</v>
      </c>
      <c r="L15" s="50" t="s">
        <v>2330</v>
      </c>
      <c r="M15" s="50" t="s">
        <v>843</v>
      </c>
      <c r="N15" s="50" t="s">
        <v>923</v>
      </c>
      <c r="O15" s="50" t="s">
        <v>921</v>
      </c>
      <c r="P15" s="50" t="s">
        <v>923</v>
      </c>
      <c r="Q15" s="50" t="s">
        <v>843</v>
      </c>
      <c r="R15" s="50" t="s">
        <v>921</v>
      </c>
      <c r="S15" s="50" t="s">
        <v>827</v>
      </c>
      <c r="T15" s="50" t="s">
        <v>2069</v>
      </c>
      <c r="U15" s="50" t="s">
        <v>843</v>
      </c>
      <c r="V15" s="50" t="s">
        <v>921</v>
      </c>
      <c r="W15" s="50" t="s">
        <v>2296</v>
      </c>
      <c r="X15" s="50" t="s">
        <v>2321</v>
      </c>
      <c r="Y15" s="46" t="s">
        <v>2061</v>
      </c>
    </row>
    <row r="16" spans="1:25" ht="29" customHeight="1" x14ac:dyDescent="0.2">
      <c r="A16" s="42" t="s">
        <v>2353</v>
      </c>
      <c r="B16" s="42" t="s">
        <v>2354</v>
      </c>
      <c r="C16" s="42" t="s">
        <v>2355</v>
      </c>
      <c r="D16" s="42" t="s">
        <v>1695</v>
      </c>
      <c r="E16" s="42" t="s">
        <v>2356</v>
      </c>
      <c r="F16" s="42" t="s">
        <v>2357</v>
      </c>
      <c r="G16" s="42" t="s">
        <v>2277</v>
      </c>
      <c r="H16" s="42" t="s">
        <v>1234</v>
      </c>
      <c r="I16" s="42" t="s">
        <v>1236</v>
      </c>
      <c r="J16" s="42" t="s">
        <v>1236</v>
      </c>
      <c r="K16" s="42" t="s">
        <v>843</v>
      </c>
      <c r="L16" s="42" t="s">
        <v>2358</v>
      </c>
      <c r="M16" s="42" t="s">
        <v>843</v>
      </c>
      <c r="N16" s="42" t="s">
        <v>843</v>
      </c>
      <c r="O16" s="42" t="s">
        <v>921</v>
      </c>
      <c r="P16" s="42" t="s">
        <v>923</v>
      </c>
      <c r="Q16" s="42" t="s">
        <v>843</v>
      </c>
      <c r="R16" s="42" t="s">
        <v>921</v>
      </c>
      <c r="S16" s="42" t="s">
        <v>827</v>
      </c>
      <c r="T16" s="42" t="s">
        <v>1869</v>
      </c>
      <c r="U16" s="42" t="s">
        <v>1869</v>
      </c>
      <c r="V16" s="42" t="s">
        <v>921</v>
      </c>
      <c r="W16" s="42" t="s">
        <v>2359</v>
      </c>
      <c r="X16" s="42" t="s">
        <v>2360</v>
      </c>
      <c r="Y16" s="53" t="s">
        <v>2237</v>
      </c>
    </row>
    <row r="17" spans="1:25" ht="29" customHeight="1" x14ac:dyDescent="0.2">
      <c r="A17" s="50" t="s">
        <v>2361</v>
      </c>
      <c r="B17" s="50" t="s">
        <v>2362</v>
      </c>
      <c r="C17" s="50" t="s">
        <v>2363</v>
      </c>
      <c r="D17" s="50" t="s">
        <v>851</v>
      </c>
      <c r="E17" s="50" t="s">
        <v>2364</v>
      </c>
      <c r="F17" s="50" t="s">
        <v>2365</v>
      </c>
      <c r="G17" s="50" t="s">
        <v>2277</v>
      </c>
      <c r="H17" s="50" t="s">
        <v>2366</v>
      </c>
      <c r="I17" s="50" t="s">
        <v>2286</v>
      </c>
      <c r="J17" s="50" t="s">
        <v>2271</v>
      </c>
      <c r="K17" s="50" t="s">
        <v>923</v>
      </c>
      <c r="L17" s="50" t="s">
        <v>2367</v>
      </c>
      <c r="M17" s="50" t="s">
        <v>923</v>
      </c>
      <c r="N17" s="50" t="s">
        <v>923</v>
      </c>
      <c r="O17" s="50" t="s">
        <v>921</v>
      </c>
      <c r="P17" s="50" t="s">
        <v>923</v>
      </c>
      <c r="Q17" s="50" t="s">
        <v>923</v>
      </c>
      <c r="R17" s="50" t="s">
        <v>923</v>
      </c>
      <c r="S17" s="50" t="s">
        <v>827</v>
      </c>
      <c r="T17" s="50" t="s">
        <v>2069</v>
      </c>
      <c r="U17" s="50" t="s">
        <v>921</v>
      </c>
      <c r="V17" s="50" t="s">
        <v>921</v>
      </c>
      <c r="W17" s="50" t="s">
        <v>888</v>
      </c>
      <c r="X17" s="45" t="s">
        <v>889</v>
      </c>
      <c r="Y17" s="45" t="s">
        <v>889</v>
      </c>
    </row>
    <row r="18" spans="1:25" ht="29" customHeight="1" x14ac:dyDescent="0.2">
      <c r="A18" s="42" t="s">
        <v>2368</v>
      </c>
      <c r="B18" s="42" t="s">
        <v>2369</v>
      </c>
      <c r="C18" s="42" t="s">
        <v>2370</v>
      </c>
      <c r="D18" s="42" t="s">
        <v>851</v>
      </c>
      <c r="E18" s="42" t="s">
        <v>2371</v>
      </c>
      <c r="F18" s="42" t="s">
        <v>2372</v>
      </c>
      <c r="G18" s="42" t="s">
        <v>2373</v>
      </c>
      <c r="H18" s="42" t="s">
        <v>2366</v>
      </c>
      <c r="I18" s="42" t="s">
        <v>2286</v>
      </c>
      <c r="J18" s="42" t="s">
        <v>2271</v>
      </c>
      <c r="K18" s="42" t="s">
        <v>923</v>
      </c>
      <c r="L18" s="42" t="s">
        <v>2374</v>
      </c>
      <c r="M18" s="42" t="s">
        <v>923</v>
      </c>
      <c r="N18" s="42" t="s">
        <v>923</v>
      </c>
      <c r="O18" s="42" t="s">
        <v>921</v>
      </c>
      <c r="P18" s="42" t="s">
        <v>923</v>
      </c>
      <c r="Q18" s="42" t="s">
        <v>923</v>
      </c>
      <c r="R18" s="42" t="s">
        <v>923</v>
      </c>
      <c r="S18" s="42" t="s">
        <v>827</v>
      </c>
      <c r="T18" s="42" t="s">
        <v>2375</v>
      </c>
      <c r="U18" s="42" t="s">
        <v>923</v>
      </c>
      <c r="V18" s="42" t="s">
        <v>921</v>
      </c>
      <c r="W18" s="42" t="s">
        <v>888</v>
      </c>
      <c r="X18" s="45" t="s">
        <v>889</v>
      </c>
      <c r="Y18" s="45" t="s">
        <v>889</v>
      </c>
    </row>
    <row r="19" spans="1:25" ht="29" customHeight="1" x14ac:dyDescent="0.2">
      <c r="A19" s="50" t="s">
        <v>2376</v>
      </c>
      <c r="B19" s="50" t="s">
        <v>2377</v>
      </c>
      <c r="C19" s="50" t="s">
        <v>2378</v>
      </c>
      <c r="D19" s="50" t="s">
        <v>2379</v>
      </c>
      <c r="E19" s="50" t="s">
        <v>2380</v>
      </c>
      <c r="F19" s="50" t="s">
        <v>2381</v>
      </c>
      <c r="G19" s="50" t="s">
        <v>2302</v>
      </c>
      <c r="H19" s="50" t="s">
        <v>2382</v>
      </c>
      <c r="I19" s="50" t="s">
        <v>2286</v>
      </c>
      <c r="J19" s="50" t="s">
        <v>2271</v>
      </c>
      <c r="K19" s="50" t="s">
        <v>923</v>
      </c>
      <c r="L19" s="50" t="s">
        <v>2383</v>
      </c>
      <c r="M19" s="50" t="s">
        <v>923</v>
      </c>
      <c r="N19" s="50" t="s">
        <v>923</v>
      </c>
      <c r="O19" s="50" t="s">
        <v>923</v>
      </c>
      <c r="P19" s="50" t="s">
        <v>921</v>
      </c>
      <c r="Q19" s="50" t="s">
        <v>923</v>
      </c>
      <c r="R19" s="50" t="s">
        <v>923</v>
      </c>
      <c r="S19" s="50" t="s">
        <v>856</v>
      </c>
      <c r="T19" s="50" t="s">
        <v>2069</v>
      </c>
      <c r="U19" s="50" t="s">
        <v>921</v>
      </c>
      <c r="V19" s="50" t="s">
        <v>923</v>
      </c>
      <c r="W19" s="50" t="s">
        <v>888</v>
      </c>
      <c r="X19" s="45" t="s">
        <v>889</v>
      </c>
      <c r="Y19" s="45" t="s">
        <v>889</v>
      </c>
    </row>
    <row r="20" spans="1:25" ht="29" customHeight="1" x14ac:dyDescent="0.2">
      <c r="A20" s="42" t="s">
        <v>2384</v>
      </c>
      <c r="B20" s="42" t="s">
        <v>2385</v>
      </c>
      <c r="C20" s="42" t="s">
        <v>2386</v>
      </c>
      <c r="D20" s="42" t="s">
        <v>2379</v>
      </c>
      <c r="E20" s="42" t="s">
        <v>2387</v>
      </c>
      <c r="F20" s="42" t="s">
        <v>2388</v>
      </c>
      <c r="G20" s="42" t="s">
        <v>2389</v>
      </c>
      <c r="H20" s="42" t="s">
        <v>2390</v>
      </c>
      <c r="I20" s="42" t="s">
        <v>2286</v>
      </c>
      <c r="J20" s="42" t="s">
        <v>2271</v>
      </c>
      <c r="K20" s="42" t="s">
        <v>923</v>
      </c>
      <c r="L20" s="42" t="s">
        <v>2367</v>
      </c>
      <c r="M20" s="42" t="s">
        <v>923</v>
      </c>
      <c r="N20" s="42" t="s">
        <v>923</v>
      </c>
      <c r="O20" s="42" t="s">
        <v>923</v>
      </c>
      <c r="P20" s="42" t="s">
        <v>921</v>
      </c>
      <c r="Q20" s="42" t="s">
        <v>923</v>
      </c>
      <c r="R20" s="42" t="s">
        <v>923</v>
      </c>
      <c r="S20" s="42" t="s">
        <v>856</v>
      </c>
      <c r="T20" s="42" t="s">
        <v>2069</v>
      </c>
      <c r="U20" s="42" t="s">
        <v>921</v>
      </c>
      <c r="V20" s="42" t="s">
        <v>923</v>
      </c>
      <c r="W20" s="42" t="s">
        <v>888</v>
      </c>
      <c r="X20" s="45" t="s">
        <v>889</v>
      </c>
      <c r="Y20" s="45" t="s">
        <v>889</v>
      </c>
    </row>
    <row r="21" spans="1:25" ht="29" customHeight="1" x14ac:dyDescent="0.2">
      <c r="A21" s="50" t="s">
        <v>2391</v>
      </c>
      <c r="B21" s="50" t="s">
        <v>2392</v>
      </c>
      <c r="C21" s="50" t="s">
        <v>2393</v>
      </c>
      <c r="D21" s="50" t="s">
        <v>851</v>
      </c>
      <c r="E21" s="50" t="s">
        <v>2394</v>
      </c>
      <c r="F21" s="50" t="s">
        <v>1809</v>
      </c>
      <c r="G21" s="50" t="s">
        <v>2373</v>
      </c>
      <c r="H21" s="50" t="s">
        <v>2395</v>
      </c>
      <c r="I21" s="50" t="s">
        <v>2286</v>
      </c>
      <c r="J21" s="50" t="s">
        <v>2271</v>
      </c>
      <c r="K21" s="50" t="s">
        <v>921</v>
      </c>
      <c r="L21" s="50" t="s">
        <v>2330</v>
      </c>
      <c r="M21" s="50" t="s">
        <v>921</v>
      </c>
      <c r="N21" s="50" t="s">
        <v>923</v>
      </c>
      <c r="O21" s="50" t="s">
        <v>921</v>
      </c>
      <c r="P21" s="50" t="s">
        <v>921</v>
      </c>
      <c r="Q21" s="50" t="s">
        <v>921</v>
      </c>
      <c r="R21" s="50" t="s">
        <v>923</v>
      </c>
      <c r="S21" s="50" t="s">
        <v>827</v>
      </c>
      <c r="T21" s="50" t="s">
        <v>2396</v>
      </c>
      <c r="U21" s="50" t="s">
        <v>923</v>
      </c>
      <c r="V21" s="50" t="s">
        <v>923</v>
      </c>
      <c r="W21" s="50" t="s">
        <v>888</v>
      </c>
      <c r="X21" s="45" t="s">
        <v>889</v>
      </c>
      <c r="Y21" s="45" t="s">
        <v>889</v>
      </c>
    </row>
    <row r="22" spans="1:25" ht="29" customHeight="1" x14ac:dyDescent="0.2">
      <c r="A22" s="42" t="s">
        <v>2397</v>
      </c>
      <c r="B22" s="42" t="s">
        <v>2398</v>
      </c>
      <c r="C22" s="42" t="s">
        <v>2399</v>
      </c>
      <c r="D22" s="42" t="s">
        <v>851</v>
      </c>
      <c r="E22" s="42" t="s">
        <v>2400</v>
      </c>
      <c r="F22" s="42" t="s">
        <v>1809</v>
      </c>
      <c r="G22" s="42" t="s">
        <v>2373</v>
      </c>
      <c r="H22" s="42" t="s">
        <v>2395</v>
      </c>
      <c r="I22" s="42" t="s">
        <v>2286</v>
      </c>
      <c r="J22" s="42" t="s">
        <v>2271</v>
      </c>
      <c r="K22" s="42" t="s">
        <v>921</v>
      </c>
      <c r="L22" s="42" t="s">
        <v>2330</v>
      </c>
      <c r="M22" s="42" t="s">
        <v>921</v>
      </c>
      <c r="N22" s="42" t="s">
        <v>923</v>
      </c>
      <c r="O22" s="42" t="s">
        <v>921</v>
      </c>
      <c r="P22" s="42" t="s">
        <v>921</v>
      </c>
      <c r="Q22" s="42" t="s">
        <v>921</v>
      </c>
      <c r="R22" s="42" t="s">
        <v>923</v>
      </c>
      <c r="S22" s="42" t="s">
        <v>827</v>
      </c>
      <c r="T22" s="42" t="s">
        <v>963</v>
      </c>
      <c r="U22" s="42" t="s">
        <v>843</v>
      </c>
      <c r="V22" s="42" t="s">
        <v>921</v>
      </c>
      <c r="W22" s="42" t="s">
        <v>2401</v>
      </c>
      <c r="X22" s="52" t="s">
        <v>765</v>
      </c>
      <c r="Y22" s="53" t="s">
        <v>2237</v>
      </c>
    </row>
    <row r="23" spans="1:25" ht="29" customHeight="1" x14ac:dyDescent="0.2">
      <c r="A23" s="50" t="s">
        <v>2402</v>
      </c>
      <c r="B23" s="50" t="s">
        <v>2403</v>
      </c>
      <c r="C23" s="50" t="s">
        <v>2404</v>
      </c>
      <c r="D23" s="50" t="s">
        <v>851</v>
      </c>
      <c r="E23" s="50" t="s">
        <v>2405</v>
      </c>
      <c r="F23" s="50" t="s">
        <v>1809</v>
      </c>
      <c r="G23" s="50" t="s">
        <v>2373</v>
      </c>
      <c r="H23" s="50" t="s">
        <v>2395</v>
      </c>
      <c r="I23" s="50" t="s">
        <v>2286</v>
      </c>
      <c r="J23" s="50" t="s">
        <v>2271</v>
      </c>
      <c r="K23" s="50" t="s">
        <v>843</v>
      </c>
      <c r="L23" s="50" t="s">
        <v>2406</v>
      </c>
      <c r="M23" s="50" t="s">
        <v>843</v>
      </c>
      <c r="N23" s="50" t="s">
        <v>843</v>
      </c>
      <c r="O23" s="50" t="s">
        <v>921</v>
      </c>
      <c r="P23" s="50" t="s">
        <v>921</v>
      </c>
      <c r="Q23" s="50" t="s">
        <v>921</v>
      </c>
      <c r="R23" s="50" t="s">
        <v>923</v>
      </c>
      <c r="S23" s="50" t="s">
        <v>827</v>
      </c>
      <c r="T23" s="50" t="s">
        <v>2069</v>
      </c>
      <c r="U23" s="50" t="s">
        <v>923</v>
      </c>
      <c r="V23" s="50" t="s">
        <v>921</v>
      </c>
      <c r="W23" s="50" t="s">
        <v>2320</v>
      </c>
      <c r="X23" s="50" t="s">
        <v>2321</v>
      </c>
      <c r="Y23" s="53" t="s">
        <v>2237</v>
      </c>
    </row>
    <row r="24" spans="1:25" ht="29" customHeight="1" x14ac:dyDescent="0.2">
      <c r="A24" s="42" t="s">
        <v>2407</v>
      </c>
      <c r="B24" s="42" t="s">
        <v>2408</v>
      </c>
      <c r="C24" s="42" t="s">
        <v>2409</v>
      </c>
      <c r="D24" s="42" t="s">
        <v>851</v>
      </c>
      <c r="E24" s="42" t="s">
        <v>2410</v>
      </c>
      <c r="F24" s="42" t="s">
        <v>1809</v>
      </c>
      <c r="G24" s="42" t="s">
        <v>2373</v>
      </c>
      <c r="H24" s="42" t="s">
        <v>2395</v>
      </c>
      <c r="I24" s="42" t="s">
        <v>2286</v>
      </c>
      <c r="J24" s="42" t="s">
        <v>2271</v>
      </c>
      <c r="K24" s="42" t="s">
        <v>843</v>
      </c>
      <c r="L24" s="42" t="s">
        <v>1669</v>
      </c>
      <c r="M24" s="42" t="s">
        <v>843</v>
      </c>
      <c r="N24" s="42" t="s">
        <v>843</v>
      </c>
      <c r="O24" s="42" t="s">
        <v>921</v>
      </c>
      <c r="P24" s="42" t="s">
        <v>921</v>
      </c>
      <c r="Q24" s="42" t="s">
        <v>921</v>
      </c>
      <c r="R24" s="42" t="s">
        <v>923</v>
      </c>
      <c r="S24" s="42" t="s">
        <v>844</v>
      </c>
      <c r="T24" s="42" t="s">
        <v>2069</v>
      </c>
      <c r="U24" s="42" t="s">
        <v>923</v>
      </c>
      <c r="V24" s="42" t="s">
        <v>921</v>
      </c>
      <c r="W24" s="42" t="s">
        <v>2320</v>
      </c>
      <c r="X24" s="42" t="s">
        <v>2321</v>
      </c>
      <c r="Y24" s="53" t="s">
        <v>2237</v>
      </c>
    </row>
    <row r="25" spans="1:25" ht="29" customHeight="1" x14ac:dyDescent="0.2">
      <c r="A25" s="50" t="s">
        <v>2411</v>
      </c>
      <c r="B25" s="50" t="s">
        <v>2412</v>
      </c>
      <c r="C25" s="50" t="s">
        <v>2413</v>
      </c>
      <c r="D25" s="50" t="s">
        <v>851</v>
      </c>
      <c r="E25" s="50" t="s">
        <v>2414</v>
      </c>
      <c r="F25" s="50" t="s">
        <v>1809</v>
      </c>
      <c r="G25" s="50" t="s">
        <v>2373</v>
      </c>
      <c r="H25" s="50" t="s">
        <v>2395</v>
      </c>
      <c r="I25" s="50" t="s">
        <v>2286</v>
      </c>
      <c r="J25" s="50" t="s">
        <v>2271</v>
      </c>
      <c r="K25" s="50" t="s">
        <v>843</v>
      </c>
      <c r="L25" s="50" t="s">
        <v>2415</v>
      </c>
      <c r="M25" s="50" t="s">
        <v>843</v>
      </c>
      <c r="N25" s="50" t="s">
        <v>843</v>
      </c>
      <c r="O25" s="50" t="s">
        <v>921</v>
      </c>
      <c r="P25" s="50" t="s">
        <v>921</v>
      </c>
      <c r="Q25" s="50" t="s">
        <v>921</v>
      </c>
      <c r="R25" s="50" t="s">
        <v>923</v>
      </c>
      <c r="S25" s="50" t="s">
        <v>827</v>
      </c>
      <c r="T25" s="50" t="s">
        <v>2069</v>
      </c>
      <c r="U25" s="50" t="s">
        <v>923</v>
      </c>
      <c r="V25" s="50" t="s">
        <v>921</v>
      </c>
      <c r="W25" s="50" t="s">
        <v>2320</v>
      </c>
      <c r="X25" s="50" t="s">
        <v>2321</v>
      </c>
      <c r="Y25" s="53" t="s">
        <v>2237</v>
      </c>
    </row>
    <row r="26" spans="1:25" ht="29" customHeight="1" x14ac:dyDescent="0.2">
      <c r="A26" s="42" t="s">
        <v>2416</v>
      </c>
      <c r="B26" s="42" t="s">
        <v>2417</v>
      </c>
      <c r="C26" s="42" t="s">
        <v>2418</v>
      </c>
      <c r="D26" s="42" t="s">
        <v>2419</v>
      </c>
      <c r="E26" s="42" t="s">
        <v>2420</v>
      </c>
      <c r="F26" s="42" t="s">
        <v>2421</v>
      </c>
      <c r="G26" s="42" t="s">
        <v>2277</v>
      </c>
      <c r="H26" s="42" t="s">
        <v>2422</v>
      </c>
      <c r="I26" s="42" t="s">
        <v>2286</v>
      </c>
      <c r="J26" s="42" t="s">
        <v>2271</v>
      </c>
      <c r="K26" s="42" t="s">
        <v>923</v>
      </c>
      <c r="L26" s="42" t="s">
        <v>2367</v>
      </c>
      <c r="M26" s="42" t="s">
        <v>923</v>
      </c>
      <c r="N26" s="42" t="s">
        <v>923</v>
      </c>
      <c r="O26" s="42" t="s">
        <v>921</v>
      </c>
      <c r="P26" s="42" t="s">
        <v>921</v>
      </c>
      <c r="Q26" s="42" t="s">
        <v>923</v>
      </c>
      <c r="R26" s="42" t="s">
        <v>923</v>
      </c>
      <c r="S26" s="42" t="s">
        <v>818</v>
      </c>
      <c r="T26" s="42" t="s">
        <v>2423</v>
      </c>
      <c r="U26" s="42" t="s">
        <v>921</v>
      </c>
      <c r="V26" s="42" t="s">
        <v>921</v>
      </c>
      <c r="W26" s="42" t="s">
        <v>888</v>
      </c>
      <c r="X26" s="45" t="s">
        <v>889</v>
      </c>
      <c r="Y26" s="45" t="s">
        <v>889</v>
      </c>
    </row>
    <row r="27" spans="1:25" ht="29" customHeight="1" x14ac:dyDescent="0.2">
      <c r="A27" s="50" t="s">
        <v>2424</v>
      </c>
      <c r="B27" s="50" t="s">
        <v>2425</v>
      </c>
      <c r="C27" s="50" t="s">
        <v>2426</v>
      </c>
      <c r="D27" s="50" t="s">
        <v>2379</v>
      </c>
      <c r="E27" s="50" t="s">
        <v>2427</v>
      </c>
      <c r="F27" s="50" t="s">
        <v>2428</v>
      </c>
      <c r="G27" s="50" t="s">
        <v>2277</v>
      </c>
      <c r="H27" s="50" t="s">
        <v>2429</v>
      </c>
      <c r="I27" s="50" t="s">
        <v>1236</v>
      </c>
      <c r="J27" s="50" t="s">
        <v>1236</v>
      </c>
      <c r="K27" s="50" t="s">
        <v>843</v>
      </c>
      <c r="L27" s="50" t="s">
        <v>2358</v>
      </c>
      <c r="M27" s="50" t="s">
        <v>843</v>
      </c>
      <c r="N27" s="50" t="s">
        <v>843</v>
      </c>
      <c r="O27" s="50" t="s">
        <v>923</v>
      </c>
      <c r="P27" s="50" t="s">
        <v>921</v>
      </c>
      <c r="Q27" s="50" t="s">
        <v>843</v>
      </c>
      <c r="R27" s="50" t="s">
        <v>921</v>
      </c>
      <c r="S27" s="50" t="s">
        <v>827</v>
      </c>
      <c r="T27" s="50" t="s">
        <v>1869</v>
      </c>
      <c r="U27" s="50" t="s">
        <v>1869</v>
      </c>
      <c r="V27" s="50" t="s">
        <v>921</v>
      </c>
      <c r="W27" s="50" t="s">
        <v>2359</v>
      </c>
      <c r="X27" s="50" t="s">
        <v>2360</v>
      </c>
      <c r="Y27" s="53" t="s">
        <v>2237</v>
      </c>
    </row>
    <row r="28" spans="1:25" ht="29" customHeight="1" x14ac:dyDescent="0.2">
      <c r="A28" s="42" t="s">
        <v>2430</v>
      </c>
      <c r="B28" s="42" t="s">
        <v>2431</v>
      </c>
      <c r="C28" s="42" t="s">
        <v>2432</v>
      </c>
      <c r="D28" s="42" t="s">
        <v>2315</v>
      </c>
      <c r="E28" s="42" t="s">
        <v>2433</v>
      </c>
      <c r="F28" s="42" t="s">
        <v>2434</v>
      </c>
      <c r="G28" s="42" t="s">
        <v>2302</v>
      </c>
      <c r="H28" s="42" t="s">
        <v>2435</v>
      </c>
      <c r="I28" s="42" t="s">
        <v>2286</v>
      </c>
      <c r="J28" s="42" t="s">
        <v>2271</v>
      </c>
      <c r="K28" s="42" t="s">
        <v>923</v>
      </c>
      <c r="L28" s="42" t="s">
        <v>2436</v>
      </c>
      <c r="M28" s="42" t="s">
        <v>923</v>
      </c>
      <c r="N28" s="42" t="s">
        <v>923</v>
      </c>
      <c r="O28" s="42" t="s">
        <v>921</v>
      </c>
      <c r="P28" s="42" t="s">
        <v>923</v>
      </c>
      <c r="Q28" s="42" t="s">
        <v>923</v>
      </c>
      <c r="R28" s="42" t="s">
        <v>923</v>
      </c>
      <c r="S28" s="42" t="s">
        <v>856</v>
      </c>
      <c r="T28" s="42" t="s">
        <v>2069</v>
      </c>
      <c r="U28" s="42" t="s">
        <v>921</v>
      </c>
      <c r="V28" s="42" t="s">
        <v>921</v>
      </c>
      <c r="W28" s="42" t="s">
        <v>888</v>
      </c>
      <c r="X28" s="45" t="s">
        <v>889</v>
      </c>
      <c r="Y28" s="45" t="s">
        <v>889</v>
      </c>
    </row>
    <row r="29" spans="1:25" ht="29" customHeight="1" x14ac:dyDescent="0.2">
      <c r="A29" s="50" t="s">
        <v>2437</v>
      </c>
      <c r="B29" s="50" t="s">
        <v>2438</v>
      </c>
      <c r="C29" s="50" t="s">
        <v>2439</v>
      </c>
      <c r="D29" s="50" t="s">
        <v>2440</v>
      </c>
      <c r="E29" s="50" t="s">
        <v>2441</v>
      </c>
      <c r="F29" s="50" t="s">
        <v>2442</v>
      </c>
      <c r="G29" s="50" t="s">
        <v>2443</v>
      </c>
      <c r="H29" s="50" t="s">
        <v>2444</v>
      </c>
      <c r="I29" s="50" t="s">
        <v>2445</v>
      </c>
      <c r="J29" s="50" t="s">
        <v>2271</v>
      </c>
      <c r="K29" s="50" t="s">
        <v>843</v>
      </c>
      <c r="L29" s="50" t="s">
        <v>2446</v>
      </c>
      <c r="M29" s="50" t="s">
        <v>843</v>
      </c>
      <c r="N29" s="50" t="s">
        <v>923</v>
      </c>
      <c r="O29" s="50" t="s">
        <v>921</v>
      </c>
      <c r="P29" s="50" t="s">
        <v>923</v>
      </c>
      <c r="Q29" s="50" t="s">
        <v>843</v>
      </c>
      <c r="R29" s="50" t="s">
        <v>921</v>
      </c>
      <c r="S29" s="50" t="s">
        <v>856</v>
      </c>
      <c r="T29" s="50" t="s">
        <v>2447</v>
      </c>
      <c r="U29" s="50" t="s">
        <v>923</v>
      </c>
      <c r="V29" s="50" t="s">
        <v>921</v>
      </c>
      <c r="W29" s="50" t="s">
        <v>2320</v>
      </c>
      <c r="X29" s="50" t="s">
        <v>2321</v>
      </c>
      <c r="Y29" s="53" t="s">
        <v>2237</v>
      </c>
    </row>
    <row r="30" spans="1:25" ht="29" customHeight="1" x14ac:dyDescent="0.2">
      <c r="A30" s="42" t="s">
        <v>2448</v>
      </c>
      <c r="B30" s="42" t="s">
        <v>2449</v>
      </c>
      <c r="C30" s="42" t="s">
        <v>2450</v>
      </c>
      <c r="D30" s="42" t="s">
        <v>2440</v>
      </c>
      <c r="E30" s="42" t="s">
        <v>2451</v>
      </c>
      <c r="F30" s="42" t="s">
        <v>2452</v>
      </c>
      <c r="G30" s="42" t="s">
        <v>2443</v>
      </c>
      <c r="H30" s="42" t="s">
        <v>2444</v>
      </c>
      <c r="I30" s="42" t="s">
        <v>2286</v>
      </c>
      <c r="J30" s="42" t="s">
        <v>2271</v>
      </c>
      <c r="K30" s="42" t="s">
        <v>843</v>
      </c>
      <c r="L30" s="42" t="s">
        <v>2446</v>
      </c>
      <c r="M30" s="42" t="s">
        <v>843</v>
      </c>
      <c r="N30" s="42" t="s">
        <v>923</v>
      </c>
      <c r="O30" s="42" t="s">
        <v>921</v>
      </c>
      <c r="P30" s="42" t="s">
        <v>923</v>
      </c>
      <c r="Q30" s="42" t="s">
        <v>843</v>
      </c>
      <c r="R30" s="42" t="s">
        <v>921</v>
      </c>
      <c r="S30" s="42" t="s">
        <v>856</v>
      </c>
      <c r="T30" s="42" t="s">
        <v>963</v>
      </c>
      <c r="U30" s="42" t="s">
        <v>843</v>
      </c>
      <c r="V30" s="42" t="s">
        <v>921</v>
      </c>
      <c r="W30" s="42" t="s">
        <v>2320</v>
      </c>
      <c r="X30" s="42" t="s">
        <v>2321</v>
      </c>
      <c r="Y30" s="53" t="s">
        <v>2237</v>
      </c>
    </row>
    <row r="31" spans="1:25" ht="29" customHeight="1" x14ac:dyDescent="0.2">
      <c r="A31" s="50" t="s">
        <v>2453</v>
      </c>
      <c r="B31" s="50" t="s">
        <v>2454</v>
      </c>
      <c r="C31" s="50" t="s">
        <v>2455</v>
      </c>
      <c r="D31" s="50" t="s">
        <v>2456</v>
      </c>
      <c r="E31" s="50" t="s">
        <v>2457</v>
      </c>
      <c r="F31" s="50" t="s">
        <v>2458</v>
      </c>
      <c r="G31" s="50" t="s">
        <v>2443</v>
      </c>
      <c r="H31" s="50" t="s">
        <v>2459</v>
      </c>
      <c r="I31" s="50" t="s">
        <v>2460</v>
      </c>
      <c r="J31" s="50" t="s">
        <v>2271</v>
      </c>
      <c r="K31" s="50" t="s">
        <v>923</v>
      </c>
      <c r="L31" s="50" t="s">
        <v>2461</v>
      </c>
      <c r="M31" s="50" t="s">
        <v>923</v>
      </c>
      <c r="N31" s="50" t="s">
        <v>923</v>
      </c>
      <c r="O31" s="50" t="s">
        <v>921</v>
      </c>
      <c r="P31" s="50" t="s">
        <v>921</v>
      </c>
      <c r="Q31" s="50" t="s">
        <v>923</v>
      </c>
      <c r="R31" s="50" t="s">
        <v>923</v>
      </c>
      <c r="S31" s="50" t="s">
        <v>856</v>
      </c>
      <c r="T31" s="50" t="s">
        <v>2462</v>
      </c>
      <c r="U31" s="50" t="s">
        <v>923</v>
      </c>
      <c r="V31" s="50" t="s">
        <v>923</v>
      </c>
      <c r="W31" s="50" t="s">
        <v>888</v>
      </c>
      <c r="X31" s="45" t="s">
        <v>889</v>
      </c>
      <c r="Y31" s="45" t="s">
        <v>889</v>
      </c>
    </row>
    <row r="32" spans="1:25" ht="29" customHeight="1" x14ac:dyDescent="0.2">
      <c r="A32" s="42" t="s">
        <v>2463</v>
      </c>
      <c r="B32" s="42" t="s">
        <v>2464</v>
      </c>
      <c r="C32" s="42" t="s">
        <v>2465</v>
      </c>
      <c r="D32" s="42" t="s">
        <v>2456</v>
      </c>
      <c r="E32" s="42" t="s">
        <v>2466</v>
      </c>
      <c r="F32" s="42" t="s">
        <v>2458</v>
      </c>
      <c r="G32" s="42" t="s">
        <v>2443</v>
      </c>
      <c r="H32" s="42" t="s">
        <v>2467</v>
      </c>
      <c r="I32" s="42" t="s">
        <v>2460</v>
      </c>
      <c r="J32" s="42" t="s">
        <v>2271</v>
      </c>
      <c r="K32" s="42" t="s">
        <v>923</v>
      </c>
      <c r="L32" s="42" t="s">
        <v>1669</v>
      </c>
      <c r="M32" s="42" t="s">
        <v>923</v>
      </c>
      <c r="N32" s="42" t="s">
        <v>923</v>
      </c>
      <c r="O32" s="42" t="s">
        <v>921</v>
      </c>
      <c r="P32" s="42" t="s">
        <v>921</v>
      </c>
      <c r="Q32" s="42" t="s">
        <v>923</v>
      </c>
      <c r="R32" s="42" t="s">
        <v>923</v>
      </c>
      <c r="S32" s="42" t="s">
        <v>856</v>
      </c>
      <c r="T32" s="42" t="s">
        <v>2069</v>
      </c>
      <c r="U32" s="42" t="s">
        <v>923</v>
      </c>
      <c r="V32" s="42" t="s">
        <v>923</v>
      </c>
      <c r="W32" s="42" t="s">
        <v>2401</v>
      </c>
      <c r="X32" s="52" t="s">
        <v>765</v>
      </c>
      <c r="Y32" s="53" t="s">
        <v>2237</v>
      </c>
    </row>
    <row r="33" spans="1:25" ht="29" customHeight="1" x14ac:dyDescent="0.2">
      <c r="A33" s="50" t="s">
        <v>2468</v>
      </c>
      <c r="B33" s="50" t="s">
        <v>2469</v>
      </c>
      <c r="C33" s="50" t="s">
        <v>2470</v>
      </c>
      <c r="D33" s="50" t="s">
        <v>2471</v>
      </c>
      <c r="E33" s="50" t="s">
        <v>2472</v>
      </c>
      <c r="F33" s="50" t="s">
        <v>2473</v>
      </c>
      <c r="G33" s="50" t="s">
        <v>2277</v>
      </c>
      <c r="H33" s="50" t="s">
        <v>2474</v>
      </c>
      <c r="I33" s="50" t="s">
        <v>2286</v>
      </c>
      <c r="J33" s="50" t="s">
        <v>2271</v>
      </c>
      <c r="K33" s="50" t="s">
        <v>843</v>
      </c>
      <c r="L33" s="50" t="s">
        <v>2446</v>
      </c>
      <c r="M33" s="50" t="s">
        <v>843</v>
      </c>
      <c r="N33" s="50" t="s">
        <v>923</v>
      </c>
      <c r="O33" s="50" t="s">
        <v>921</v>
      </c>
      <c r="P33" s="50" t="s">
        <v>923</v>
      </c>
      <c r="Q33" s="50" t="s">
        <v>843</v>
      </c>
      <c r="R33" s="50" t="s">
        <v>921</v>
      </c>
      <c r="S33" s="50" t="s">
        <v>844</v>
      </c>
      <c r="T33" s="50" t="s">
        <v>2069</v>
      </c>
      <c r="U33" s="50" t="s">
        <v>921</v>
      </c>
      <c r="V33" s="50" t="s">
        <v>921</v>
      </c>
      <c r="W33" s="50" t="s">
        <v>2320</v>
      </c>
      <c r="X33" s="50" t="s">
        <v>2321</v>
      </c>
      <c r="Y33" s="53" t="s">
        <v>2237</v>
      </c>
    </row>
    <row r="34" spans="1:25" ht="29" customHeight="1" x14ac:dyDescent="0.2">
      <c r="A34" s="42" t="s">
        <v>2475</v>
      </c>
      <c r="B34" s="42" t="s">
        <v>2476</v>
      </c>
      <c r="C34" s="42" t="s">
        <v>2477</v>
      </c>
      <c r="D34" s="42" t="s">
        <v>2456</v>
      </c>
      <c r="E34" s="42" t="s">
        <v>2478</v>
      </c>
      <c r="F34" s="42" t="s">
        <v>2479</v>
      </c>
      <c r="G34" s="42" t="s">
        <v>2373</v>
      </c>
      <c r="H34" s="42" t="s">
        <v>2480</v>
      </c>
      <c r="I34" s="42" t="s">
        <v>2286</v>
      </c>
      <c r="J34" s="42" t="s">
        <v>2271</v>
      </c>
      <c r="K34" s="42" t="s">
        <v>921</v>
      </c>
      <c r="L34" s="42" t="s">
        <v>2481</v>
      </c>
      <c r="M34" s="42" t="s">
        <v>921</v>
      </c>
      <c r="N34" s="42" t="s">
        <v>921</v>
      </c>
      <c r="O34" s="42" t="s">
        <v>921</v>
      </c>
      <c r="P34" s="42" t="s">
        <v>921</v>
      </c>
      <c r="Q34" s="42" t="s">
        <v>921</v>
      </c>
      <c r="R34" s="42" t="s">
        <v>843</v>
      </c>
      <c r="S34" s="42" t="s">
        <v>827</v>
      </c>
      <c r="T34" s="42" t="s">
        <v>2482</v>
      </c>
      <c r="U34" s="42" t="s">
        <v>2274</v>
      </c>
      <c r="V34" s="42" t="s">
        <v>843</v>
      </c>
      <c r="W34" s="42" t="s">
        <v>2296</v>
      </c>
      <c r="X34" s="52" t="s">
        <v>765</v>
      </c>
      <c r="Y34" s="46" t="s">
        <v>2061</v>
      </c>
    </row>
    <row r="35" spans="1:25" ht="29" customHeight="1" x14ac:dyDescent="0.2">
      <c r="A35" s="50" t="s">
        <v>2483</v>
      </c>
      <c r="B35" s="50" t="s">
        <v>2484</v>
      </c>
      <c r="C35" s="50" t="s">
        <v>2485</v>
      </c>
      <c r="D35" s="50" t="s">
        <v>2486</v>
      </c>
      <c r="E35" s="50" t="s">
        <v>2487</v>
      </c>
      <c r="F35" s="50" t="s">
        <v>2488</v>
      </c>
      <c r="G35" s="50" t="s">
        <v>2310</v>
      </c>
      <c r="H35" s="50" t="s">
        <v>2489</v>
      </c>
      <c r="I35" s="50" t="s">
        <v>2286</v>
      </c>
      <c r="J35" s="50" t="s">
        <v>2271</v>
      </c>
      <c r="K35" s="50" t="s">
        <v>843</v>
      </c>
      <c r="L35" s="50" t="s">
        <v>2367</v>
      </c>
      <c r="M35" s="50" t="s">
        <v>843</v>
      </c>
      <c r="N35" s="50" t="s">
        <v>843</v>
      </c>
      <c r="O35" s="50" t="s">
        <v>921</v>
      </c>
      <c r="P35" s="50" t="s">
        <v>923</v>
      </c>
      <c r="Q35" s="50" t="s">
        <v>843</v>
      </c>
      <c r="R35" s="50" t="s">
        <v>921</v>
      </c>
      <c r="S35" s="50" t="s">
        <v>844</v>
      </c>
      <c r="T35" s="50" t="s">
        <v>2069</v>
      </c>
      <c r="U35" s="50" t="s">
        <v>921</v>
      </c>
      <c r="V35" s="50" t="s">
        <v>921</v>
      </c>
      <c r="W35" s="50" t="s">
        <v>2320</v>
      </c>
      <c r="X35" s="50" t="s">
        <v>2321</v>
      </c>
      <c r="Y35" s="53" t="s">
        <v>2237</v>
      </c>
    </row>
    <row r="36" spans="1:25" ht="29" customHeight="1" x14ac:dyDescent="0.2">
      <c r="A36" s="42" t="s">
        <v>2490</v>
      </c>
      <c r="B36" s="42" t="s">
        <v>2491</v>
      </c>
      <c r="C36" s="42" t="s">
        <v>2492</v>
      </c>
      <c r="D36" s="42" t="s">
        <v>2419</v>
      </c>
      <c r="E36" s="42" t="s">
        <v>2493</v>
      </c>
      <c r="F36" s="42" t="s">
        <v>2494</v>
      </c>
      <c r="G36" s="42" t="s">
        <v>2277</v>
      </c>
      <c r="H36" s="42" t="s">
        <v>2495</v>
      </c>
      <c r="I36" s="42" t="s">
        <v>2286</v>
      </c>
      <c r="J36" s="42" t="s">
        <v>2271</v>
      </c>
      <c r="K36" s="42" t="s">
        <v>921</v>
      </c>
      <c r="L36" s="42" t="s">
        <v>2330</v>
      </c>
      <c r="M36" s="42" t="s">
        <v>921</v>
      </c>
      <c r="N36" s="42" t="s">
        <v>921</v>
      </c>
      <c r="O36" s="42" t="s">
        <v>921</v>
      </c>
      <c r="P36" s="42" t="s">
        <v>921</v>
      </c>
      <c r="Q36" s="42" t="s">
        <v>921</v>
      </c>
      <c r="R36" s="42" t="s">
        <v>843</v>
      </c>
      <c r="S36" s="42" t="s">
        <v>818</v>
      </c>
      <c r="T36" s="42" t="s">
        <v>2496</v>
      </c>
      <c r="U36" s="42" t="s">
        <v>2274</v>
      </c>
      <c r="V36" s="42" t="s">
        <v>843</v>
      </c>
      <c r="W36" s="42" t="s">
        <v>857</v>
      </c>
      <c r="X36" s="52" t="s">
        <v>765</v>
      </c>
      <c r="Y36" s="53" t="s">
        <v>858</v>
      </c>
    </row>
    <row r="37" spans="1:25" ht="29" customHeight="1" x14ac:dyDescent="0.2">
      <c r="A37" s="50" t="s">
        <v>2497</v>
      </c>
      <c r="B37" s="50" t="s">
        <v>2498</v>
      </c>
      <c r="C37" s="50" t="s">
        <v>2499</v>
      </c>
      <c r="D37" s="50" t="s">
        <v>1253</v>
      </c>
      <c r="E37" s="50" t="s">
        <v>1987</v>
      </c>
      <c r="F37" s="50" t="s">
        <v>2500</v>
      </c>
      <c r="G37" s="50" t="s">
        <v>1207</v>
      </c>
      <c r="H37" s="50" t="s">
        <v>457</v>
      </c>
      <c r="I37" s="50" t="s">
        <v>2286</v>
      </c>
      <c r="J37" s="50" t="s">
        <v>2271</v>
      </c>
      <c r="K37" s="50" t="s">
        <v>921</v>
      </c>
      <c r="L37" s="50" t="s">
        <v>2330</v>
      </c>
      <c r="M37" s="50" t="s">
        <v>921</v>
      </c>
      <c r="N37" s="50" t="s">
        <v>923</v>
      </c>
      <c r="O37" s="50" t="s">
        <v>921</v>
      </c>
      <c r="P37" s="50" t="s">
        <v>921</v>
      </c>
      <c r="Q37" s="50" t="s">
        <v>921</v>
      </c>
      <c r="R37" s="50" t="s">
        <v>843</v>
      </c>
      <c r="S37" s="50" t="s">
        <v>827</v>
      </c>
      <c r="T37" s="50" t="s">
        <v>2501</v>
      </c>
      <c r="U37" s="50" t="s">
        <v>2274</v>
      </c>
      <c r="V37" s="50" t="s">
        <v>843</v>
      </c>
      <c r="W37" s="50" t="s">
        <v>857</v>
      </c>
      <c r="X37" s="52" t="s">
        <v>765</v>
      </c>
      <c r="Y37" s="53" t="s">
        <v>858</v>
      </c>
    </row>
    <row r="38" spans="1:25" ht="29" customHeight="1" x14ac:dyDescent="0.2">
      <c r="A38" s="42" t="s">
        <v>2502</v>
      </c>
      <c r="B38" s="42" t="s">
        <v>2503</v>
      </c>
      <c r="C38" s="42" t="s">
        <v>2504</v>
      </c>
      <c r="D38" s="42" t="s">
        <v>1253</v>
      </c>
      <c r="E38" s="42" t="s">
        <v>2505</v>
      </c>
      <c r="F38" s="42" t="s">
        <v>2506</v>
      </c>
      <c r="G38" s="42" t="s">
        <v>2302</v>
      </c>
      <c r="H38" s="42" t="s">
        <v>457</v>
      </c>
      <c r="I38" s="42" t="s">
        <v>2286</v>
      </c>
      <c r="J38" s="42" t="s">
        <v>2271</v>
      </c>
      <c r="K38" s="42" t="s">
        <v>921</v>
      </c>
      <c r="L38" s="42" t="s">
        <v>2330</v>
      </c>
      <c r="M38" s="42" t="s">
        <v>921</v>
      </c>
      <c r="N38" s="42" t="s">
        <v>923</v>
      </c>
      <c r="O38" s="42" t="s">
        <v>921</v>
      </c>
      <c r="P38" s="42" t="s">
        <v>921</v>
      </c>
      <c r="Q38" s="42" t="s">
        <v>921</v>
      </c>
      <c r="R38" s="42" t="s">
        <v>843</v>
      </c>
      <c r="S38" s="42" t="s">
        <v>827</v>
      </c>
      <c r="T38" s="42" t="s">
        <v>2507</v>
      </c>
      <c r="U38" s="42" t="s">
        <v>2274</v>
      </c>
      <c r="V38" s="42" t="s">
        <v>843</v>
      </c>
      <c r="W38" s="42" t="s">
        <v>2296</v>
      </c>
      <c r="X38" s="52" t="s">
        <v>765</v>
      </c>
      <c r="Y38" s="46" t="s">
        <v>2061</v>
      </c>
    </row>
  </sheetData>
  <mergeCells count="2">
    <mergeCell ref="A2:Y2"/>
    <mergeCell ref="A1:Y1"/>
  </mergeCells>
  <pageMargins left="0.75" right="0.75" top="1" bottom="1" header="0.5" footer="0.5"/>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M15"/>
  <sheetViews>
    <sheetView showGridLines="0" rightToLeft="1" workbookViewId="0">
      <pane xSplit="1" ySplit="3" topLeftCell="B4" activePane="bottomRight" state="frozen"/>
      <selection pane="topRight"/>
      <selection pane="bottomLeft"/>
      <selection pane="bottomRight"/>
    </sheetView>
  </sheetViews>
  <sheetFormatPr baseColWidth="10" defaultColWidth="8.83203125" defaultRowHeight="15" x14ac:dyDescent="0.2"/>
  <cols>
    <col min="1" max="1" width="42" customWidth="1"/>
    <col min="2" max="2" width="14.33203125" customWidth="1"/>
    <col min="3" max="3" width="17.1640625" customWidth="1"/>
    <col min="4" max="4" width="15.33203125" customWidth="1"/>
    <col min="5" max="5" width="10.6640625" customWidth="1"/>
    <col min="6" max="6" width="20.1640625" customWidth="1"/>
    <col min="7" max="7" width="10.6640625" customWidth="1"/>
    <col min="8" max="8" width="20.1640625" customWidth="1"/>
    <col min="9" max="9" width="13.5" customWidth="1"/>
    <col min="10" max="10" width="12.5" customWidth="1"/>
    <col min="11" max="11" width="10" customWidth="1"/>
    <col min="12" max="12" width="17.1640625" customWidth="1"/>
    <col min="13" max="13" width="30.5" customWidth="1"/>
  </cols>
  <sheetData>
    <row r="1" spans="1:13" ht="34" customHeight="1" x14ac:dyDescent="0.2">
      <c r="A1" s="79" t="s">
        <v>2508</v>
      </c>
      <c r="B1" s="76"/>
      <c r="C1" s="76"/>
      <c r="D1" s="76"/>
      <c r="E1" s="76"/>
      <c r="F1" s="76"/>
      <c r="G1" s="76"/>
      <c r="H1" s="76"/>
      <c r="I1" s="76"/>
      <c r="J1" s="76"/>
      <c r="K1" s="76"/>
      <c r="L1" s="76"/>
      <c r="M1" s="76"/>
    </row>
    <row r="2" spans="1:13" ht="28" customHeight="1" x14ac:dyDescent="0.2">
      <c r="A2" s="86" t="s">
        <v>2509</v>
      </c>
      <c r="B2" s="76"/>
      <c r="C2" s="76"/>
      <c r="D2" s="76"/>
      <c r="E2" s="76"/>
      <c r="F2" s="76"/>
      <c r="G2" s="76"/>
      <c r="H2" s="76"/>
      <c r="I2" s="76"/>
      <c r="J2" s="76"/>
      <c r="K2" s="76"/>
      <c r="L2" s="76"/>
      <c r="M2" s="76"/>
    </row>
    <row r="3" spans="1:13" ht="30" customHeight="1" x14ac:dyDescent="0.2">
      <c r="A3" s="48" t="s">
        <v>1684</v>
      </c>
      <c r="B3" s="48" t="s">
        <v>2510</v>
      </c>
      <c r="C3" s="48" t="s">
        <v>2511</v>
      </c>
      <c r="D3" s="48" t="s">
        <v>2512</v>
      </c>
      <c r="E3" s="48" t="s">
        <v>2513</v>
      </c>
      <c r="F3" s="48" t="s">
        <v>809</v>
      </c>
      <c r="G3" s="48" t="s">
        <v>2514</v>
      </c>
      <c r="H3" s="48" t="s">
        <v>811</v>
      </c>
      <c r="I3" s="48" t="s">
        <v>920</v>
      </c>
      <c r="J3" s="48" t="s">
        <v>2515</v>
      </c>
      <c r="K3" s="48" t="s">
        <v>924</v>
      </c>
      <c r="L3" s="48" t="s">
        <v>2516</v>
      </c>
      <c r="M3" s="48" t="s">
        <v>2517</v>
      </c>
    </row>
    <row r="4" spans="1:13" ht="20" customHeight="1" x14ac:dyDescent="0.2">
      <c r="A4" s="42" t="s">
        <v>449</v>
      </c>
      <c r="B4" s="42" t="s">
        <v>2518</v>
      </c>
      <c r="C4" s="42" t="s">
        <v>816</v>
      </c>
      <c r="D4" s="42" t="s">
        <v>2330</v>
      </c>
      <c r="E4" s="42" t="s">
        <v>2330</v>
      </c>
      <c r="F4" s="42" t="s">
        <v>119</v>
      </c>
      <c r="G4" s="42" t="s">
        <v>817</v>
      </c>
      <c r="H4" s="42" t="s">
        <v>818</v>
      </c>
      <c r="I4" s="42" t="s">
        <v>921</v>
      </c>
      <c r="J4" s="42" t="s">
        <v>923</v>
      </c>
      <c r="K4" s="42" t="s">
        <v>843</v>
      </c>
      <c r="L4" s="42" t="s">
        <v>819</v>
      </c>
      <c r="M4" s="44" t="s">
        <v>820</v>
      </c>
    </row>
    <row r="5" spans="1:13" ht="20" customHeight="1" x14ac:dyDescent="0.2">
      <c r="A5" s="50" t="s">
        <v>457</v>
      </c>
      <c r="B5" s="50" t="s">
        <v>2518</v>
      </c>
      <c r="C5" s="50" t="s">
        <v>826</v>
      </c>
      <c r="D5" s="50" t="s">
        <v>2330</v>
      </c>
      <c r="E5" s="50" t="s">
        <v>2330</v>
      </c>
      <c r="F5" s="50" t="s">
        <v>119</v>
      </c>
      <c r="G5" s="50" t="s">
        <v>817</v>
      </c>
      <c r="H5" s="50" t="s">
        <v>827</v>
      </c>
      <c r="I5" s="50" t="s">
        <v>921</v>
      </c>
      <c r="J5" s="50" t="s">
        <v>923</v>
      </c>
      <c r="K5" s="50" t="s">
        <v>843</v>
      </c>
      <c r="L5" s="50" t="s">
        <v>819</v>
      </c>
      <c r="M5" s="44" t="s">
        <v>820</v>
      </c>
    </row>
    <row r="6" spans="1:13" ht="20" customHeight="1" x14ac:dyDescent="0.2">
      <c r="A6" s="42" t="s">
        <v>462</v>
      </c>
      <c r="B6" s="42" t="s">
        <v>2518</v>
      </c>
      <c r="C6" s="42" t="s">
        <v>1693</v>
      </c>
      <c r="D6" s="42" t="s">
        <v>2374</v>
      </c>
      <c r="E6" s="42" t="s">
        <v>2519</v>
      </c>
      <c r="F6" s="42" t="s">
        <v>119</v>
      </c>
      <c r="G6" s="42" t="s">
        <v>817</v>
      </c>
      <c r="H6" s="42" t="s">
        <v>827</v>
      </c>
      <c r="I6" s="42" t="s">
        <v>923</v>
      </c>
      <c r="J6" s="42" t="s">
        <v>923</v>
      </c>
      <c r="K6" s="42" t="s">
        <v>923</v>
      </c>
      <c r="L6" s="42" t="s">
        <v>832</v>
      </c>
      <c r="M6" s="52" t="s">
        <v>765</v>
      </c>
    </row>
    <row r="7" spans="1:13" ht="20" customHeight="1" x14ac:dyDescent="0.2">
      <c r="A7" s="50" t="s">
        <v>467</v>
      </c>
      <c r="B7" s="50" t="s">
        <v>2518</v>
      </c>
      <c r="C7" s="50" t="s">
        <v>1898</v>
      </c>
      <c r="D7" s="50" t="s">
        <v>2330</v>
      </c>
      <c r="E7" s="50" t="s">
        <v>2520</v>
      </c>
      <c r="F7" s="50" t="s">
        <v>119</v>
      </c>
      <c r="G7" s="50" t="s">
        <v>817</v>
      </c>
      <c r="H7" s="50" t="s">
        <v>827</v>
      </c>
      <c r="I7" s="50" t="s">
        <v>923</v>
      </c>
      <c r="J7" s="50" t="s">
        <v>923</v>
      </c>
      <c r="K7" s="50" t="s">
        <v>923</v>
      </c>
      <c r="L7" s="50" t="s">
        <v>832</v>
      </c>
      <c r="M7" s="52" t="s">
        <v>765</v>
      </c>
    </row>
    <row r="8" spans="1:13" ht="20" customHeight="1" x14ac:dyDescent="0.2">
      <c r="A8" s="42" t="s">
        <v>67</v>
      </c>
      <c r="B8" s="42" t="s">
        <v>2518</v>
      </c>
      <c r="C8" s="42" t="s">
        <v>842</v>
      </c>
      <c r="D8" s="42" t="str">
        <f>'CR1A v39'!B39&amp;"/"&amp;'CR1A v39'!B44</f>
        <v>26/30</v>
      </c>
      <c r="E8" s="42" t="str">
        <f>'CR1A v39'!B39&amp;"/"&amp;'CR1A v39'!B44</f>
        <v>26/30</v>
      </c>
      <c r="F8" s="42" t="s">
        <v>119</v>
      </c>
      <c r="G8" s="42" t="s">
        <v>843</v>
      </c>
      <c r="H8" s="42" t="s">
        <v>844</v>
      </c>
      <c r="I8" s="42" t="s">
        <v>923</v>
      </c>
      <c r="J8" s="42" t="s">
        <v>923</v>
      </c>
      <c r="K8" s="42" t="s">
        <v>843</v>
      </c>
      <c r="L8" s="42" t="s">
        <v>2521</v>
      </c>
      <c r="M8" s="53" t="s">
        <v>846</v>
      </c>
    </row>
    <row r="9" spans="1:13" ht="20" customHeight="1" x14ac:dyDescent="0.2">
      <c r="A9" s="50" t="s">
        <v>478</v>
      </c>
      <c r="B9" s="50" t="s">
        <v>2518</v>
      </c>
      <c r="C9" s="50" t="s">
        <v>851</v>
      </c>
      <c r="D9" s="50" t="s">
        <v>2522</v>
      </c>
      <c r="E9" s="50" t="s">
        <v>2522</v>
      </c>
      <c r="F9" s="50" t="s">
        <v>119</v>
      </c>
      <c r="G9" s="50" t="s">
        <v>817</v>
      </c>
      <c r="H9" s="50" t="s">
        <v>827</v>
      </c>
      <c r="I9" s="50" t="s">
        <v>921</v>
      </c>
      <c r="J9" s="50" t="s">
        <v>923</v>
      </c>
      <c r="K9" s="50" t="s">
        <v>843</v>
      </c>
      <c r="L9" s="50" t="s">
        <v>832</v>
      </c>
      <c r="M9" s="52" t="s">
        <v>765</v>
      </c>
    </row>
    <row r="10" spans="1:13" ht="20" customHeight="1" x14ac:dyDescent="0.2">
      <c r="A10" s="42" t="s">
        <v>483</v>
      </c>
      <c r="B10" s="42" t="s">
        <v>2518</v>
      </c>
      <c r="C10" s="42" t="s">
        <v>851</v>
      </c>
      <c r="D10" s="42" t="s">
        <v>2374</v>
      </c>
      <c r="E10" s="42" t="s">
        <v>2374</v>
      </c>
      <c r="F10" s="42" t="s">
        <v>119</v>
      </c>
      <c r="G10" s="42" t="s">
        <v>843</v>
      </c>
      <c r="H10" s="42" t="s">
        <v>856</v>
      </c>
      <c r="I10" s="42" t="s">
        <v>921</v>
      </c>
      <c r="J10" s="42" t="s">
        <v>923</v>
      </c>
      <c r="K10" s="42" t="s">
        <v>921</v>
      </c>
      <c r="L10" s="42" t="s">
        <v>857</v>
      </c>
      <c r="M10" s="53" t="s">
        <v>858</v>
      </c>
    </row>
    <row r="11" spans="1:13" ht="29" customHeight="1" x14ac:dyDescent="0.2">
      <c r="A11" s="50" t="s">
        <v>488</v>
      </c>
      <c r="B11" s="50" t="s">
        <v>2518</v>
      </c>
      <c r="C11" s="50" t="s">
        <v>863</v>
      </c>
      <c r="D11" s="50" t="s">
        <v>2522</v>
      </c>
      <c r="E11" s="50" t="s">
        <v>2522</v>
      </c>
      <c r="F11" s="50" t="s">
        <v>2523</v>
      </c>
      <c r="G11" s="50" t="s">
        <v>817</v>
      </c>
      <c r="H11" s="50" t="s">
        <v>844</v>
      </c>
      <c r="I11" s="50" t="s">
        <v>921</v>
      </c>
      <c r="J11" s="50" t="s">
        <v>921</v>
      </c>
      <c r="K11" s="50" t="s">
        <v>843</v>
      </c>
      <c r="L11" s="50" t="s">
        <v>865</v>
      </c>
      <c r="M11" s="54" t="s">
        <v>866</v>
      </c>
    </row>
    <row r="12" spans="1:13" ht="20" customHeight="1" x14ac:dyDescent="0.2">
      <c r="A12" s="42" t="s">
        <v>493</v>
      </c>
      <c r="B12" s="42" t="s">
        <v>2518</v>
      </c>
      <c r="C12" s="42" t="s">
        <v>863</v>
      </c>
      <c r="D12" s="42" t="s">
        <v>2522</v>
      </c>
      <c r="E12" s="42" t="s">
        <v>2522</v>
      </c>
      <c r="F12" s="42" t="s">
        <v>864</v>
      </c>
      <c r="G12" s="42" t="s">
        <v>817</v>
      </c>
      <c r="H12" s="42" t="s">
        <v>844</v>
      </c>
      <c r="I12" s="42" t="s">
        <v>921</v>
      </c>
      <c r="J12" s="42" t="s">
        <v>921</v>
      </c>
      <c r="K12" s="42" t="s">
        <v>921</v>
      </c>
      <c r="L12" s="42" t="s">
        <v>857</v>
      </c>
      <c r="M12" s="53" t="s">
        <v>858</v>
      </c>
    </row>
    <row r="13" spans="1:13" ht="20" customHeight="1" x14ac:dyDescent="0.2">
      <c r="A13" s="50" t="s">
        <v>496</v>
      </c>
      <c r="B13" s="50" t="s">
        <v>2518</v>
      </c>
      <c r="C13" s="50" t="s">
        <v>875</v>
      </c>
      <c r="D13" s="50" t="s">
        <v>2481</v>
      </c>
      <c r="E13" s="50" t="s">
        <v>2481</v>
      </c>
      <c r="F13" s="50" t="s">
        <v>876</v>
      </c>
      <c r="G13" s="50" t="s">
        <v>817</v>
      </c>
      <c r="H13" s="50" t="s">
        <v>827</v>
      </c>
      <c r="I13" s="50" t="s">
        <v>921</v>
      </c>
      <c r="J13" s="50" t="s">
        <v>921</v>
      </c>
      <c r="K13" s="50" t="s">
        <v>843</v>
      </c>
      <c r="L13" s="50" t="s">
        <v>2521</v>
      </c>
      <c r="M13" s="53" t="s">
        <v>846</v>
      </c>
    </row>
    <row r="14" spans="1:13" ht="20" customHeight="1" x14ac:dyDescent="0.2">
      <c r="A14" s="42" t="s">
        <v>501</v>
      </c>
      <c r="B14" s="42" t="s">
        <v>2518</v>
      </c>
      <c r="C14" s="42" t="s">
        <v>2471</v>
      </c>
      <c r="D14" s="42" t="s">
        <v>2374</v>
      </c>
      <c r="E14" s="42" t="s">
        <v>2519</v>
      </c>
      <c r="F14" s="42" t="s">
        <v>119</v>
      </c>
      <c r="G14" s="42" t="s">
        <v>817</v>
      </c>
      <c r="H14" s="42" t="s">
        <v>818</v>
      </c>
      <c r="I14" s="42" t="s">
        <v>923</v>
      </c>
      <c r="J14" s="42" t="s">
        <v>923</v>
      </c>
      <c r="K14" s="42" t="s">
        <v>923</v>
      </c>
      <c r="L14" s="42" t="s">
        <v>832</v>
      </c>
      <c r="M14" s="52" t="s">
        <v>765</v>
      </c>
    </row>
    <row r="15" spans="1:13" ht="20" customHeight="1" x14ac:dyDescent="0.2">
      <c r="A15" s="50" t="s">
        <v>506</v>
      </c>
      <c r="B15" s="50" t="s">
        <v>2518</v>
      </c>
      <c r="C15" s="50" t="s">
        <v>887</v>
      </c>
      <c r="D15" s="50" t="s">
        <v>2524</v>
      </c>
      <c r="E15" s="50" t="s">
        <v>2525</v>
      </c>
      <c r="F15" s="50" t="s">
        <v>119</v>
      </c>
      <c r="G15" s="50" t="s">
        <v>843</v>
      </c>
      <c r="H15" s="50" t="s">
        <v>844</v>
      </c>
      <c r="I15" s="50" t="s">
        <v>923</v>
      </c>
      <c r="J15" s="50" t="s">
        <v>843</v>
      </c>
      <c r="K15" s="50" t="s">
        <v>923</v>
      </c>
      <c r="L15" s="50" t="s">
        <v>2526</v>
      </c>
      <c r="M15" s="45" t="s">
        <v>889</v>
      </c>
    </row>
  </sheetData>
  <mergeCells count="2">
    <mergeCell ref="A2:M2"/>
    <mergeCell ref="A1:M1"/>
  </mergeCells>
  <pageMargins left="0.75" right="0.75" top="1" bottom="1" header="0.5" footer="0.5"/>
  <legacy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E38"/>
  <sheetViews>
    <sheetView showGridLines="0" rightToLeft="1" workbookViewId="0">
      <pane xSplit="1" ySplit="3" topLeftCell="B4" activePane="bottomRight" state="frozen"/>
      <selection pane="topRight"/>
      <selection pane="bottomLeft"/>
      <selection pane="bottomRight"/>
    </sheetView>
  </sheetViews>
  <sheetFormatPr baseColWidth="10" defaultColWidth="8.83203125" defaultRowHeight="15" x14ac:dyDescent="0.2"/>
  <cols>
    <col min="1" max="1" width="41" customWidth="1"/>
    <col min="2" max="2" width="38.1640625" customWidth="1"/>
    <col min="3" max="3" width="42" customWidth="1"/>
    <col min="4" max="4" width="25.83203125" customWidth="1"/>
    <col min="5" max="5" width="21" customWidth="1"/>
  </cols>
  <sheetData>
    <row r="1" spans="1:5" ht="34" customHeight="1" x14ac:dyDescent="0.2">
      <c r="A1" s="79" t="s">
        <v>2527</v>
      </c>
      <c r="B1" s="76"/>
      <c r="C1" s="76"/>
      <c r="D1" s="76"/>
      <c r="E1" s="76"/>
    </row>
    <row r="2" spans="1:5" ht="28" customHeight="1" x14ac:dyDescent="0.2">
      <c r="A2" s="86" t="s">
        <v>2528</v>
      </c>
      <c r="B2" s="76"/>
      <c r="C2" s="76"/>
      <c r="D2" s="76"/>
      <c r="E2" s="76"/>
    </row>
    <row r="3" spans="1:5" ht="30" customHeight="1" x14ac:dyDescent="0.2">
      <c r="A3" s="48" t="s">
        <v>617</v>
      </c>
      <c r="B3" s="48" t="s">
        <v>2529</v>
      </c>
      <c r="C3" s="48" t="s">
        <v>2260</v>
      </c>
      <c r="D3" s="48" t="s">
        <v>2530</v>
      </c>
      <c r="E3" s="48" t="s">
        <v>2516</v>
      </c>
    </row>
    <row r="4" spans="1:5" ht="20" customHeight="1" x14ac:dyDescent="0.2">
      <c r="A4" s="42" t="s">
        <v>2262</v>
      </c>
      <c r="B4" s="42" t="s">
        <v>2263</v>
      </c>
      <c r="C4" s="52" t="s">
        <v>765</v>
      </c>
      <c r="D4" s="53" t="s">
        <v>846</v>
      </c>
      <c r="E4" s="42" t="s">
        <v>339</v>
      </c>
    </row>
    <row r="5" spans="1:5" ht="29" customHeight="1" x14ac:dyDescent="0.2">
      <c r="A5" s="50" t="s">
        <v>894</v>
      </c>
      <c r="B5" s="50" t="s">
        <v>760</v>
      </c>
      <c r="C5" s="52" t="s">
        <v>765</v>
      </c>
      <c r="D5" s="52" t="s">
        <v>765</v>
      </c>
      <c r="E5" s="50" t="s">
        <v>2280</v>
      </c>
    </row>
    <row r="6" spans="1:5" ht="20" customHeight="1" x14ac:dyDescent="0.2">
      <c r="A6" s="42" t="s">
        <v>2281</v>
      </c>
      <c r="B6" s="42" t="s">
        <v>2282</v>
      </c>
      <c r="C6" s="52" t="s">
        <v>765</v>
      </c>
      <c r="D6" s="53" t="s">
        <v>858</v>
      </c>
      <c r="E6" s="42" t="s">
        <v>857</v>
      </c>
    </row>
    <row r="7" spans="1:5" ht="20" customHeight="1" x14ac:dyDescent="0.2">
      <c r="A7" s="50" t="s">
        <v>2288</v>
      </c>
      <c r="B7" s="50" t="s">
        <v>2289</v>
      </c>
      <c r="C7" s="52" t="s">
        <v>765</v>
      </c>
      <c r="D7" s="46" t="s">
        <v>2061</v>
      </c>
      <c r="E7" s="50" t="s">
        <v>2296</v>
      </c>
    </row>
    <row r="8" spans="1:5" ht="20" customHeight="1" x14ac:dyDescent="0.2">
      <c r="A8" s="42" t="s">
        <v>2297</v>
      </c>
      <c r="B8" s="42" t="s">
        <v>2298</v>
      </c>
      <c r="C8" s="52" t="s">
        <v>765</v>
      </c>
      <c r="D8" s="46" t="s">
        <v>2061</v>
      </c>
      <c r="E8" s="42" t="s">
        <v>2296</v>
      </c>
    </row>
    <row r="9" spans="1:5" ht="20" customHeight="1" x14ac:dyDescent="0.2">
      <c r="A9" s="50" t="s">
        <v>2304</v>
      </c>
      <c r="B9" s="50" t="s">
        <v>2305</v>
      </c>
      <c r="C9" s="45" t="s">
        <v>889</v>
      </c>
      <c r="D9" s="45" t="s">
        <v>889</v>
      </c>
      <c r="E9" s="50" t="s">
        <v>888</v>
      </c>
    </row>
    <row r="10" spans="1:5" ht="20" customHeight="1" x14ac:dyDescent="0.2">
      <c r="A10" s="42" t="s">
        <v>2312</v>
      </c>
      <c r="B10" s="42" t="s">
        <v>2313</v>
      </c>
      <c r="C10" s="42" t="s">
        <v>2321</v>
      </c>
      <c r="D10" s="53" t="s">
        <v>2237</v>
      </c>
      <c r="E10" s="42" t="s">
        <v>2320</v>
      </c>
    </row>
    <row r="11" spans="1:5" ht="20" customHeight="1" x14ac:dyDescent="0.2">
      <c r="A11" s="50" t="s">
        <v>2322</v>
      </c>
      <c r="B11" s="50" t="s">
        <v>2323</v>
      </c>
      <c r="C11" s="52" t="s">
        <v>765</v>
      </c>
      <c r="D11" s="53" t="s">
        <v>846</v>
      </c>
      <c r="E11" s="50" t="s">
        <v>339</v>
      </c>
    </row>
    <row r="12" spans="1:5" ht="20" customHeight="1" x14ac:dyDescent="0.2">
      <c r="A12" s="42" t="s">
        <v>2332</v>
      </c>
      <c r="B12" s="42" t="s">
        <v>2333</v>
      </c>
      <c r="C12" s="52" t="s">
        <v>765</v>
      </c>
      <c r="D12" s="53" t="s">
        <v>858</v>
      </c>
      <c r="E12" s="42" t="s">
        <v>857</v>
      </c>
    </row>
    <row r="13" spans="1:5" ht="20" customHeight="1" x14ac:dyDescent="0.2">
      <c r="A13" s="50" t="s">
        <v>2337</v>
      </c>
      <c r="B13" s="50" t="s">
        <v>2338</v>
      </c>
      <c r="C13" s="52" t="s">
        <v>765</v>
      </c>
      <c r="D13" s="53" t="s">
        <v>858</v>
      </c>
      <c r="E13" s="50" t="s">
        <v>857</v>
      </c>
    </row>
    <row r="14" spans="1:5" ht="20" customHeight="1" x14ac:dyDescent="0.2">
      <c r="A14" s="42" t="s">
        <v>2343</v>
      </c>
      <c r="B14" s="42" t="s">
        <v>2344</v>
      </c>
      <c r="C14" s="42" t="s">
        <v>2321</v>
      </c>
      <c r="D14" s="53" t="s">
        <v>2237</v>
      </c>
      <c r="E14" s="42" t="s">
        <v>2320</v>
      </c>
    </row>
    <row r="15" spans="1:5" ht="20" customHeight="1" x14ac:dyDescent="0.2">
      <c r="A15" s="50" t="s">
        <v>2348</v>
      </c>
      <c r="B15" s="50" t="s">
        <v>2349</v>
      </c>
      <c r="C15" s="50" t="s">
        <v>2321</v>
      </c>
      <c r="D15" s="46" t="s">
        <v>2061</v>
      </c>
      <c r="E15" s="50" t="s">
        <v>2296</v>
      </c>
    </row>
    <row r="16" spans="1:5" ht="29" customHeight="1" x14ac:dyDescent="0.2">
      <c r="A16" s="42" t="s">
        <v>2353</v>
      </c>
      <c r="B16" s="42" t="s">
        <v>2354</v>
      </c>
      <c r="C16" s="42" t="s">
        <v>2360</v>
      </c>
      <c r="D16" s="53" t="s">
        <v>2237</v>
      </c>
      <c r="E16" s="42" t="s">
        <v>2359</v>
      </c>
    </row>
    <row r="17" spans="1:5" ht="20" customHeight="1" x14ac:dyDescent="0.2">
      <c r="A17" s="50" t="s">
        <v>2361</v>
      </c>
      <c r="B17" s="50" t="s">
        <v>2362</v>
      </c>
      <c r="C17" s="45" t="s">
        <v>889</v>
      </c>
      <c r="D17" s="45" t="s">
        <v>889</v>
      </c>
      <c r="E17" s="50" t="s">
        <v>888</v>
      </c>
    </row>
    <row r="18" spans="1:5" ht="20" customHeight="1" x14ac:dyDescent="0.2">
      <c r="A18" s="42" t="s">
        <v>2368</v>
      </c>
      <c r="B18" s="42" t="s">
        <v>2369</v>
      </c>
      <c r="C18" s="45" t="s">
        <v>889</v>
      </c>
      <c r="D18" s="45" t="s">
        <v>889</v>
      </c>
      <c r="E18" s="42" t="s">
        <v>888</v>
      </c>
    </row>
    <row r="19" spans="1:5" ht="20" customHeight="1" x14ac:dyDescent="0.2">
      <c r="A19" s="50" t="s">
        <v>2376</v>
      </c>
      <c r="B19" s="50" t="s">
        <v>2377</v>
      </c>
      <c r="C19" s="45" t="s">
        <v>889</v>
      </c>
      <c r="D19" s="45" t="s">
        <v>889</v>
      </c>
      <c r="E19" s="50" t="s">
        <v>888</v>
      </c>
    </row>
    <row r="20" spans="1:5" ht="29" customHeight="1" x14ac:dyDescent="0.2">
      <c r="A20" s="42" t="s">
        <v>2384</v>
      </c>
      <c r="B20" s="42" t="s">
        <v>2385</v>
      </c>
      <c r="C20" s="45" t="s">
        <v>889</v>
      </c>
      <c r="D20" s="45" t="s">
        <v>889</v>
      </c>
      <c r="E20" s="42" t="s">
        <v>888</v>
      </c>
    </row>
    <row r="21" spans="1:5" ht="20" customHeight="1" x14ac:dyDescent="0.2">
      <c r="A21" s="50" t="s">
        <v>2391</v>
      </c>
      <c r="B21" s="50" t="s">
        <v>2392</v>
      </c>
      <c r="C21" s="45" t="s">
        <v>889</v>
      </c>
      <c r="D21" s="45" t="s">
        <v>889</v>
      </c>
      <c r="E21" s="50" t="s">
        <v>888</v>
      </c>
    </row>
    <row r="22" spans="1:5" ht="20" customHeight="1" x14ac:dyDescent="0.2">
      <c r="A22" s="42" t="s">
        <v>2397</v>
      </c>
      <c r="B22" s="42" t="s">
        <v>2398</v>
      </c>
      <c r="C22" s="52" t="s">
        <v>765</v>
      </c>
      <c r="D22" s="53" t="s">
        <v>2237</v>
      </c>
      <c r="E22" s="42" t="s">
        <v>2401</v>
      </c>
    </row>
    <row r="23" spans="1:5" ht="20" customHeight="1" x14ac:dyDescent="0.2">
      <c r="A23" s="50" t="s">
        <v>2402</v>
      </c>
      <c r="B23" s="50" t="s">
        <v>2403</v>
      </c>
      <c r="C23" s="50" t="s">
        <v>2321</v>
      </c>
      <c r="D23" s="53" t="s">
        <v>2237</v>
      </c>
      <c r="E23" s="50" t="s">
        <v>2320</v>
      </c>
    </row>
    <row r="24" spans="1:5" ht="20" customHeight="1" x14ac:dyDescent="0.2">
      <c r="A24" s="42" t="s">
        <v>2407</v>
      </c>
      <c r="B24" s="42" t="s">
        <v>2408</v>
      </c>
      <c r="C24" s="42" t="s">
        <v>2321</v>
      </c>
      <c r="D24" s="53" t="s">
        <v>2237</v>
      </c>
      <c r="E24" s="42" t="s">
        <v>2320</v>
      </c>
    </row>
    <row r="25" spans="1:5" ht="20" customHeight="1" x14ac:dyDescent="0.2">
      <c r="A25" s="50" t="s">
        <v>2411</v>
      </c>
      <c r="B25" s="50" t="s">
        <v>2412</v>
      </c>
      <c r="C25" s="50" t="s">
        <v>2321</v>
      </c>
      <c r="D25" s="53" t="s">
        <v>2237</v>
      </c>
      <c r="E25" s="50" t="s">
        <v>2320</v>
      </c>
    </row>
    <row r="26" spans="1:5" ht="20" customHeight="1" x14ac:dyDescent="0.2">
      <c r="A26" s="42" t="s">
        <v>2416</v>
      </c>
      <c r="B26" s="42" t="s">
        <v>2417</v>
      </c>
      <c r="C26" s="45" t="s">
        <v>889</v>
      </c>
      <c r="D26" s="45" t="s">
        <v>889</v>
      </c>
      <c r="E26" s="42" t="s">
        <v>888</v>
      </c>
    </row>
    <row r="27" spans="1:5" ht="29" customHeight="1" x14ac:dyDescent="0.2">
      <c r="A27" s="50" t="s">
        <v>2424</v>
      </c>
      <c r="B27" s="50" t="s">
        <v>2425</v>
      </c>
      <c r="C27" s="50" t="s">
        <v>2360</v>
      </c>
      <c r="D27" s="53" t="s">
        <v>2237</v>
      </c>
      <c r="E27" s="50" t="s">
        <v>2359</v>
      </c>
    </row>
    <row r="28" spans="1:5" ht="29" customHeight="1" x14ac:dyDescent="0.2">
      <c r="A28" s="42" t="s">
        <v>2430</v>
      </c>
      <c r="B28" s="42" t="s">
        <v>2431</v>
      </c>
      <c r="C28" s="45" t="s">
        <v>889</v>
      </c>
      <c r="D28" s="45" t="s">
        <v>889</v>
      </c>
      <c r="E28" s="42" t="s">
        <v>888</v>
      </c>
    </row>
    <row r="29" spans="1:5" ht="20" customHeight="1" x14ac:dyDescent="0.2">
      <c r="A29" s="50" t="s">
        <v>2437</v>
      </c>
      <c r="B29" s="50" t="s">
        <v>2438</v>
      </c>
      <c r="C29" s="50" t="s">
        <v>2321</v>
      </c>
      <c r="D29" s="53" t="s">
        <v>2237</v>
      </c>
      <c r="E29" s="50" t="s">
        <v>2320</v>
      </c>
    </row>
    <row r="30" spans="1:5" ht="20" customHeight="1" x14ac:dyDescent="0.2">
      <c r="A30" s="42" t="s">
        <v>2448</v>
      </c>
      <c r="B30" s="42" t="s">
        <v>2449</v>
      </c>
      <c r="C30" s="42" t="s">
        <v>2321</v>
      </c>
      <c r="D30" s="53" t="s">
        <v>2237</v>
      </c>
      <c r="E30" s="42" t="s">
        <v>2320</v>
      </c>
    </row>
    <row r="31" spans="1:5" ht="20" customHeight="1" x14ac:dyDescent="0.2">
      <c r="A31" s="50" t="s">
        <v>2453</v>
      </c>
      <c r="B31" s="50" t="s">
        <v>2454</v>
      </c>
      <c r="C31" s="45" t="s">
        <v>889</v>
      </c>
      <c r="D31" s="45" t="s">
        <v>889</v>
      </c>
      <c r="E31" s="50" t="s">
        <v>888</v>
      </c>
    </row>
    <row r="32" spans="1:5" ht="20" customHeight="1" x14ac:dyDescent="0.2">
      <c r="A32" s="42" t="s">
        <v>2463</v>
      </c>
      <c r="B32" s="42" t="s">
        <v>2464</v>
      </c>
      <c r="C32" s="52" t="s">
        <v>765</v>
      </c>
      <c r="D32" s="53" t="s">
        <v>2237</v>
      </c>
      <c r="E32" s="42" t="s">
        <v>2401</v>
      </c>
    </row>
    <row r="33" spans="1:5" ht="20" customHeight="1" x14ac:dyDescent="0.2">
      <c r="A33" s="50" t="s">
        <v>2468</v>
      </c>
      <c r="B33" s="50" t="s">
        <v>2469</v>
      </c>
      <c r="C33" s="50" t="s">
        <v>2321</v>
      </c>
      <c r="D33" s="53" t="s">
        <v>2237</v>
      </c>
      <c r="E33" s="50" t="s">
        <v>2320</v>
      </c>
    </row>
    <row r="34" spans="1:5" ht="20" customHeight="1" x14ac:dyDescent="0.2">
      <c r="A34" s="42" t="s">
        <v>2475</v>
      </c>
      <c r="B34" s="42" t="s">
        <v>2476</v>
      </c>
      <c r="C34" s="52" t="s">
        <v>765</v>
      </c>
      <c r="D34" s="46" t="s">
        <v>2061</v>
      </c>
      <c r="E34" s="42" t="s">
        <v>2296</v>
      </c>
    </row>
    <row r="35" spans="1:5" ht="20" customHeight="1" x14ac:dyDescent="0.2">
      <c r="A35" s="50" t="s">
        <v>2483</v>
      </c>
      <c r="B35" s="50" t="s">
        <v>2484</v>
      </c>
      <c r="C35" s="50" t="s">
        <v>2321</v>
      </c>
      <c r="D35" s="53" t="s">
        <v>2237</v>
      </c>
      <c r="E35" s="50" t="s">
        <v>2320</v>
      </c>
    </row>
    <row r="36" spans="1:5" ht="20" customHeight="1" x14ac:dyDescent="0.2">
      <c r="A36" s="42" t="s">
        <v>2490</v>
      </c>
      <c r="B36" s="42" t="s">
        <v>2491</v>
      </c>
      <c r="C36" s="52" t="s">
        <v>765</v>
      </c>
      <c r="D36" s="53" t="s">
        <v>858</v>
      </c>
      <c r="E36" s="42" t="s">
        <v>857</v>
      </c>
    </row>
    <row r="37" spans="1:5" ht="20" customHeight="1" x14ac:dyDescent="0.2">
      <c r="A37" s="50" t="s">
        <v>2497</v>
      </c>
      <c r="B37" s="50" t="s">
        <v>2498</v>
      </c>
      <c r="C37" s="52" t="s">
        <v>765</v>
      </c>
      <c r="D37" s="53" t="s">
        <v>858</v>
      </c>
      <c r="E37" s="50" t="s">
        <v>857</v>
      </c>
    </row>
    <row r="38" spans="1:5" ht="20" customHeight="1" x14ac:dyDescent="0.2">
      <c r="A38" s="42" t="s">
        <v>2502</v>
      </c>
      <c r="B38" s="42" t="s">
        <v>2503</v>
      </c>
      <c r="C38" s="52" t="s">
        <v>765</v>
      </c>
      <c r="D38" s="46" t="s">
        <v>2061</v>
      </c>
      <c r="E38" s="42" t="s">
        <v>2296</v>
      </c>
    </row>
  </sheetData>
  <mergeCells count="2">
    <mergeCell ref="A2:E2"/>
    <mergeCell ref="A1:E1"/>
  </mergeCells>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H18"/>
  <sheetViews>
    <sheetView showGridLines="0" rightToLeft="1" workbookViewId="0">
      <pane ySplit="3" topLeftCell="A4" activePane="bottomLeft" state="frozen"/>
      <selection pane="bottomLeft"/>
    </sheetView>
  </sheetViews>
  <sheetFormatPr baseColWidth="10" defaultColWidth="8.83203125" defaultRowHeight="15" x14ac:dyDescent="0.2"/>
  <cols>
    <col min="1" max="1" width="42" customWidth="1"/>
    <col min="2" max="2" width="17.1640625" customWidth="1"/>
    <col min="3" max="3" width="10.6640625" customWidth="1"/>
    <col min="4" max="4" width="12.5" customWidth="1"/>
    <col min="5" max="6" width="10" customWidth="1"/>
    <col min="7" max="7" width="22" customWidth="1"/>
    <col min="8" max="8" width="34.33203125" customWidth="1"/>
  </cols>
  <sheetData>
    <row r="1" spans="1:8" ht="34" customHeight="1" x14ac:dyDescent="0.2">
      <c r="A1" s="79" t="s">
        <v>2531</v>
      </c>
      <c r="B1" s="76"/>
      <c r="C1" s="76"/>
      <c r="D1" s="76"/>
      <c r="E1" s="76"/>
      <c r="F1" s="76"/>
      <c r="G1" s="76"/>
      <c r="H1" s="76"/>
    </row>
    <row r="2" spans="1:8" ht="28" customHeight="1" x14ac:dyDescent="0.2">
      <c r="A2" s="86" t="s">
        <v>2532</v>
      </c>
      <c r="B2" s="76"/>
      <c r="C2" s="76"/>
      <c r="D2" s="76"/>
      <c r="E2" s="76"/>
      <c r="F2" s="76"/>
      <c r="G2" s="76"/>
      <c r="H2" s="76"/>
    </row>
    <row r="3" spans="1:8" ht="30" customHeight="1" x14ac:dyDescent="0.2">
      <c r="A3" s="48" t="s">
        <v>2245</v>
      </c>
      <c r="B3" s="48" t="s">
        <v>2533</v>
      </c>
      <c r="C3" s="48" t="s">
        <v>2534</v>
      </c>
      <c r="D3" s="48" t="s">
        <v>857</v>
      </c>
      <c r="E3" s="48" t="s">
        <v>2535</v>
      </c>
      <c r="F3" s="48" t="s">
        <v>2536</v>
      </c>
      <c r="G3" s="48" t="s">
        <v>2537</v>
      </c>
      <c r="H3" s="48" t="s">
        <v>2538</v>
      </c>
    </row>
    <row r="4" spans="1:8" ht="20" customHeight="1" x14ac:dyDescent="0.2">
      <c r="A4" s="42" t="s">
        <v>2265</v>
      </c>
      <c r="B4" s="42">
        <v>1</v>
      </c>
      <c r="C4" s="42">
        <v>0</v>
      </c>
      <c r="D4" s="42">
        <v>0</v>
      </c>
      <c r="E4" s="42">
        <v>0</v>
      </c>
      <c r="F4" s="42">
        <v>0</v>
      </c>
      <c r="G4" s="42">
        <f t="shared" ref="G4:G18" si="0">B4-C4-D4-E4-F4</f>
        <v>1</v>
      </c>
      <c r="H4" s="42" t="s">
        <v>2262</v>
      </c>
    </row>
    <row r="5" spans="1:8" ht="20" customHeight="1" x14ac:dyDescent="0.2">
      <c r="A5" s="50" t="s">
        <v>895</v>
      </c>
      <c r="B5" s="50">
        <v>2</v>
      </c>
      <c r="C5" s="50">
        <v>0</v>
      </c>
      <c r="D5" s="50">
        <v>1</v>
      </c>
      <c r="E5" s="50">
        <v>0</v>
      </c>
      <c r="F5" s="50">
        <v>0</v>
      </c>
      <c r="G5" s="50">
        <f t="shared" si="0"/>
        <v>1</v>
      </c>
      <c r="H5" s="50" t="s">
        <v>2539</v>
      </c>
    </row>
    <row r="6" spans="1:8" ht="20" customHeight="1" x14ac:dyDescent="0.2">
      <c r="A6" s="42" t="s">
        <v>2291</v>
      </c>
      <c r="B6" s="42">
        <v>2</v>
      </c>
      <c r="C6" s="42">
        <v>0</v>
      </c>
      <c r="D6" s="42">
        <v>0</v>
      </c>
      <c r="E6" s="42">
        <v>2</v>
      </c>
      <c r="F6" s="42">
        <v>0</v>
      </c>
      <c r="G6" s="42">
        <f t="shared" si="0"/>
        <v>0</v>
      </c>
      <c r="H6" s="42" t="s">
        <v>2540</v>
      </c>
    </row>
    <row r="7" spans="1:8" ht="20" customHeight="1" x14ac:dyDescent="0.2">
      <c r="A7" s="50" t="s">
        <v>2307</v>
      </c>
      <c r="B7" s="50">
        <v>1</v>
      </c>
      <c r="C7" s="50">
        <v>1</v>
      </c>
      <c r="D7" s="50">
        <v>0</v>
      </c>
      <c r="E7" s="50">
        <v>0</v>
      </c>
      <c r="F7" s="50">
        <v>0</v>
      </c>
      <c r="G7" s="50">
        <f t="shared" si="0"/>
        <v>0</v>
      </c>
      <c r="H7" s="50" t="s">
        <v>2304</v>
      </c>
    </row>
    <row r="8" spans="1:8" ht="20" customHeight="1" x14ac:dyDescent="0.2">
      <c r="A8" s="42" t="s">
        <v>2315</v>
      </c>
      <c r="B8" s="42">
        <v>2</v>
      </c>
      <c r="C8" s="42">
        <v>1</v>
      </c>
      <c r="D8" s="42">
        <v>0</v>
      </c>
      <c r="E8" s="42">
        <v>0</v>
      </c>
      <c r="F8" s="42">
        <v>1</v>
      </c>
      <c r="G8" s="42">
        <f t="shared" si="0"/>
        <v>0</v>
      </c>
      <c r="H8" s="42" t="s">
        <v>2541</v>
      </c>
    </row>
    <row r="9" spans="1:8" ht="20" customHeight="1" x14ac:dyDescent="0.2">
      <c r="A9" s="50" t="s">
        <v>2325</v>
      </c>
      <c r="B9" s="50">
        <v>3</v>
      </c>
      <c r="C9" s="50">
        <v>0</v>
      </c>
      <c r="D9" s="50">
        <v>2</v>
      </c>
      <c r="E9" s="50">
        <v>0</v>
      </c>
      <c r="F9" s="50">
        <v>0</v>
      </c>
      <c r="G9" s="50">
        <f t="shared" si="0"/>
        <v>1</v>
      </c>
      <c r="H9" s="50" t="s">
        <v>2542</v>
      </c>
    </row>
    <row r="10" spans="1:8" ht="20" customHeight="1" x14ac:dyDescent="0.2">
      <c r="A10" s="42" t="s">
        <v>1695</v>
      </c>
      <c r="B10" s="42">
        <v>3</v>
      </c>
      <c r="C10" s="42">
        <v>0</v>
      </c>
      <c r="D10" s="42">
        <v>0</v>
      </c>
      <c r="E10" s="42">
        <v>1</v>
      </c>
      <c r="F10" s="42">
        <v>2</v>
      </c>
      <c r="G10" s="42">
        <f t="shared" si="0"/>
        <v>0</v>
      </c>
      <c r="H10" s="42" t="s">
        <v>2543</v>
      </c>
    </row>
    <row r="11" spans="1:8" ht="20" customHeight="1" x14ac:dyDescent="0.2">
      <c r="A11" s="50" t="s">
        <v>851</v>
      </c>
      <c r="B11" s="50">
        <v>7</v>
      </c>
      <c r="C11" s="50">
        <v>3</v>
      </c>
      <c r="D11" s="50">
        <v>0</v>
      </c>
      <c r="E11" s="50">
        <v>0</v>
      </c>
      <c r="F11" s="50">
        <v>4</v>
      </c>
      <c r="G11" s="50">
        <f t="shared" si="0"/>
        <v>0</v>
      </c>
      <c r="H11" s="50" t="s">
        <v>2544</v>
      </c>
    </row>
    <row r="12" spans="1:8" ht="20" customHeight="1" x14ac:dyDescent="0.2">
      <c r="A12" s="42" t="s">
        <v>2379</v>
      </c>
      <c r="B12" s="42">
        <v>3</v>
      </c>
      <c r="C12" s="42">
        <v>2</v>
      </c>
      <c r="D12" s="42">
        <v>0</v>
      </c>
      <c r="E12" s="42">
        <v>0</v>
      </c>
      <c r="F12" s="42">
        <v>1</v>
      </c>
      <c r="G12" s="42">
        <f t="shared" si="0"/>
        <v>0</v>
      </c>
      <c r="H12" s="42" t="s">
        <v>2545</v>
      </c>
    </row>
    <row r="13" spans="1:8" ht="20" customHeight="1" x14ac:dyDescent="0.2">
      <c r="A13" s="50" t="s">
        <v>2419</v>
      </c>
      <c r="B13" s="50">
        <v>2</v>
      </c>
      <c r="C13" s="50">
        <v>1</v>
      </c>
      <c r="D13" s="50">
        <v>1</v>
      </c>
      <c r="E13" s="50">
        <v>0</v>
      </c>
      <c r="F13" s="50">
        <v>0</v>
      </c>
      <c r="G13" s="50">
        <f t="shared" si="0"/>
        <v>0</v>
      </c>
      <c r="H13" s="50" t="s">
        <v>2546</v>
      </c>
    </row>
    <row r="14" spans="1:8" ht="20" customHeight="1" x14ac:dyDescent="0.2">
      <c r="A14" s="42" t="s">
        <v>2440</v>
      </c>
      <c r="B14" s="42">
        <v>2</v>
      </c>
      <c r="C14" s="42">
        <v>0</v>
      </c>
      <c r="D14" s="42">
        <v>0</v>
      </c>
      <c r="E14" s="42">
        <v>0</v>
      </c>
      <c r="F14" s="42">
        <v>2</v>
      </c>
      <c r="G14" s="42">
        <f t="shared" si="0"/>
        <v>0</v>
      </c>
      <c r="H14" s="42" t="s">
        <v>2547</v>
      </c>
    </row>
    <row r="15" spans="1:8" ht="20" customHeight="1" x14ac:dyDescent="0.2">
      <c r="A15" s="50" t="s">
        <v>2456</v>
      </c>
      <c r="B15" s="50">
        <v>3</v>
      </c>
      <c r="C15" s="50">
        <v>1</v>
      </c>
      <c r="D15" s="50">
        <v>0</v>
      </c>
      <c r="E15" s="50">
        <v>1</v>
      </c>
      <c r="F15" s="50">
        <v>1</v>
      </c>
      <c r="G15" s="50">
        <f t="shared" si="0"/>
        <v>0</v>
      </c>
      <c r="H15" s="50" t="s">
        <v>2548</v>
      </c>
    </row>
    <row r="16" spans="1:8" ht="20" customHeight="1" x14ac:dyDescent="0.2">
      <c r="A16" s="42" t="s">
        <v>2471</v>
      </c>
      <c r="B16" s="42">
        <v>1</v>
      </c>
      <c r="C16" s="42">
        <v>0</v>
      </c>
      <c r="D16" s="42">
        <v>0</v>
      </c>
      <c r="E16" s="42">
        <v>0</v>
      </c>
      <c r="F16" s="42">
        <v>1</v>
      </c>
      <c r="G16" s="42">
        <f t="shared" si="0"/>
        <v>0</v>
      </c>
      <c r="H16" s="42" t="s">
        <v>2468</v>
      </c>
    </row>
    <row r="17" spans="1:8" ht="20" customHeight="1" x14ac:dyDescent="0.2">
      <c r="A17" s="50" t="s">
        <v>2486</v>
      </c>
      <c r="B17" s="50">
        <v>1</v>
      </c>
      <c r="C17" s="50">
        <v>0</v>
      </c>
      <c r="D17" s="50">
        <v>0</v>
      </c>
      <c r="E17" s="50">
        <v>0</v>
      </c>
      <c r="F17" s="50">
        <v>1</v>
      </c>
      <c r="G17" s="50">
        <f t="shared" si="0"/>
        <v>0</v>
      </c>
      <c r="H17" s="50" t="s">
        <v>2483</v>
      </c>
    </row>
    <row r="18" spans="1:8" ht="20" customHeight="1" x14ac:dyDescent="0.2">
      <c r="A18" s="42" t="s">
        <v>1253</v>
      </c>
      <c r="B18" s="42">
        <v>2</v>
      </c>
      <c r="C18" s="42">
        <v>0</v>
      </c>
      <c r="D18" s="42">
        <v>1</v>
      </c>
      <c r="E18" s="42">
        <v>1</v>
      </c>
      <c r="F18" s="42">
        <v>0</v>
      </c>
      <c r="G18" s="42">
        <f t="shared" si="0"/>
        <v>0</v>
      </c>
      <c r="H18" s="42" t="s">
        <v>2549</v>
      </c>
    </row>
  </sheetData>
  <mergeCells count="2">
    <mergeCell ref="A2:H2"/>
    <mergeCell ref="A1:H1"/>
  </mergeCells>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H38"/>
  <sheetViews>
    <sheetView showGridLines="0" rightToLeft="1" workbookViewId="0">
      <pane xSplit="2" ySplit="3" topLeftCell="C4" activePane="bottomRight" state="frozen"/>
      <selection pane="topRight"/>
      <selection pane="bottomLeft"/>
      <selection pane="bottomRight"/>
    </sheetView>
  </sheetViews>
  <sheetFormatPr baseColWidth="10" defaultColWidth="8.83203125" defaultRowHeight="15" x14ac:dyDescent="0.2"/>
  <cols>
    <col min="1" max="1" width="42" customWidth="1"/>
    <col min="2" max="2" width="38.1640625" customWidth="1"/>
    <col min="3" max="3" width="42" customWidth="1"/>
    <col min="4" max="4" width="10" customWidth="1"/>
    <col min="5" max="5" width="42" customWidth="1"/>
    <col min="6" max="6" width="25.83203125" customWidth="1"/>
    <col min="7" max="7" width="33.33203125" customWidth="1"/>
    <col min="8" max="8" width="18.1640625" customWidth="1"/>
  </cols>
  <sheetData>
    <row r="1" spans="1:8" ht="34" customHeight="1" x14ac:dyDescent="0.2">
      <c r="A1" s="79" t="s">
        <v>2550</v>
      </c>
      <c r="B1" s="76"/>
      <c r="C1" s="76"/>
      <c r="D1" s="76"/>
      <c r="E1" s="76"/>
      <c r="F1" s="76"/>
      <c r="G1" s="76"/>
      <c r="H1" s="76"/>
    </row>
    <row r="2" spans="1:8" ht="28" customHeight="1" x14ac:dyDescent="0.2">
      <c r="A2" s="86" t="s">
        <v>2551</v>
      </c>
      <c r="B2" s="76"/>
      <c r="C2" s="76"/>
      <c r="D2" s="76"/>
      <c r="E2" s="76"/>
      <c r="F2" s="76"/>
      <c r="G2" s="76"/>
      <c r="H2" s="76"/>
    </row>
    <row r="3" spans="1:8" ht="30" customHeight="1" x14ac:dyDescent="0.2">
      <c r="A3" s="48" t="s">
        <v>617</v>
      </c>
      <c r="B3" s="48" t="s">
        <v>2529</v>
      </c>
      <c r="C3" s="48" t="s">
        <v>2552</v>
      </c>
      <c r="D3" s="48" t="s">
        <v>2553</v>
      </c>
      <c r="E3" s="48" t="s">
        <v>2260</v>
      </c>
      <c r="F3" s="48" t="s">
        <v>2554</v>
      </c>
      <c r="G3" s="48" t="s">
        <v>2555</v>
      </c>
      <c r="H3" s="48" t="s">
        <v>2556</v>
      </c>
    </row>
    <row r="4" spans="1:8" ht="29" customHeight="1" x14ac:dyDescent="0.2">
      <c r="A4" s="42" t="s">
        <v>2262</v>
      </c>
      <c r="B4" s="42" t="s">
        <v>2263</v>
      </c>
      <c r="C4" s="42" t="s">
        <v>2557</v>
      </c>
      <c r="D4" s="42" t="s">
        <v>2272</v>
      </c>
      <c r="E4" s="52" t="s">
        <v>765</v>
      </c>
      <c r="F4" s="53" t="s">
        <v>846</v>
      </c>
      <c r="G4" s="42" t="s">
        <v>2558</v>
      </c>
      <c r="H4" s="42" t="s">
        <v>817</v>
      </c>
    </row>
    <row r="5" spans="1:8" ht="29" customHeight="1" x14ac:dyDescent="0.2">
      <c r="A5" s="50" t="s">
        <v>894</v>
      </c>
      <c r="B5" s="50" t="s">
        <v>760</v>
      </c>
      <c r="C5" s="50" t="s">
        <v>2559</v>
      </c>
      <c r="D5" s="50" t="s">
        <v>2272</v>
      </c>
      <c r="E5" s="52" t="s">
        <v>765</v>
      </c>
      <c r="F5" s="52" t="s">
        <v>765</v>
      </c>
      <c r="G5" s="50" t="s">
        <v>2558</v>
      </c>
      <c r="H5" s="50" t="s">
        <v>817</v>
      </c>
    </row>
    <row r="6" spans="1:8" ht="29" customHeight="1" x14ac:dyDescent="0.2">
      <c r="A6" s="42" t="s">
        <v>2281</v>
      </c>
      <c r="B6" s="42" t="s">
        <v>2282</v>
      </c>
      <c r="C6" s="42" t="s">
        <v>2559</v>
      </c>
      <c r="D6" s="42" t="s">
        <v>2272</v>
      </c>
      <c r="E6" s="52" t="s">
        <v>765</v>
      </c>
      <c r="F6" s="53" t="s">
        <v>858</v>
      </c>
      <c r="G6" s="42" t="s">
        <v>2558</v>
      </c>
      <c r="H6" s="42" t="s">
        <v>817</v>
      </c>
    </row>
    <row r="7" spans="1:8" ht="29" customHeight="1" x14ac:dyDescent="0.2">
      <c r="A7" s="50" t="s">
        <v>2288</v>
      </c>
      <c r="B7" s="50" t="s">
        <v>2289</v>
      </c>
      <c r="C7" s="50" t="s">
        <v>2560</v>
      </c>
      <c r="D7" s="50" t="s">
        <v>2272</v>
      </c>
      <c r="E7" s="52" t="s">
        <v>765</v>
      </c>
      <c r="F7" s="46" t="s">
        <v>2061</v>
      </c>
      <c r="G7" s="50" t="s">
        <v>2558</v>
      </c>
      <c r="H7" s="50" t="s">
        <v>817</v>
      </c>
    </row>
    <row r="8" spans="1:8" ht="29" customHeight="1" x14ac:dyDescent="0.2">
      <c r="A8" s="42" t="s">
        <v>2297</v>
      </c>
      <c r="B8" s="42" t="s">
        <v>2298</v>
      </c>
      <c r="C8" s="42" t="s">
        <v>2560</v>
      </c>
      <c r="D8" s="42" t="s">
        <v>2272</v>
      </c>
      <c r="E8" s="52" t="s">
        <v>765</v>
      </c>
      <c r="F8" s="46" t="s">
        <v>2061</v>
      </c>
      <c r="G8" s="42" t="s">
        <v>2558</v>
      </c>
      <c r="H8" s="42" t="s">
        <v>817</v>
      </c>
    </row>
    <row r="9" spans="1:8" ht="29" customHeight="1" x14ac:dyDescent="0.2">
      <c r="A9" s="50" t="s">
        <v>2304</v>
      </c>
      <c r="B9" s="50" t="s">
        <v>2305</v>
      </c>
      <c r="C9" s="50" t="s">
        <v>2561</v>
      </c>
      <c r="D9" s="50" t="s">
        <v>2272</v>
      </c>
      <c r="E9" s="45" t="s">
        <v>889</v>
      </c>
      <c r="F9" s="45" t="s">
        <v>889</v>
      </c>
      <c r="G9" s="50" t="s">
        <v>2558</v>
      </c>
      <c r="H9" s="50" t="s">
        <v>817</v>
      </c>
    </row>
    <row r="10" spans="1:8" ht="29" customHeight="1" x14ac:dyDescent="0.2">
      <c r="A10" s="42" t="s">
        <v>2312</v>
      </c>
      <c r="B10" s="42" t="s">
        <v>2313</v>
      </c>
      <c r="C10" s="42" t="s">
        <v>2562</v>
      </c>
      <c r="D10" s="42" t="s">
        <v>2319</v>
      </c>
      <c r="E10" s="42" t="s">
        <v>2321</v>
      </c>
      <c r="F10" s="53" t="s">
        <v>2237</v>
      </c>
      <c r="G10" s="42" t="s">
        <v>2558</v>
      </c>
      <c r="H10" s="42" t="s">
        <v>817</v>
      </c>
    </row>
    <row r="11" spans="1:8" ht="29" customHeight="1" x14ac:dyDescent="0.2">
      <c r="A11" s="50" t="s">
        <v>2322</v>
      </c>
      <c r="B11" s="50" t="s">
        <v>2323</v>
      </c>
      <c r="C11" s="50" t="s">
        <v>2563</v>
      </c>
      <c r="D11" s="50" t="s">
        <v>2330</v>
      </c>
      <c r="E11" s="52" t="s">
        <v>765</v>
      </c>
      <c r="F11" s="53" t="s">
        <v>846</v>
      </c>
      <c r="G11" s="50" t="s">
        <v>2558</v>
      </c>
      <c r="H11" s="50" t="s">
        <v>817</v>
      </c>
    </row>
    <row r="12" spans="1:8" ht="29" customHeight="1" x14ac:dyDescent="0.2">
      <c r="A12" s="42" t="s">
        <v>2332</v>
      </c>
      <c r="B12" s="42" t="s">
        <v>2333</v>
      </c>
      <c r="C12" s="42" t="s">
        <v>2564</v>
      </c>
      <c r="D12" s="42" t="s">
        <v>2330</v>
      </c>
      <c r="E12" s="52" t="s">
        <v>765</v>
      </c>
      <c r="F12" s="53" t="s">
        <v>858</v>
      </c>
      <c r="G12" s="42" t="s">
        <v>2558</v>
      </c>
      <c r="H12" s="42" t="s">
        <v>817</v>
      </c>
    </row>
    <row r="13" spans="1:8" ht="29" customHeight="1" x14ac:dyDescent="0.2">
      <c r="A13" s="50" t="s">
        <v>2337</v>
      </c>
      <c r="B13" s="50" t="s">
        <v>2338</v>
      </c>
      <c r="C13" s="50" t="s">
        <v>2565</v>
      </c>
      <c r="D13" s="50" t="s">
        <v>2330</v>
      </c>
      <c r="E13" s="52" t="s">
        <v>765</v>
      </c>
      <c r="F13" s="53" t="s">
        <v>858</v>
      </c>
      <c r="G13" s="50" t="s">
        <v>2558</v>
      </c>
      <c r="H13" s="50" t="s">
        <v>817</v>
      </c>
    </row>
    <row r="14" spans="1:8" ht="29" customHeight="1" x14ac:dyDescent="0.2">
      <c r="A14" s="42" t="s">
        <v>2343</v>
      </c>
      <c r="B14" s="42" t="s">
        <v>2344</v>
      </c>
      <c r="C14" s="42" t="s">
        <v>2566</v>
      </c>
      <c r="D14" s="42" t="s">
        <v>2330</v>
      </c>
      <c r="E14" s="42" t="s">
        <v>2321</v>
      </c>
      <c r="F14" s="53" t="s">
        <v>2237</v>
      </c>
      <c r="G14" s="42" t="s">
        <v>2558</v>
      </c>
      <c r="H14" s="42" t="s">
        <v>817</v>
      </c>
    </row>
    <row r="15" spans="1:8" ht="29" customHeight="1" x14ac:dyDescent="0.2">
      <c r="A15" s="50" t="s">
        <v>2348</v>
      </c>
      <c r="B15" s="50" t="s">
        <v>2349</v>
      </c>
      <c r="C15" s="50" t="s">
        <v>2567</v>
      </c>
      <c r="D15" s="50" t="s">
        <v>2330</v>
      </c>
      <c r="E15" s="50" t="s">
        <v>2321</v>
      </c>
      <c r="F15" s="46" t="s">
        <v>2061</v>
      </c>
      <c r="G15" s="50" t="s">
        <v>2558</v>
      </c>
      <c r="H15" s="50" t="s">
        <v>817</v>
      </c>
    </row>
    <row r="16" spans="1:8" ht="29" customHeight="1" x14ac:dyDescent="0.2">
      <c r="A16" s="42" t="s">
        <v>2353</v>
      </c>
      <c r="B16" s="42" t="s">
        <v>2354</v>
      </c>
      <c r="C16" s="42" t="s">
        <v>2568</v>
      </c>
      <c r="D16" s="42" t="s">
        <v>2358</v>
      </c>
      <c r="E16" s="42" t="s">
        <v>2360</v>
      </c>
      <c r="F16" s="53" t="s">
        <v>2237</v>
      </c>
      <c r="G16" s="42" t="s">
        <v>2558</v>
      </c>
      <c r="H16" s="42" t="s">
        <v>843</v>
      </c>
    </row>
    <row r="17" spans="1:8" ht="29" customHeight="1" x14ac:dyDescent="0.2">
      <c r="A17" s="50" t="s">
        <v>2361</v>
      </c>
      <c r="B17" s="50" t="s">
        <v>2362</v>
      </c>
      <c r="C17" s="50" t="s">
        <v>2569</v>
      </c>
      <c r="D17" s="50" t="s">
        <v>2367</v>
      </c>
      <c r="E17" s="45" t="s">
        <v>889</v>
      </c>
      <c r="F17" s="45" t="s">
        <v>889</v>
      </c>
      <c r="G17" s="50" t="s">
        <v>2558</v>
      </c>
      <c r="H17" s="50" t="s">
        <v>843</v>
      </c>
    </row>
    <row r="18" spans="1:8" ht="29" customHeight="1" x14ac:dyDescent="0.2">
      <c r="A18" s="42" t="s">
        <v>2368</v>
      </c>
      <c r="B18" s="42" t="s">
        <v>2369</v>
      </c>
      <c r="C18" s="42" t="s">
        <v>2570</v>
      </c>
      <c r="D18" s="42" t="s">
        <v>2374</v>
      </c>
      <c r="E18" s="45" t="s">
        <v>889</v>
      </c>
      <c r="F18" s="45" t="s">
        <v>889</v>
      </c>
      <c r="G18" s="42" t="s">
        <v>2558</v>
      </c>
      <c r="H18" s="42" t="s">
        <v>843</v>
      </c>
    </row>
    <row r="19" spans="1:8" ht="29" customHeight="1" x14ac:dyDescent="0.2">
      <c r="A19" s="50" t="s">
        <v>2376</v>
      </c>
      <c r="B19" s="50" t="s">
        <v>2377</v>
      </c>
      <c r="C19" s="50" t="s">
        <v>2571</v>
      </c>
      <c r="D19" s="50" t="s">
        <v>2383</v>
      </c>
      <c r="E19" s="45" t="s">
        <v>889</v>
      </c>
      <c r="F19" s="45" t="s">
        <v>889</v>
      </c>
      <c r="G19" s="50" t="s">
        <v>2558</v>
      </c>
      <c r="H19" s="50" t="s">
        <v>817</v>
      </c>
    </row>
    <row r="20" spans="1:8" ht="29" customHeight="1" x14ac:dyDescent="0.2">
      <c r="A20" s="42" t="s">
        <v>2384</v>
      </c>
      <c r="B20" s="42" t="s">
        <v>2385</v>
      </c>
      <c r="C20" s="42" t="s">
        <v>2572</v>
      </c>
      <c r="D20" s="42" t="s">
        <v>2367</v>
      </c>
      <c r="E20" s="45" t="s">
        <v>889</v>
      </c>
      <c r="F20" s="45" t="s">
        <v>889</v>
      </c>
      <c r="G20" s="42" t="s">
        <v>2558</v>
      </c>
      <c r="H20" s="42" t="s">
        <v>843</v>
      </c>
    </row>
    <row r="21" spans="1:8" ht="29" customHeight="1" x14ac:dyDescent="0.2">
      <c r="A21" s="50" t="s">
        <v>2391</v>
      </c>
      <c r="B21" s="50" t="s">
        <v>2392</v>
      </c>
      <c r="C21" s="50" t="s">
        <v>2573</v>
      </c>
      <c r="D21" s="50" t="s">
        <v>2330</v>
      </c>
      <c r="E21" s="45" t="s">
        <v>889</v>
      </c>
      <c r="F21" s="45" t="s">
        <v>889</v>
      </c>
      <c r="G21" s="50" t="s">
        <v>2558</v>
      </c>
      <c r="H21" s="50" t="s">
        <v>817</v>
      </c>
    </row>
    <row r="22" spans="1:8" ht="29" customHeight="1" x14ac:dyDescent="0.2">
      <c r="A22" s="42" t="s">
        <v>2397</v>
      </c>
      <c r="B22" s="42" t="s">
        <v>2398</v>
      </c>
      <c r="C22" s="42" t="s">
        <v>2573</v>
      </c>
      <c r="D22" s="42" t="s">
        <v>2330</v>
      </c>
      <c r="E22" s="52" t="s">
        <v>765</v>
      </c>
      <c r="F22" s="53" t="s">
        <v>2237</v>
      </c>
      <c r="G22" s="42" t="s">
        <v>2558</v>
      </c>
      <c r="H22" s="42" t="s">
        <v>817</v>
      </c>
    </row>
    <row r="23" spans="1:8" ht="29" customHeight="1" x14ac:dyDescent="0.2">
      <c r="A23" s="50" t="s">
        <v>2402</v>
      </c>
      <c r="B23" s="50" t="s">
        <v>2403</v>
      </c>
      <c r="C23" s="50" t="s">
        <v>2574</v>
      </c>
      <c r="D23" s="50" t="s">
        <v>2406</v>
      </c>
      <c r="E23" s="50" t="s">
        <v>2321</v>
      </c>
      <c r="F23" s="53" t="s">
        <v>2237</v>
      </c>
      <c r="G23" s="50" t="s">
        <v>2558</v>
      </c>
      <c r="H23" s="50" t="s">
        <v>843</v>
      </c>
    </row>
    <row r="24" spans="1:8" ht="29" customHeight="1" x14ac:dyDescent="0.2">
      <c r="A24" s="42" t="s">
        <v>2407</v>
      </c>
      <c r="B24" s="42" t="s">
        <v>2408</v>
      </c>
      <c r="C24" s="42" t="s">
        <v>2575</v>
      </c>
      <c r="D24" s="42" t="s">
        <v>1669</v>
      </c>
      <c r="E24" s="42" t="s">
        <v>2321</v>
      </c>
      <c r="F24" s="53" t="s">
        <v>2237</v>
      </c>
      <c r="G24" s="42" t="s">
        <v>2558</v>
      </c>
      <c r="H24" s="42" t="s">
        <v>817</v>
      </c>
    </row>
    <row r="25" spans="1:8" ht="29" customHeight="1" x14ac:dyDescent="0.2">
      <c r="A25" s="50" t="s">
        <v>2411</v>
      </c>
      <c r="B25" s="50" t="s">
        <v>2412</v>
      </c>
      <c r="C25" s="50" t="s">
        <v>2576</v>
      </c>
      <c r="D25" s="50" t="s">
        <v>2415</v>
      </c>
      <c r="E25" s="50" t="s">
        <v>2321</v>
      </c>
      <c r="F25" s="53" t="s">
        <v>2237</v>
      </c>
      <c r="G25" s="50" t="s">
        <v>2558</v>
      </c>
      <c r="H25" s="50" t="s">
        <v>817</v>
      </c>
    </row>
    <row r="26" spans="1:8" ht="29" customHeight="1" x14ac:dyDescent="0.2">
      <c r="A26" s="42" t="s">
        <v>2416</v>
      </c>
      <c r="B26" s="42" t="s">
        <v>2417</v>
      </c>
      <c r="C26" s="42" t="s">
        <v>2569</v>
      </c>
      <c r="D26" s="42" t="s">
        <v>2367</v>
      </c>
      <c r="E26" s="45" t="s">
        <v>889</v>
      </c>
      <c r="F26" s="45" t="s">
        <v>889</v>
      </c>
      <c r="G26" s="42" t="s">
        <v>2558</v>
      </c>
      <c r="H26" s="42" t="s">
        <v>843</v>
      </c>
    </row>
    <row r="27" spans="1:8" ht="29" customHeight="1" x14ac:dyDescent="0.2">
      <c r="A27" s="50" t="s">
        <v>2424</v>
      </c>
      <c r="B27" s="50" t="s">
        <v>2425</v>
      </c>
      <c r="C27" s="50" t="s">
        <v>2568</v>
      </c>
      <c r="D27" s="50" t="s">
        <v>2358</v>
      </c>
      <c r="E27" s="50" t="s">
        <v>2360</v>
      </c>
      <c r="F27" s="53" t="s">
        <v>2237</v>
      </c>
      <c r="G27" s="50" t="s">
        <v>2558</v>
      </c>
      <c r="H27" s="50" t="s">
        <v>843</v>
      </c>
    </row>
    <row r="28" spans="1:8" ht="29" customHeight="1" x14ac:dyDescent="0.2">
      <c r="A28" s="42" t="s">
        <v>2430</v>
      </c>
      <c r="B28" s="42" t="s">
        <v>2431</v>
      </c>
      <c r="C28" s="42" t="s">
        <v>2577</v>
      </c>
      <c r="D28" s="42" t="s">
        <v>2436</v>
      </c>
      <c r="E28" s="45" t="s">
        <v>889</v>
      </c>
      <c r="F28" s="45" t="s">
        <v>889</v>
      </c>
      <c r="G28" s="42" t="s">
        <v>2558</v>
      </c>
      <c r="H28" s="42" t="s">
        <v>843</v>
      </c>
    </row>
    <row r="29" spans="1:8" ht="29" customHeight="1" x14ac:dyDescent="0.2">
      <c r="A29" s="50" t="s">
        <v>2437</v>
      </c>
      <c r="B29" s="50" t="s">
        <v>2438</v>
      </c>
      <c r="C29" s="50" t="s">
        <v>2578</v>
      </c>
      <c r="D29" s="50" t="s">
        <v>2446</v>
      </c>
      <c r="E29" s="50" t="s">
        <v>2321</v>
      </c>
      <c r="F29" s="53" t="s">
        <v>2237</v>
      </c>
      <c r="G29" s="50" t="s">
        <v>2558</v>
      </c>
      <c r="H29" s="50" t="s">
        <v>843</v>
      </c>
    </row>
    <row r="30" spans="1:8" ht="29" customHeight="1" x14ac:dyDescent="0.2">
      <c r="A30" s="42" t="s">
        <v>2448</v>
      </c>
      <c r="B30" s="42" t="s">
        <v>2449</v>
      </c>
      <c r="C30" s="42" t="s">
        <v>2578</v>
      </c>
      <c r="D30" s="42" t="s">
        <v>2446</v>
      </c>
      <c r="E30" s="42" t="s">
        <v>2321</v>
      </c>
      <c r="F30" s="53" t="s">
        <v>2237</v>
      </c>
      <c r="G30" s="42" t="s">
        <v>2558</v>
      </c>
      <c r="H30" s="42" t="s">
        <v>843</v>
      </c>
    </row>
    <row r="31" spans="1:8" ht="29" customHeight="1" x14ac:dyDescent="0.2">
      <c r="A31" s="50" t="s">
        <v>2453</v>
      </c>
      <c r="B31" s="50" t="s">
        <v>2454</v>
      </c>
      <c r="C31" s="50" t="s">
        <v>2568</v>
      </c>
      <c r="D31" s="50" t="s">
        <v>2461</v>
      </c>
      <c r="E31" s="45" t="s">
        <v>889</v>
      </c>
      <c r="F31" s="45" t="s">
        <v>889</v>
      </c>
      <c r="G31" s="50" t="s">
        <v>2558</v>
      </c>
      <c r="H31" s="50" t="s">
        <v>817</v>
      </c>
    </row>
    <row r="32" spans="1:8" ht="29" customHeight="1" x14ac:dyDescent="0.2">
      <c r="A32" s="42" t="s">
        <v>2463</v>
      </c>
      <c r="B32" s="42" t="s">
        <v>2464</v>
      </c>
      <c r="C32" s="42" t="s">
        <v>2568</v>
      </c>
      <c r="D32" s="42" t="s">
        <v>1669</v>
      </c>
      <c r="E32" s="52" t="s">
        <v>765</v>
      </c>
      <c r="F32" s="53" t="s">
        <v>2237</v>
      </c>
      <c r="G32" s="42" t="s">
        <v>2558</v>
      </c>
      <c r="H32" s="42" t="s">
        <v>817</v>
      </c>
    </row>
    <row r="33" spans="1:8" ht="29" customHeight="1" x14ac:dyDescent="0.2">
      <c r="A33" s="50" t="s">
        <v>2468</v>
      </c>
      <c r="B33" s="50" t="s">
        <v>2469</v>
      </c>
      <c r="C33" s="50" t="s">
        <v>2568</v>
      </c>
      <c r="D33" s="50" t="s">
        <v>2446</v>
      </c>
      <c r="E33" s="50" t="s">
        <v>2321</v>
      </c>
      <c r="F33" s="53" t="s">
        <v>2237</v>
      </c>
      <c r="G33" s="50" t="s">
        <v>2558</v>
      </c>
      <c r="H33" s="50" t="s">
        <v>843</v>
      </c>
    </row>
    <row r="34" spans="1:8" ht="29" customHeight="1" x14ac:dyDescent="0.2">
      <c r="A34" s="42" t="s">
        <v>2475</v>
      </c>
      <c r="B34" s="42" t="s">
        <v>2476</v>
      </c>
      <c r="C34" s="42" t="s">
        <v>2568</v>
      </c>
      <c r="D34" s="42" t="s">
        <v>2481</v>
      </c>
      <c r="E34" s="52" t="s">
        <v>765</v>
      </c>
      <c r="F34" s="46" t="s">
        <v>2061</v>
      </c>
      <c r="G34" s="42" t="s">
        <v>2558</v>
      </c>
      <c r="H34" s="42" t="s">
        <v>817</v>
      </c>
    </row>
    <row r="35" spans="1:8" ht="29" customHeight="1" x14ac:dyDescent="0.2">
      <c r="A35" s="50" t="s">
        <v>2483</v>
      </c>
      <c r="B35" s="50" t="s">
        <v>2484</v>
      </c>
      <c r="C35" s="50" t="s">
        <v>2573</v>
      </c>
      <c r="D35" s="50" t="s">
        <v>2367</v>
      </c>
      <c r="E35" s="50" t="s">
        <v>2321</v>
      </c>
      <c r="F35" s="53" t="s">
        <v>2237</v>
      </c>
      <c r="G35" s="50" t="s">
        <v>2558</v>
      </c>
      <c r="H35" s="50" t="s">
        <v>843</v>
      </c>
    </row>
    <row r="36" spans="1:8" ht="29" customHeight="1" x14ac:dyDescent="0.2">
      <c r="A36" s="42" t="s">
        <v>2490</v>
      </c>
      <c r="B36" s="42" t="s">
        <v>2491</v>
      </c>
      <c r="C36" s="42" t="s">
        <v>2568</v>
      </c>
      <c r="D36" s="42" t="s">
        <v>2330</v>
      </c>
      <c r="E36" s="52" t="s">
        <v>765</v>
      </c>
      <c r="F36" s="53" t="s">
        <v>858</v>
      </c>
      <c r="G36" s="42" t="s">
        <v>2558</v>
      </c>
      <c r="H36" s="42" t="s">
        <v>817</v>
      </c>
    </row>
    <row r="37" spans="1:8" ht="29" customHeight="1" x14ac:dyDescent="0.2">
      <c r="A37" s="50" t="s">
        <v>2497</v>
      </c>
      <c r="B37" s="50" t="s">
        <v>2498</v>
      </c>
      <c r="C37" s="50" t="s">
        <v>2568</v>
      </c>
      <c r="D37" s="50" t="s">
        <v>2330</v>
      </c>
      <c r="E37" s="52" t="s">
        <v>765</v>
      </c>
      <c r="F37" s="53" t="s">
        <v>858</v>
      </c>
      <c r="G37" s="50" t="s">
        <v>2558</v>
      </c>
      <c r="H37" s="50" t="s">
        <v>817</v>
      </c>
    </row>
    <row r="38" spans="1:8" ht="29" customHeight="1" x14ac:dyDescent="0.2">
      <c r="A38" s="42" t="s">
        <v>2502</v>
      </c>
      <c r="B38" s="42" t="s">
        <v>2503</v>
      </c>
      <c r="C38" s="42" t="s">
        <v>2557</v>
      </c>
      <c r="D38" s="42" t="s">
        <v>2330</v>
      </c>
      <c r="E38" s="52" t="s">
        <v>765</v>
      </c>
      <c r="F38" s="46" t="s">
        <v>2061</v>
      </c>
      <c r="G38" s="42" t="s">
        <v>2558</v>
      </c>
      <c r="H38" s="42" t="s">
        <v>817</v>
      </c>
    </row>
  </sheetData>
  <mergeCells count="2">
    <mergeCell ref="A2:H2"/>
    <mergeCell ref="A1:H1"/>
  </mergeCells>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L38"/>
  <sheetViews>
    <sheetView showGridLines="0" rightToLeft="1" workbookViewId="0">
      <pane xSplit="2" ySplit="3" topLeftCell="C4" activePane="bottomRight" state="frozen"/>
      <selection pane="topRight"/>
      <selection pane="bottomLeft"/>
      <selection pane="bottomRight"/>
    </sheetView>
  </sheetViews>
  <sheetFormatPr baseColWidth="10" defaultColWidth="8.83203125" defaultRowHeight="15" x14ac:dyDescent="0.2"/>
  <cols>
    <col min="1" max="1" width="42" customWidth="1"/>
    <col min="2" max="2" width="38.1640625" customWidth="1"/>
    <col min="3" max="3" width="22" customWidth="1"/>
    <col min="4" max="4" width="10" customWidth="1"/>
    <col min="5" max="5" width="26.6640625" customWidth="1"/>
    <col min="6" max="7" width="10" customWidth="1"/>
    <col min="8" max="8" width="18.1640625" customWidth="1"/>
    <col min="9" max="9" width="20.1640625" customWidth="1"/>
    <col min="10" max="10" width="29.6640625" customWidth="1"/>
    <col min="11" max="11" width="36.1640625" customWidth="1"/>
    <col min="12" max="12" width="31.5" customWidth="1"/>
  </cols>
  <sheetData>
    <row r="1" spans="1:12" ht="34" customHeight="1" x14ac:dyDescent="0.2">
      <c r="A1" s="79" t="s">
        <v>2579</v>
      </c>
      <c r="B1" s="76"/>
      <c r="C1" s="76"/>
      <c r="D1" s="76"/>
      <c r="E1" s="76"/>
      <c r="F1" s="76"/>
      <c r="G1" s="76"/>
      <c r="H1" s="76"/>
      <c r="I1" s="76"/>
      <c r="J1" s="76"/>
      <c r="K1" s="76"/>
      <c r="L1" s="76"/>
    </row>
    <row r="2" spans="1:12" ht="28" customHeight="1" x14ac:dyDescent="0.2">
      <c r="A2" s="86" t="s">
        <v>2580</v>
      </c>
      <c r="B2" s="76"/>
      <c r="C2" s="76"/>
      <c r="D2" s="76"/>
      <c r="E2" s="76"/>
      <c r="F2" s="76"/>
      <c r="G2" s="76"/>
      <c r="H2" s="76"/>
      <c r="I2" s="76"/>
      <c r="J2" s="76"/>
      <c r="K2" s="76"/>
      <c r="L2" s="76"/>
    </row>
    <row r="3" spans="1:12" ht="30" customHeight="1" x14ac:dyDescent="0.2">
      <c r="A3" s="48" t="s">
        <v>617</v>
      </c>
      <c r="B3" s="48" t="s">
        <v>2529</v>
      </c>
      <c r="C3" s="48" t="s">
        <v>260</v>
      </c>
      <c r="D3" s="48" t="s">
        <v>2581</v>
      </c>
      <c r="E3" s="48" t="s">
        <v>2582</v>
      </c>
      <c r="F3" s="48" t="s">
        <v>2553</v>
      </c>
      <c r="G3" s="48" t="s">
        <v>2583</v>
      </c>
      <c r="H3" s="48" t="s">
        <v>2556</v>
      </c>
      <c r="I3" s="48" t="s">
        <v>1281</v>
      </c>
      <c r="J3" s="48" t="s">
        <v>2584</v>
      </c>
      <c r="K3" s="48" t="s">
        <v>2585</v>
      </c>
      <c r="L3" s="48" t="s">
        <v>1838</v>
      </c>
    </row>
    <row r="4" spans="1:12" ht="29" customHeight="1" x14ac:dyDescent="0.2">
      <c r="A4" s="42" t="s">
        <v>2262</v>
      </c>
      <c r="B4" s="42" t="s">
        <v>2263</v>
      </c>
      <c r="C4" s="42" t="s">
        <v>2270</v>
      </c>
      <c r="D4" s="42" t="s">
        <v>2286</v>
      </c>
      <c r="E4" s="42" t="s">
        <v>2269</v>
      </c>
      <c r="F4" s="42" t="s">
        <v>2272</v>
      </c>
      <c r="G4" s="42" t="s">
        <v>921</v>
      </c>
      <c r="H4" s="42" t="s">
        <v>817</v>
      </c>
      <c r="I4" s="42" t="s">
        <v>2586</v>
      </c>
      <c r="J4" s="42" t="s">
        <v>2587</v>
      </c>
      <c r="K4" s="42" t="s">
        <v>2588</v>
      </c>
      <c r="L4" s="42" t="s">
        <v>2589</v>
      </c>
    </row>
    <row r="5" spans="1:12" ht="29" customHeight="1" x14ac:dyDescent="0.2">
      <c r="A5" s="50" t="s">
        <v>894</v>
      </c>
      <c r="B5" s="50" t="s">
        <v>760</v>
      </c>
      <c r="C5" s="50" t="s">
        <v>2278</v>
      </c>
      <c r="D5" s="50" t="s">
        <v>2286</v>
      </c>
      <c r="E5" s="50" t="s">
        <v>913</v>
      </c>
      <c r="F5" s="50" t="s">
        <v>2272</v>
      </c>
      <c r="G5" s="50" t="s">
        <v>921</v>
      </c>
      <c r="H5" s="50" t="s">
        <v>817</v>
      </c>
      <c r="I5" s="50" t="s">
        <v>2586</v>
      </c>
      <c r="J5" s="50" t="s">
        <v>2587</v>
      </c>
      <c r="K5" s="50" t="s">
        <v>2588</v>
      </c>
      <c r="L5" s="50" t="s">
        <v>2589</v>
      </c>
    </row>
    <row r="6" spans="1:12" ht="29" customHeight="1" x14ac:dyDescent="0.2">
      <c r="A6" s="42" t="s">
        <v>2281</v>
      </c>
      <c r="B6" s="42" t="s">
        <v>2282</v>
      </c>
      <c r="C6" s="42" t="s">
        <v>2286</v>
      </c>
      <c r="D6" s="42" t="s">
        <v>2286</v>
      </c>
      <c r="E6" s="42" t="s">
        <v>913</v>
      </c>
      <c r="F6" s="42" t="s">
        <v>2272</v>
      </c>
      <c r="G6" s="42" t="s">
        <v>921</v>
      </c>
      <c r="H6" s="42" t="s">
        <v>817</v>
      </c>
      <c r="I6" s="42" t="s">
        <v>2586</v>
      </c>
      <c r="J6" s="42" t="s">
        <v>2587</v>
      </c>
      <c r="K6" s="42" t="s">
        <v>2588</v>
      </c>
      <c r="L6" s="42" t="s">
        <v>2589</v>
      </c>
    </row>
    <row r="7" spans="1:12" ht="29" customHeight="1" x14ac:dyDescent="0.2">
      <c r="A7" s="50" t="s">
        <v>2288</v>
      </c>
      <c r="B7" s="50" t="s">
        <v>2289</v>
      </c>
      <c r="C7" s="50" t="s">
        <v>2286</v>
      </c>
      <c r="D7" s="50" t="s">
        <v>2286</v>
      </c>
      <c r="E7" s="50" t="s">
        <v>2294</v>
      </c>
      <c r="F7" s="50" t="s">
        <v>2272</v>
      </c>
      <c r="G7" s="50" t="s">
        <v>921</v>
      </c>
      <c r="H7" s="50" t="s">
        <v>817</v>
      </c>
      <c r="I7" s="50" t="s">
        <v>2586</v>
      </c>
      <c r="J7" s="50" t="s">
        <v>2587</v>
      </c>
      <c r="K7" s="50" t="s">
        <v>2588</v>
      </c>
      <c r="L7" s="50" t="s">
        <v>2589</v>
      </c>
    </row>
    <row r="8" spans="1:12" ht="29" customHeight="1" x14ac:dyDescent="0.2">
      <c r="A8" s="42" t="s">
        <v>2297</v>
      </c>
      <c r="B8" s="42" t="s">
        <v>2298</v>
      </c>
      <c r="C8" s="42" t="s">
        <v>2286</v>
      </c>
      <c r="D8" s="42" t="s">
        <v>2286</v>
      </c>
      <c r="E8" s="42" t="s">
        <v>2294</v>
      </c>
      <c r="F8" s="42" t="s">
        <v>2272</v>
      </c>
      <c r="G8" s="42" t="s">
        <v>921</v>
      </c>
      <c r="H8" s="42" t="s">
        <v>817</v>
      </c>
      <c r="I8" s="42" t="s">
        <v>2586</v>
      </c>
      <c r="J8" s="42" t="s">
        <v>2587</v>
      </c>
      <c r="K8" s="42" t="s">
        <v>2588</v>
      </c>
      <c r="L8" s="42" t="s">
        <v>2589</v>
      </c>
    </row>
    <row r="9" spans="1:12" ht="29" customHeight="1" x14ac:dyDescent="0.2">
      <c r="A9" s="50" t="s">
        <v>2304</v>
      </c>
      <c r="B9" s="50" t="s">
        <v>2305</v>
      </c>
      <c r="C9" s="50" t="s">
        <v>2286</v>
      </c>
      <c r="D9" s="50" t="s">
        <v>2286</v>
      </c>
      <c r="E9" s="50" t="s">
        <v>2294</v>
      </c>
      <c r="F9" s="50" t="s">
        <v>2272</v>
      </c>
      <c r="G9" s="50" t="s">
        <v>923</v>
      </c>
      <c r="H9" s="50" t="s">
        <v>817</v>
      </c>
      <c r="I9" s="50" t="s">
        <v>2586</v>
      </c>
      <c r="J9" s="50" t="s">
        <v>2587</v>
      </c>
      <c r="K9" s="50" t="s">
        <v>2588</v>
      </c>
      <c r="L9" s="50" t="s">
        <v>2589</v>
      </c>
    </row>
    <row r="10" spans="1:12" ht="29" customHeight="1" x14ac:dyDescent="0.2">
      <c r="A10" s="42" t="s">
        <v>2312</v>
      </c>
      <c r="B10" s="42" t="s">
        <v>2313</v>
      </c>
      <c r="C10" s="42" t="s">
        <v>2286</v>
      </c>
      <c r="D10" s="42" t="s">
        <v>2286</v>
      </c>
      <c r="E10" s="42" t="s">
        <v>2318</v>
      </c>
      <c r="F10" s="42" t="s">
        <v>2319</v>
      </c>
      <c r="G10" s="42" t="s">
        <v>923</v>
      </c>
      <c r="H10" s="42" t="s">
        <v>817</v>
      </c>
      <c r="I10" s="42" t="s">
        <v>2586</v>
      </c>
      <c r="J10" s="42" t="s">
        <v>2587</v>
      </c>
      <c r="K10" s="42" t="s">
        <v>2588</v>
      </c>
      <c r="L10" s="42" t="s">
        <v>2589</v>
      </c>
    </row>
    <row r="11" spans="1:12" ht="29" customHeight="1" x14ac:dyDescent="0.2">
      <c r="A11" s="50" t="s">
        <v>2322</v>
      </c>
      <c r="B11" s="50" t="s">
        <v>2323</v>
      </c>
      <c r="C11" s="50" t="s">
        <v>2329</v>
      </c>
      <c r="D11" s="50" t="s">
        <v>2286</v>
      </c>
      <c r="E11" s="50" t="s">
        <v>2328</v>
      </c>
      <c r="F11" s="50" t="s">
        <v>2330</v>
      </c>
      <c r="G11" s="50" t="s">
        <v>923</v>
      </c>
      <c r="H11" s="50" t="s">
        <v>817</v>
      </c>
      <c r="I11" s="50" t="s">
        <v>2586</v>
      </c>
      <c r="J11" s="50" t="s">
        <v>2587</v>
      </c>
      <c r="K11" s="50" t="s">
        <v>2588</v>
      </c>
      <c r="L11" s="50" t="s">
        <v>2589</v>
      </c>
    </row>
    <row r="12" spans="1:12" ht="29" customHeight="1" x14ac:dyDescent="0.2">
      <c r="A12" s="42" t="s">
        <v>2332</v>
      </c>
      <c r="B12" s="42" t="s">
        <v>2333</v>
      </c>
      <c r="C12" s="42" t="s">
        <v>2286</v>
      </c>
      <c r="D12" s="42" t="s">
        <v>2286</v>
      </c>
      <c r="E12" s="42" t="s">
        <v>2328</v>
      </c>
      <c r="F12" s="42" t="s">
        <v>2330</v>
      </c>
      <c r="G12" s="42" t="s">
        <v>923</v>
      </c>
      <c r="H12" s="42" t="s">
        <v>817</v>
      </c>
      <c r="I12" s="42" t="s">
        <v>2586</v>
      </c>
      <c r="J12" s="42" t="s">
        <v>2587</v>
      </c>
      <c r="K12" s="42" t="s">
        <v>2588</v>
      </c>
      <c r="L12" s="42" t="s">
        <v>2589</v>
      </c>
    </row>
    <row r="13" spans="1:12" ht="29" customHeight="1" x14ac:dyDescent="0.2">
      <c r="A13" s="50" t="s">
        <v>2337</v>
      </c>
      <c r="B13" s="50" t="s">
        <v>2338</v>
      </c>
      <c r="C13" s="50" t="s">
        <v>2286</v>
      </c>
      <c r="D13" s="50" t="s">
        <v>2286</v>
      </c>
      <c r="E13" s="50" t="s">
        <v>2328</v>
      </c>
      <c r="F13" s="50" t="s">
        <v>2330</v>
      </c>
      <c r="G13" s="50" t="s">
        <v>923</v>
      </c>
      <c r="H13" s="50" t="s">
        <v>817</v>
      </c>
      <c r="I13" s="50" t="s">
        <v>2586</v>
      </c>
      <c r="J13" s="50" t="s">
        <v>2587</v>
      </c>
      <c r="K13" s="50" t="s">
        <v>2588</v>
      </c>
      <c r="L13" s="50" t="s">
        <v>2589</v>
      </c>
    </row>
    <row r="14" spans="1:12" ht="29" customHeight="1" x14ac:dyDescent="0.2">
      <c r="A14" s="42" t="s">
        <v>2343</v>
      </c>
      <c r="B14" s="42" t="s">
        <v>2344</v>
      </c>
      <c r="C14" s="42" t="s">
        <v>2286</v>
      </c>
      <c r="D14" s="42" t="s">
        <v>2286</v>
      </c>
      <c r="E14" s="42" t="s">
        <v>2328</v>
      </c>
      <c r="F14" s="42" t="s">
        <v>2330</v>
      </c>
      <c r="G14" s="42" t="s">
        <v>923</v>
      </c>
      <c r="H14" s="42" t="s">
        <v>817</v>
      </c>
      <c r="I14" s="42" t="s">
        <v>2586</v>
      </c>
      <c r="J14" s="42" t="s">
        <v>2587</v>
      </c>
      <c r="K14" s="42" t="s">
        <v>2588</v>
      </c>
      <c r="L14" s="42" t="s">
        <v>2589</v>
      </c>
    </row>
    <row r="15" spans="1:12" ht="29" customHeight="1" x14ac:dyDescent="0.2">
      <c r="A15" s="50" t="s">
        <v>2348</v>
      </c>
      <c r="B15" s="50" t="s">
        <v>2349</v>
      </c>
      <c r="C15" s="50" t="s">
        <v>2286</v>
      </c>
      <c r="D15" s="50" t="s">
        <v>2286</v>
      </c>
      <c r="E15" s="50" t="s">
        <v>2328</v>
      </c>
      <c r="F15" s="50" t="s">
        <v>2330</v>
      </c>
      <c r="G15" s="50" t="s">
        <v>843</v>
      </c>
      <c r="H15" s="50" t="s">
        <v>817</v>
      </c>
      <c r="I15" s="50" t="s">
        <v>2586</v>
      </c>
      <c r="J15" s="50" t="s">
        <v>2587</v>
      </c>
      <c r="K15" s="50" t="s">
        <v>2588</v>
      </c>
      <c r="L15" s="50" t="s">
        <v>2589</v>
      </c>
    </row>
    <row r="16" spans="1:12" ht="29" customHeight="1" x14ac:dyDescent="0.2">
      <c r="A16" s="42" t="s">
        <v>2353</v>
      </c>
      <c r="B16" s="42" t="s">
        <v>2354</v>
      </c>
      <c r="C16" s="42" t="s">
        <v>1236</v>
      </c>
      <c r="D16" s="42" t="s">
        <v>2286</v>
      </c>
      <c r="E16" s="42" t="s">
        <v>1234</v>
      </c>
      <c r="F16" s="42" t="s">
        <v>2358</v>
      </c>
      <c r="G16" s="42" t="s">
        <v>843</v>
      </c>
      <c r="H16" s="42" t="s">
        <v>843</v>
      </c>
      <c r="I16" s="42" t="s">
        <v>2586</v>
      </c>
      <c r="J16" s="42" t="s">
        <v>2587</v>
      </c>
      <c r="K16" s="42" t="s">
        <v>2590</v>
      </c>
      <c r="L16" s="42" t="s">
        <v>2589</v>
      </c>
    </row>
    <row r="17" spans="1:12" ht="29" customHeight="1" x14ac:dyDescent="0.2">
      <c r="A17" s="50" t="s">
        <v>2361</v>
      </c>
      <c r="B17" s="50" t="s">
        <v>2362</v>
      </c>
      <c r="C17" s="50" t="s">
        <v>2286</v>
      </c>
      <c r="D17" s="50" t="s">
        <v>2286</v>
      </c>
      <c r="E17" s="50" t="s">
        <v>2366</v>
      </c>
      <c r="F17" s="50" t="s">
        <v>2367</v>
      </c>
      <c r="G17" s="50" t="s">
        <v>923</v>
      </c>
      <c r="H17" s="50" t="s">
        <v>843</v>
      </c>
      <c r="I17" s="50" t="s">
        <v>2586</v>
      </c>
      <c r="J17" s="50" t="s">
        <v>2587</v>
      </c>
      <c r="K17" s="50" t="s">
        <v>2588</v>
      </c>
      <c r="L17" s="50" t="s">
        <v>2589</v>
      </c>
    </row>
    <row r="18" spans="1:12" ht="29" customHeight="1" x14ac:dyDescent="0.2">
      <c r="A18" s="42" t="s">
        <v>2368</v>
      </c>
      <c r="B18" s="42" t="s">
        <v>2369</v>
      </c>
      <c r="C18" s="42" t="s">
        <v>2286</v>
      </c>
      <c r="D18" s="42" t="s">
        <v>2286</v>
      </c>
      <c r="E18" s="42" t="s">
        <v>2366</v>
      </c>
      <c r="F18" s="42" t="s">
        <v>2374</v>
      </c>
      <c r="G18" s="42" t="s">
        <v>923</v>
      </c>
      <c r="H18" s="42" t="s">
        <v>843</v>
      </c>
      <c r="I18" s="42" t="s">
        <v>2586</v>
      </c>
      <c r="J18" s="42" t="s">
        <v>2587</v>
      </c>
      <c r="K18" s="42" t="s">
        <v>2588</v>
      </c>
      <c r="L18" s="42" t="s">
        <v>2589</v>
      </c>
    </row>
    <row r="19" spans="1:12" ht="29" customHeight="1" x14ac:dyDescent="0.2">
      <c r="A19" s="50" t="s">
        <v>2376</v>
      </c>
      <c r="B19" s="50" t="s">
        <v>2377</v>
      </c>
      <c r="C19" s="50" t="s">
        <v>2286</v>
      </c>
      <c r="D19" s="50" t="s">
        <v>2286</v>
      </c>
      <c r="E19" s="50" t="s">
        <v>2382</v>
      </c>
      <c r="F19" s="50" t="s">
        <v>2383</v>
      </c>
      <c r="G19" s="50" t="s">
        <v>923</v>
      </c>
      <c r="H19" s="50" t="s">
        <v>817</v>
      </c>
      <c r="I19" s="50" t="s">
        <v>2586</v>
      </c>
      <c r="J19" s="50" t="s">
        <v>2587</v>
      </c>
      <c r="K19" s="50" t="s">
        <v>2588</v>
      </c>
      <c r="L19" s="50" t="s">
        <v>2589</v>
      </c>
    </row>
    <row r="20" spans="1:12" ht="29" customHeight="1" x14ac:dyDescent="0.2">
      <c r="A20" s="42" t="s">
        <v>2384</v>
      </c>
      <c r="B20" s="42" t="s">
        <v>2385</v>
      </c>
      <c r="C20" s="42" t="s">
        <v>2286</v>
      </c>
      <c r="D20" s="42" t="s">
        <v>2286</v>
      </c>
      <c r="E20" s="42" t="s">
        <v>2390</v>
      </c>
      <c r="F20" s="42" t="s">
        <v>2367</v>
      </c>
      <c r="G20" s="42" t="s">
        <v>923</v>
      </c>
      <c r="H20" s="42" t="s">
        <v>843</v>
      </c>
      <c r="I20" s="42" t="s">
        <v>2586</v>
      </c>
      <c r="J20" s="42" t="s">
        <v>2587</v>
      </c>
      <c r="K20" s="42" t="s">
        <v>2588</v>
      </c>
      <c r="L20" s="42" t="s">
        <v>2589</v>
      </c>
    </row>
    <row r="21" spans="1:12" ht="29" customHeight="1" x14ac:dyDescent="0.2">
      <c r="A21" s="50" t="s">
        <v>2391</v>
      </c>
      <c r="B21" s="50" t="s">
        <v>2392</v>
      </c>
      <c r="C21" s="50" t="s">
        <v>2286</v>
      </c>
      <c r="D21" s="50" t="s">
        <v>2286</v>
      </c>
      <c r="E21" s="50" t="s">
        <v>2395</v>
      </c>
      <c r="F21" s="50" t="s">
        <v>2330</v>
      </c>
      <c r="G21" s="50" t="s">
        <v>921</v>
      </c>
      <c r="H21" s="50" t="s">
        <v>817</v>
      </c>
      <c r="I21" s="50" t="s">
        <v>2586</v>
      </c>
      <c r="J21" s="50" t="s">
        <v>2587</v>
      </c>
      <c r="K21" s="50" t="s">
        <v>2588</v>
      </c>
      <c r="L21" s="50" t="s">
        <v>2589</v>
      </c>
    </row>
    <row r="22" spans="1:12" ht="29" customHeight="1" x14ac:dyDescent="0.2">
      <c r="A22" s="42" t="s">
        <v>2397</v>
      </c>
      <c r="B22" s="42" t="s">
        <v>2398</v>
      </c>
      <c r="C22" s="42" t="s">
        <v>2286</v>
      </c>
      <c r="D22" s="42" t="s">
        <v>2286</v>
      </c>
      <c r="E22" s="42" t="s">
        <v>2395</v>
      </c>
      <c r="F22" s="42" t="s">
        <v>2330</v>
      </c>
      <c r="G22" s="42" t="s">
        <v>921</v>
      </c>
      <c r="H22" s="42" t="s">
        <v>817</v>
      </c>
      <c r="I22" s="42" t="s">
        <v>2586</v>
      </c>
      <c r="J22" s="42" t="s">
        <v>2587</v>
      </c>
      <c r="K22" s="42" t="s">
        <v>2588</v>
      </c>
      <c r="L22" s="42" t="s">
        <v>2589</v>
      </c>
    </row>
    <row r="23" spans="1:12" ht="29" customHeight="1" x14ac:dyDescent="0.2">
      <c r="A23" s="50" t="s">
        <v>2402</v>
      </c>
      <c r="B23" s="50" t="s">
        <v>2403</v>
      </c>
      <c r="C23" s="50" t="s">
        <v>2286</v>
      </c>
      <c r="D23" s="50" t="s">
        <v>2286</v>
      </c>
      <c r="E23" s="50" t="s">
        <v>2395</v>
      </c>
      <c r="F23" s="50" t="s">
        <v>2406</v>
      </c>
      <c r="G23" s="50" t="s">
        <v>843</v>
      </c>
      <c r="H23" s="50" t="s">
        <v>843</v>
      </c>
      <c r="I23" s="50" t="s">
        <v>2586</v>
      </c>
      <c r="J23" s="50" t="s">
        <v>2587</v>
      </c>
      <c r="K23" s="50" t="s">
        <v>2588</v>
      </c>
      <c r="L23" s="50" t="s">
        <v>2589</v>
      </c>
    </row>
    <row r="24" spans="1:12" ht="29" customHeight="1" x14ac:dyDescent="0.2">
      <c r="A24" s="42" t="s">
        <v>2407</v>
      </c>
      <c r="B24" s="42" t="s">
        <v>2408</v>
      </c>
      <c r="C24" s="42" t="s">
        <v>2286</v>
      </c>
      <c r="D24" s="42" t="s">
        <v>2286</v>
      </c>
      <c r="E24" s="42" t="s">
        <v>2395</v>
      </c>
      <c r="F24" s="42" t="s">
        <v>1669</v>
      </c>
      <c r="G24" s="42" t="s">
        <v>843</v>
      </c>
      <c r="H24" s="42" t="s">
        <v>817</v>
      </c>
      <c r="I24" s="42" t="s">
        <v>2586</v>
      </c>
      <c r="J24" s="42" t="s">
        <v>2587</v>
      </c>
      <c r="K24" s="42" t="s">
        <v>2588</v>
      </c>
      <c r="L24" s="42" t="s">
        <v>2589</v>
      </c>
    </row>
    <row r="25" spans="1:12" ht="29" customHeight="1" x14ac:dyDescent="0.2">
      <c r="A25" s="50" t="s">
        <v>2411</v>
      </c>
      <c r="B25" s="50" t="s">
        <v>2412</v>
      </c>
      <c r="C25" s="50" t="s">
        <v>2286</v>
      </c>
      <c r="D25" s="50" t="s">
        <v>2286</v>
      </c>
      <c r="E25" s="50" t="s">
        <v>2395</v>
      </c>
      <c r="F25" s="50" t="s">
        <v>2415</v>
      </c>
      <c r="G25" s="50" t="s">
        <v>843</v>
      </c>
      <c r="H25" s="50" t="s">
        <v>817</v>
      </c>
      <c r="I25" s="50" t="s">
        <v>2586</v>
      </c>
      <c r="J25" s="50" t="s">
        <v>2587</v>
      </c>
      <c r="K25" s="50" t="s">
        <v>2588</v>
      </c>
      <c r="L25" s="50" t="s">
        <v>2589</v>
      </c>
    </row>
    <row r="26" spans="1:12" ht="29" customHeight="1" x14ac:dyDescent="0.2">
      <c r="A26" s="42" t="s">
        <v>2416</v>
      </c>
      <c r="B26" s="42" t="s">
        <v>2417</v>
      </c>
      <c r="C26" s="42" t="s">
        <v>2286</v>
      </c>
      <c r="D26" s="42" t="s">
        <v>2286</v>
      </c>
      <c r="E26" s="42" t="s">
        <v>2422</v>
      </c>
      <c r="F26" s="42" t="s">
        <v>2367</v>
      </c>
      <c r="G26" s="42" t="s">
        <v>923</v>
      </c>
      <c r="H26" s="42" t="s">
        <v>843</v>
      </c>
      <c r="I26" s="42" t="s">
        <v>2586</v>
      </c>
      <c r="J26" s="42" t="s">
        <v>2587</v>
      </c>
      <c r="K26" s="42" t="s">
        <v>2588</v>
      </c>
      <c r="L26" s="42" t="s">
        <v>2589</v>
      </c>
    </row>
    <row r="27" spans="1:12" ht="29" customHeight="1" x14ac:dyDescent="0.2">
      <c r="A27" s="50" t="s">
        <v>2424</v>
      </c>
      <c r="B27" s="50" t="s">
        <v>2425</v>
      </c>
      <c r="C27" s="50" t="s">
        <v>1236</v>
      </c>
      <c r="D27" s="50" t="s">
        <v>2286</v>
      </c>
      <c r="E27" s="50" t="s">
        <v>2429</v>
      </c>
      <c r="F27" s="50" t="s">
        <v>2358</v>
      </c>
      <c r="G27" s="50" t="s">
        <v>843</v>
      </c>
      <c r="H27" s="50" t="s">
        <v>843</v>
      </c>
      <c r="I27" s="50" t="s">
        <v>2586</v>
      </c>
      <c r="J27" s="50" t="s">
        <v>2587</v>
      </c>
      <c r="K27" s="50" t="s">
        <v>2590</v>
      </c>
      <c r="L27" s="50" t="s">
        <v>2589</v>
      </c>
    </row>
    <row r="28" spans="1:12" ht="29" customHeight="1" x14ac:dyDescent="0.2">
      <c r="A28" s="42" t="s">
        <v>2430</v>
      </c>
      <c r="B28" s="42" t="s">
        <v>2431</v>
      </c>
      <c r="C28" s="42" t="s">
        <v>2286</v>
      </c>
      <c r="D28" s="42" t="s">
        <v>2286</v>
      </c>
      <c r="E28" s="42" t="s">
        <v>2435</v>
      </c>
      <c r="F28" s="42" t="s">
        <v>2436</v>
      </c>
      <c r="G28" s="42" t="s">
        <v>923</v>
      </c>
      <c r="H28" s="42" t="s">
        <v>843</v>
      </c>
      <c r="I28" s="42" t="s">
        <v>2586</v>
      </c>
      <c r="J28" s="42" t="s">
        <v>2587</v>
      </c>
      <c r="K28" s="42" t="s">
        <v>2588</v>
      </c>
      <c r="L28" s="42" t="s">
        <v>2589</v>
      </c>
    </row>
    <row r="29" spans="1:12" ht="29" customHeight="1" x14ac:dyDescent="0.2">
      <c r="A29" s="50" t="s">
        <v>2437</v>
      </c>
      <c r="B29" s="50" t="s">
        <v>2438</v>
      </c>
      <c r="C29" s="50" t="s">
        <v>2445</v>
      </c>
      <c r="D29" s="50" t="s">
        <v>2286</v>
      </c>
      <c r="E29" s="50" t="s">
        <v>2444</v>
      </c>
      <c r="F29" s="50" t="s">
        <v>2446</v>
      </c>
      <c r="G29" s="50" t="s">
        <v>843</v>
      </c>
      <c r="H29" s="50" t="s">
        <v>843</v>
      </c>
      <c r="I29" s="50" t="s">
        <v>2586</v>
      </c>
      <c r="J29" s="50" t="s">
        <v>2587</v>
      </c>
      <c r="K29" s="50" t="s">
        <v>2588</v>
      </c>
      <c r="L29" s="50" t="s">
        <v>2589</v>
      </c>
    </row>
    <row r="30" spans="1:12" ht="29" customHeight="1" x14ac:dyDescent="0.2">
      <c r="A30" s="42" t="s">
        <v>2448</v>
      </c>
      <c r="B30" s="42" t="s">
        <v>2449</v>
      </c>
      <c r="C30" s="42" t="s">
        <v>2286</v>
      </c>
      <c r="D30" s="42" t="s">
        <v>2286</v>
      </c>
      <c r="E30" s="42" t="s">
        <v>2444</v>
      </c>
      <c r="F30" s="42" t="s">
        <v>2446</v>
      </c>
      <c r="G30" s="42" t="s">
        <v>843</v>
      </c>
      <c r="H30" s="42" t="s">
        <v>843</v>
      </c>
      <c r="I30" s="42" t="s">
        <v>2586</v>
      </c>
      <c r="J30" s="42" t="s">
        <v>2587</v>
      </c>
      <c r="K30" s="42" t="s">
        <v>2588</v>
      </c>
      <c r="L30" s="42" t="s">
        <v>2589</v>
      </c>
    </row>
    <row r="31" spans="1:12" ht="29" customHeight="1" x14ac:dyDescent="0.2">
      <c r="A31" s="50" t="s">
        <v>2453</v>
      </c>
      <c r="B31" s="50" t="s">
        <v>2454</v>
      </c>
      <c r="C31" s="50" t="s">
        <v>2460</v>
      </c>
      <c r="D31" s="50" t="s">
        <v>2286</v>
      </c>
      <c r="E31" s="50" t="s">
        <v>2459</v>
      </c>
      <c r="F31" s="50" t="s">
        <v>2461</v>
      </c>
      <c r="G31" s="50" t="s">
        <v>923</v>
      </c>
      <c r="H31" s="50" t="s">
        <v>817</v>
      </c>
      <c r="I31" s="50" t="s">
        <v>2586</v>
      </c>
      <c r="J31" s="50" t="s">
        <v>2587</v>
      </c>
      <c r="K31" s="50" t="s">
        <v>2588</v>
      </c>
      <c r="L31" s="50" t="s">
        <v>2589</v>
      </c>
    </row>
    <row r="32" spans="1:12" ht="29" customHeight="1" x14ac:dyDescent="0.2">
      <c r="A32" s="42" t="s">
        <v>2463</v>
      </c>
      <c r="B32" s="42" t="s">
        <v>2464</v>
      </c>
      <c r="C32" s="42" t="s">
        <v>2460</v>
      </c>
      <c r="D32" s="42" t="s">
        <v>2286</v>
      </c>
      <c r="E32" s="42" t="s">
        <v>2467</v>
      </c>
      <c r="F32" s="42" t="s">
        <v>1669</v>
      </c>
      <c r="G32" s="42" t="s">
        <v>923</v>
      </c>
      <c r="H32" s="42" t="s">
        <v>817</v>
      </c>
      <c r="I32" s="42" t="s">
        <v>2586</v>
      </c>
      <c r="J32" s="42" t="s">
        <v>2587</v>
      </c>
      <c r="K32" s="42" t="s">
        <v>2588</v>
      </c>
      <c r="L32" s="42" t="s">
        <v>2589</v>
      </c>
    </row>
    <row r="33" spans="1:12" ht="29" customHeight="1" x14ac:dyDescent="0.2">
      <c r="A33" s="50" t="s">
        <v>2468</v>
      </c>
      <c r="B33" s="50" t="s">
        <v>2469</v>
      </c>
      <c r="C33" s="50" t="s">
        <v>2286</v>
      </c>
      <c r="D33" s="50" t="s">
        <v>2286</v>
      </c>
      <c r="E33" s="50" t="s">
        <v>2474</v>
      </c>
      <c r="F33" s="50" t="s">
        <v>2446</v>
      </c>
      <c r="G33" s="50" t="s">
        <v>843</v>
      </c>
      <c r="H33" s="50" t="s">
        <v>843</v>
      </c>
      <c r="I33" s="50" t="s">
        <v>2586</v>
      </c>
      <c r="J33" s="50" t="s">
        <v>2587</v>
      </c>
      <c r="K33" s="50" t="s">
        <v>2588</v>
      </c>
      <c r="L33" s="50" t="s">
        <v>2589</v>
      </c>
    </row>
    <row r="34" spans="1:12" ht="29" customHeight="1" x14ac:dyDescent="0.2">
      <c r="A34" s="42" t="s">
        <v>2475</v>
      </c>
      <c r="B34" s="42" t="s">
        <v>2476</v>
      </c>
      <c r="C34" s="42" t="s">
        <v>2286</v>
      </c>
      <c r="D34" s="42" t="s">
        <v>2286</v>
      </c>
      <c r="E34" s="42" t="s">
        <v>2480</v>
      </c>
      <c r="F34" s="42" t="s">
        <v>2481</v>
      </c>
      <c r="G34" s="42" t="s">
        <v>921</v>
      </c>
      <c r="H34" s="42" t="s">
        <v>817</v>
      </c>
      <c r="I34" s="42" t="s">
        <v>2586</v>
      </c>
      <c r="J34" s="42" t="s">
        <v>2587</v>
      </c>
      <c r="K34" s="42" t="s">
        <v>2588</v>
      </c>
      <c r="L34" s="42" t="s">
        <v>2589</v>
      </c>
    </row>
    <row r="35" spans="1:12" ht="29" customHeight="1" x14ac:dyDescent="0.2">
      <c r="A35" s="50" t="s">
        <v>2483</v>
      </c>
      <c r="B35" s="50" t="s">
        <v>2484</v>
      </c>
      <c r="C35" s="50" t="s">
        <v>2286</v>
      </c>
      <c r="D35" s="50" t="s">
        <v>2286</v>
      </c>
      <c r="E35" s="50" t="s">
        <v>2489</v>
      </c>
      <c r="F35" s="50" t="s">
        <v>2367</v>
      </c>
      <c r="G35" s="50" t="s">
        <v>843</v>
      </c>
      <c r="H35" s="50" t="s">
        <v>843</v>
      </c>
      <c r="I35" s="50" t="s">
        <v>2586</v>
      </c>
      <c r="J35" s="50" t="s">
        <v>2587</v>
      </c>
      <c r="K35" s="50" t="s">
        <v>2588</v>
      </c>
      <c r="L35" s="50" t="s">
        <v>2589</v>
      </c>
    </row>
    <row r="36" spans="1:12" ht="29" customHeight="1" x14ac:dyDescent="0.2">
      <c r="A36" s="42" t="s">
        <v>2490</v>
      </c>
      <c r="B36" s="42" t="s">
        <v>2491</v>
      </c>
      <c r="C36" s="42" t="s">
        <v>2286</v>
      </c>
      <c r="D36" s="42" t="s">
        <v>2286</v>
      </c>
      <c r="E36" s="42" t="s">
        <v>2495</v>
      </c>
      <c r="F36" s="42" t="s">
        <v>2330</v>
      </c>
      <c r="G36" s="42" t="s">
        <v>921</v>
      </c>
      <c r="H36" s="42" t="s">
        <v>817</v>
      </c>
      <c r="I36" s="42" t="s">
        <v>2586</v>
      </c>
      <c r="J36" s="42" t="s">
        <v>2587</v>
      </c>
      <c r="K36" s="42" t="s">
        <v>2588</v>
      </c>
      <c r="L36" s="42" t="s">
        <v>2589</v>
      </c>
    </row>
    <row r="37" spans="1:12" ht="29" customHeight="1" x14ac:dyDescent="0.2">
      <c r="A37" s="50" t="s">
        <v>2497</v>
      </c>
      <c r="B37" s="50" t="s">
        <v>2498</v>
      </c>
      <c r="C37" s="50" t="s">
        <v>2286</v>
      </c>
      <c r="D37" s="50" t="s">
        <v>2286</v>
      </c>
      <c r="E37" s="50" t="s">
        <v>457</v>
      </c>
      <c r="F37" s="50" t="s">
        <v>2330</v>
      </c>
      <c r="G37" s="50" t="s">
        <v>921</v>
      </c>
      <c r="H37" s="50" t="s">
        <v>817</v>
      </c>
      <c r="I37" s="50" t="s">
        <v>2586</v>
      </c>
      <c r="J37" s="50" t="s">
        <v>2587</v>
      </c>
      <c r="K37" s="50" t="s">
        <v>2588</v>
      </c>
      <c r="L37" s="50" t="s">
        <v>2589</v>
      </c>
    </row>
    <row r="38" spans="1:12" ht="29" customHeight="1" x14ac:dyDescent="0.2">
      <c r="A38" s="42" t="s">
        <v>2502</v>
      </c>
      <c r="B38" s="42" t="s">
        <v>2503</v>
      </c>
      <c r="C38" s="42" t="s">
        <v>2286</v>
      </c>
      <c r="D38" s="42" t="s">
        <v>2286</v>
      </c>
      <c r="E38" s="42" t="s">
        <v>457</v>
      </c>
      <c r="F38" s="42" t="s">
        <v>2330</v>
      </c>
      <c r="G38" s="42" t="s">
        <v>921</v>
      </c>
      <c r="H38" s="42" t="s">
        <v>817</v>
      </c>
      <c r="I38" s="42" t="s">
        <v>2586</v>
      </c>
      <c r="J38" s="42" t="s">
        <v>2587</v>
      </c>
      <c r="K38" s="42" t="s">
        <v>2588</v>
      </c>
      <c r="L38" s="42" t="s">
        <v>2589</v>
      </c>
    </row>
  </sheetData>
  <mergeCells count="2">
    <mergeCell ref="A2:L2"/>
    <mergeCell ref="A1:L1"/>
  </mergeCells>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H38"/>
  <sheetViews>
    <sheetView showGridLines="0" rightToLeft="1" workbookViewId="0">
      <pane xSplit="2" ySplit="3" topLeftCell="C4" activePane="bottomRight" state="frozen"/>
      <selection pane="topRight"/>
      <selection pane="bottomLeft"/>
      <selection pane="bottomRight"/>
    </sheetView>
  </sheetViews>
  <sheetFormatPr baseColWidth="10" defaultColWidth="8.83203125" defaultRowHeight="15" x14ac:dyDescent="0.2"/>
  <cols>
    <col min="1" max="1" width="42" customWidth="1"/>
    <col min="2" max="2" width="38.1640625" customWidth="1"/>
    <col min="3" max="3" width="12.5" customWidth="1"/>
    <col min="4" max="4" width="10" customWidth="1"/>
    <col min="5" max="5" width="20.1640625" customWidth="1"/>
    <col min="6" max="6" width="10.6640625" customWidth="1"/>
    <col min="7" max="7" width="30.5" customWidth="1"/>
    <col min="8" max="8" width="14.33203125" customWidth="1"/>
  </cols>
  <sheetData>
    <row r="1" spans="1:8" ht="34" customHeight="1" x14ac:dyDescent="0.2">
      <c r="A1" s="79" t="s">
        <v>2249</v>
      </c>
      <c r="B1" s="76"/>
      <c r="C1" s="76"/>
      <c r="D1" s="76"/>
      <c r="E1" s="76"/>
      <c r="F1" s="76"/>
      <c r="G1" s="76"/>
      <c r="H1" s="76"/>
    </row>
    <row r="2" spans="1:8" ht="28" customHeight="1" x14ac:dyDescent="0.2">
      <c r="A2" s="86" t="s">
        <v>2591</v>
      </c>
      <c r="B2" s="76"/>
      <c r="C2" s="76"/>
      <c r="D2" s="76"/>
      <c r="E2" s="76"/>
      <c r="F2" s="76"/>
      <c r="G2" s="76"/>
      <c r="H2" s="76"/>
    </row>
    <row r="3" spans="1:8" ht="30" customHeight="1" x14ac:dyDescent="0.2">
      <c r="A3" s="48" t="s">
        <v>617</v>
      </c>
      <c r="B3" s="48" t="s">
        <v>2529</v>
      </c>
      <c r="C3" s="48" t="s">
        <v>805</v>
      </c>
      <c r="D3" s="48" t="s">
        <v>2592</v>
      </c>
      <c r="E3" s="48" t="s">
        <v>2593</v>
      </c>
      <c r="F3" s="48" t="s">
        <v>2513</v>
      </c>
      <c r="G3" s="48" t="s">
        <v>2594</v>
      </c>
      <c r="H3" s="48" t="s">
        <v>2595</v>
      </c>
    </row>
    <row r="4" spans="1:8" ht="20" customHeight="1" x14ac:dyDescent="0.2">
      <c r="A4" s="42" t="s">
        <v>2262</v>
      </c>
      <c r="B4" s="42" t="s">
        <v>2263</v>
      </c>
      <c r="C4" s="42">
        <v>30</v>
      </c>
      <c r="D4" s="42">
        <v>30</v>
      </c>
      <c r="E4" s="42">
        <f t="shared" ref="E4:E38" si="0">C4/D4</f>
        <v>1</v>
      </c>
      <c r="F4" s="42">
        <v>28</v>
      </c>
      <c r="G4" s="42">
        <f t="shared" ref="G4:G38" si="1">IF(F4&gt;0,MIN(C4,F4)/F4,0)</f>
        <v>1</v>
      </c>
      <c r="H4" s="42" t="s">
        <v>843</v>
      </c>
    </row>
    <row r="5" spans="1:8" ht="20" customHeight="1" x14ac:dyDescent="0.2">
      <c r="A5" s="50" t="s">
        <v>894</v>
      </c>
      <c r="B5" s="50" t="s">
        <v>760</v>
      </c>
      <c r="C5" s="50">
        <v>30</v>
      </c>
      <c r="D5" s="50">
        <v>30</v>
      </c>
      <c r="E5" s="50">
        <f t="shared" si="0"/>
        <v>1</v>
      </c>
      <c r="F5" s="50">
        <v>28</v>
      </c>
      <c r="G5" s="50">
        <f t="shared" si="1"/>
        <v>1</v>
      </c>
      <c r="H5" s="50" t="s">
        <v>843</v>
      </c>
    </row>
    <row r="6" spans="1:8" ht="20" customHeight="1" x14ac:dyDescent="0.2">
      <c r="A6" s="42" t="s">
        <v>2281</v>
      </c>
      <c r="B6" s="42" t="s">
        <v>2282</v>
      </c>
      <c r="C6" s="42">
        <v>30</v>
      </c>
      <c r="D6" s="42">
        <v>30</v>
      </c>
      <c r="E6" s="42">
        <f t="shared" si="0"/>
        <v>1</v>
      </c>
      <c r="F6" s="42">
        <v>28</v>
      </c>
      <c r="G6" s="42">
        <f t="shared" si="1"/>
        <v>1</v>
      </c>
      <c r="H6" s="42" t="s">
        <v>843</v>
      </c>
    </row>
    <row r="7" spans="1:8" ht="20" customHeight="1" x14ac:dyDescent="0.2">
      <c r="A7" s="50" t="s">
        <v>2288</v>
      </c>
      <c r="B7" s="50" t="s">
        <v>2289</v>
      </c>
      <c r="C7" s="50">
        <v>30</v>
      </c>
      <c r="D7" s="50">
        <v>30</v>
      </c>
      <c r="E7" s="50">
        <f t="shared" si="0"/>
        <v>1</v>
      </c>
      <c r="F7" s="50">
        <v>28</v>
      </c>
      <c r="G7" s="50">
        <f t="shared" si="1"/>
        <v>1</v>
      </c>
      <c r="H7" s="50" t="s">
        <v>843</v>
      </c>
    </row>
    <row r="8" spans="1:8" ht="20" customHeight="1" x14ac:dyDescent="0.2">
      <c r="A8" s="42" t="s">
        <v>2297</v>
      </c>
      <c r="B8" s="42" t="s">
        <v>2298</v>
      </c>
      <c r="C8" s="42">
        <v>30</v>
      </c>
      <c r="D8" s="42">
        <v>30</v>
      </c>
      <c r="E8" s="42">
        <f t="shared" si="0"/>
        <v>1</v>
      </c>
      <c r="F8" s="42">
        <v>28</v>
      </c>
      <c r="G8" s="42">
        <f t="shared" si="1"/>
        <v>1</v>
      </c>
      <c r="H8" s="42" t="s">
        <v>843</v>
      </c>
    </row>
    <row r="9" spans="1:8" ht="29" customHeight="1" x14ac:dyDescent="0.2">
      <c r="A9" s="50" t="s">
        <v>2304</v>
      </c>
      <c r="B9" s="50" t="s">
        <v>2305</v>
      </c>
      <c r="C9" s="50">
        <v>30</v>
      </c>
      <c r="D9" s="50">
        <v>30</v>
      </c>
      <c r="E9" s="50">
        <f t="shared" si="0"/>
        <v>1</v>
      </c>
      <c r="F9" s="50">
        <v>28</v>
      </c>
      <c r="G9" s="50">
        <f t="shared" si="1"/>
        <v>1</v>
      </c>
      <c r="H9" s="50" t="s">
        <v>923</v>
      </c>
    </row>
    <row r="10" spans="1:8" ht="29" customHeight="1" x14ac:dyDescent="0.2">
      <c r="A10" s="42" t="s">
        <v>2312</v>
      </c>
      <c r="B10" s="42" t="s">
        <v>2313</v>
      </c>
      <c r="C10" s="42">
        <v>6</v>
      </c>
      <c r="D10" s="42">
        <v>30</v>
      </c>
      <c r="E10" s="42">
        <f t="shared" si="0"/>
        <v>0.2</v>
      </c>
      <c r="F10" s="42">
        <v>28</v>
      </c>
      <c r="G10" s="42">
        <f t="shared" si="1"/>
        <v>0.21428571428571427</v>
      </c>
      <c r="H10" s="42" t="s">
        <v>921</v>
      </c>
    </row>
    <row r="11" spans="1:8" ht="20" customHeight="1" x14ac:dyDescent="0.2">
      <c r="A11" s="50" t="s">
        <v>2322</v>
      </c>
      <c r="B11" s="50" t="s">
        <v>2323</v>
      </c>
      <c r="C11" s="50">
        <v>28</v>
      </c>
      <c r="D11" s="50">
        <v>30</v>
      </c>
      <c r="E11" s="50">
        <f t="shared" si="0"/>
        <v>0.93333333333333335</v>
      </c>
      <c r="F11" s="50">
        <v>28</v>
      </c>
      <c r="G11" s="50">
        <f t="shared" si="1"/>
        <v>1</v>
      </c>
      <c r="H11" s="50" t="s">
        <v>923</v>
      </c>
    </row>
    <row r="12" spans="1:8" ht="20" customHeight="1" x14ac:dyDescent="0.2">
      <c r="A12" s="42" t="s">
        <v>2332</v>
      </c>
      <c r="B12" s="42" t="s">
        <v>2333</v>
      </c>
      <c r="C12" s="42">
        <v>28</v>
      </c>
      <c r="D12" s="42">
        <v>30</v>
      </c>
      <c r="E12" s="42">
        <f t="shared" si="0"/>
        <v>0.93333333333333335</v>
      </c>
      <c r="F12" s="42">
        <v>28</v>
      </c>
      <c r="G12" s="42">
        <f t="shared" si="1"/>
        <v>1</v>
      </c>
      <c r="H12" s="42" t="s">
        <v>923</v>
      </c>
    </row>
    <row r="13" spans="1:8" ht="20" customHeight="1" x14ac:dyDescent="0.2">
      <c r="A13" s="50" t="s">
        <v>2337</v>
      </c>
      <c r="B13" s="50" t="s">
        <v>2338</v>
      </c>
      <c r="C13" s="50">
        <v>28</v>
      </c>
      <c r="D13" s="50">
        <v>30</v>
      </c>
      <c r="E13" s="50">
        <f t="shared" si="0"/>
        <v>0.93333333333333335</v>
      </c>
      <c r="F13" s="50">
        <v>28</v>
      </c>
      <c r="G13" s="50">
        <f t="shared" si="1"/>
        <v>1</v>
      </c>
      <c r="H13" s="50" t="s">
        <v>923</v>
      </c>
    </row>
    <row r="14" spans="1:8" ht="20" customHeight="1" x14ac:dyDescent="0.2">
      <c r="A14" s="42" t="s">
        <v>2343</v>
      </c>
      <c r="B14" s="42" t="s">
        <v>2344</v>
      </c>
      <c r="C14" s="42">
        <v>28</v>
      </c>
      <c r="D14" s="42">
        <v>30</v>
      </c>
      <c r="E14" s="42">
        <f t="shared" si="0"/>
        <v>0.93333333333333335</v>
      </c>
      <c r="F14" s="42">
        <v>28</v>
      </c>
      <c r="G14" s="42">
        <f t="shared" si="1"/>
        <v>1</v>
      </c>
      <c r="H14" s="42" t="s">
        <v>921</v>
      </c>
    </row>
    <row r="15" spans="1:8" ht="20" customHeight="1" x14ac:dyDescent="0.2">
      <c r="A15" s="50" t="s">
        <v>2348</v>
      </c>
      <c r="B15" s="50" t="s">
        <v>2349</v>
      </c>
      <c r="C15" s="50">
        <v>28</v>
      </c>
      <c r="D15" s="50">
        <v>30</v>
      </c>
      <c r="E15" s="50">
        <f t="shared" si="0"/>
        <v>0.93333333333333335</v>
      </c>
      <c r="F15" s="50">
        <v>28</v>
      </c>
      <c r="G15" s="50">
        <f t="shared" si="1"/>
        <v>1</v>
      </c>
      <c r="H15" s="50" t="s">
        <v>921</v>
      </c>
    </row>
    <row r="16" spans="1:8" ht="20" customHeight="1" x14ac:dyDescent="0.2">
      <c r="A16" s="42" t="s">
        <v>2353</v>
      </c>
      <c r="B16" s="42" t="s">
        <v>2354</v>
      </c>
      <c r="C16" s="42">
        <v>0</v>
      </c>
      <c r="D16" s="42">
        <v>30</v>
      </c>
      <c r="E16" s="42">
        <f t="shared" si="0"/>
        <v>0</v>
      </c>
      <c r="F16" s="42">
        <v>0</v>
      </c>
      <c r="G16" s="42">
        <f t="shared" si="1"/>
        <v>0</v>
      </c>
      <c r="H16" s="42" t="s">
        <v>921</v>
      </c>
    </row>
    <row r="17" spans="1:8" ht="20" customHeight="1" x14ac:dyDescent="0.2">
      <c r="A17" s="50" t="s">
        <v>2361</v>
      </c>
      <c r="B17" s="50" t="s">
        <v>2362</v>
      </c>
      <c r="C17" s="50">
        <v>5</v>
      </c>
      <c r="D17" s="50">
        <v>30</v>
      </c>
      <c r="E17" s="50">
        <f t="shared" si="0"/>
        <v>0.16666666666666666</v>
      </c>
      <c r="F17" s="50">
        <v>28</v>
      </c>
      <c r="G17" s="50">
        <f t="shared" si="1"/>
        <v>0.17857142857142858</v>
      </c>
      <c r="H17" s="50" t="s">
        <v>921</v>
      </c>
    </row>
    <row r="18" spans="1:8" ht="20" customHeight="1" x14ac:dyDescent="0.2">
      <c r="A18" s="42" t="s">
        <v>2368</v>
      </c>
      <c r="B18" s="42" t="s">
        <v>2369</v>
      </c>
      <c r="C18" s="42">
        <v>27</v>
      </c>
      <c r="D18" s="42">
        <v>30</v>
      </c>
      <c r="E18" s="42">
        <f t="shared" si="0"/>
        <v>0.9</v>
      </c>
      <c r="F18" s="42">
        <v>28</v>
      </c>
      <c r="G18" s="42">
        <f t="shared" si="1"/>
        <v>0.9642857142857143</v>
      </c>
      <c r="H18" s="42" t="s">
        <v>921</v>
      </c>
    </row>
    <row r="19" spans="1:8" ht="20" customHeight="1" x14ac:dyDescent="0.2">
      <c r="A19" s="50" t="s">
        <v>2376</v>
      </c>
      <c r="B19" s="50" t="s">
        <v>2377</v>
      </c>
      <c r="C19" s="50">
        <v>20</v>
      </c>
      <c r="D19" s="50">
        <v>30</v>
      </c>
      <c r="E19" s="50">
        <f t="shared" si="0"/>
        <v>0.66666666666666663</v>
      </c>
      <c r="F19" s="50">
        <v>28</v>
      </c>
      <c r="G19" s="50">
        <f t="shared" si="1"/>
        <v>0.7142857142857143</v>
      </c>
      <c r="H19" s="50" t="s">
        <v>923</v>
      </c>
    </row>
    <row r="20" spans="1:8" ht="29" customHeight="1" x14ac:dyDescent="0.2">
      <c r="A20" s="42" t="s">
        <v>2384</v>
      </c>
      <c r="B20" s="42" t="s">
        <v>2385</v>
      </c>
      <c r="C20" s="42">
        <v>5</v>
      </c>
      <c r="D20" s="42">
        <v>30</v>
      </c>
      <c r="E20" s="42">
        <f t="shared" si="0"/>
        <v>0.16666666666666666</v>
      </c>
      <c r="F20" s="42">
        <v>28</v>
      </c>
      <c r="G20" s="42">
        <f t="shared" si="1"/>
        <v>0.17857142857142858</v>
      </c>
      <c r="H20" s="42" t="s">
        <v>923</v>
      </c>
    </row>
    <row r="21" spans="1:8" ht="20" customHeight="1" x14ac:dyDescent="0.2">
      <c r="A21" s="50" t="s">
        <v>2391</v>
      </c>
      <c r="B21" s="50" t="s">
        <v>2392</v>
      </c>
      <c r="C21" s="50">
        <v>28</v>
      </c>
      <c r="D21" s="50">
        <v>30</v>
      </c>
      <c r="E21" s="50">
        <f t="shared" si="0"/>
        <v>0.93333333333333335</v>
      </c>
      <c r="F21" s="50">
        <v>28</v>
      </c>
      <c r="G21" s="50">
        <f t="shared" si="1"/>
        <v>1</v>
      </c>
      <c r="H21" s="50" t="s">
        <v>923</v>
      </c>
    </row>
    <row r="22" spans="1:8" ht="20" customHeight="1" x14ac:dyDescent="0.2">
      <c r="A22" s="42" t="s">
        <v>2397</v>
      </c>
      <c r="B22" s="42" t="s">
        <v>2398</v>
      </c>
      <c r="C22" s="42">
        <v>28</v>
      </c>
      <c r="D22" s="42">
        <v>30</v>
      </c>
      <c r="E22" s="42">
        <f t="shared" si="0"/>
        <v>0.93333333333333335</v>
      </c>
      <c r="F22" s="42">
        <v>28</v>
      </c>
      <c r="G22" s="42">
        <f t="shared" si="1"/>
        <v>1</v>
      </c>
      <c r="H22" s="42" t="s">
        <v>921</v>
      </c>
    </row>
    <row r="23" spans="1:8" ht="20" customHeight="1" x14ac:dyDescent="0.2">
      <c r="A23" s="50" t="s">
        <v>2402</v>
      </c>
      <c r="B23" s="50" t="s">
        <v>2403</v>
      </c>
      <c r="C23" s="50">
        <v>4</v>
      </c>
      <c r="D23" s="50">
        <v>30</v>
      </c>
      <c r="E23" s="50">
        <f t="shared" si="0"/>
        <v>0.13333333333333333</v>
      </c>
      <c r="F23" s="50">
        <v>28</v>
      </c>
      <c r="G23" s="50">
        <f t="shared" si="1"/>
        <v>0.14285714285714285</v>
      </c>
      <c r="H23" s="50" t="s">
        <v>921</v>
      </c>
    </row>
    <row r="24" spans="1:8" ht="20" customHeight="1" x14ac:dyDescent="0.2">
      <c r="A24" s="42" t="s">
        <v>2407</v>
      </c>
      <c r="B24" s="42" t="s">
        <v>2408</v>
      </c>
      <c r="C24" s="42">
        <v>10</v>
      </c>
      <c r="D24" s="42">
        <v>30</v>
      </c>
      <c r="E24" s="42">
        <f t="shared" si="0"/>
        <v>0.33333333333333331</v>
      </c>
      <c r="F24" s="42">
        <v>28</v>
      </c>
      <c r="G24" s="42">
        <f t="shared" si="1"/>
        <v>0.35714285714285715</v>
      </c>
      <c r="H24" s="42" t="s">
        <v>921</v>
      </c>
    </row>
    <row r="25" spans="1:8" ht="20" customHeight="1" x14ac:dyDescent="0.2">
      <c r="A25" s="50" t="s">
        <v>2411</v>
      </c>
      <c r="B25" s="50" t="s">
        <v>2412</v>
      </c>
      <c r="C25" s="50">
        <v>9</v>
      </c>
      <c r="D25" s="50">
        <v>30</v>
      </c>
      <c r="E25" s="50">
        <f t="shared" si="0"/>
        <v>0.3</v>
      </c>
      <c r="F25" s="50">
        <v>28</v>
      </c>
      <c r="G25" s="50">
        <f t="shared" si="1"/>
        <v>0.32142857142857145</v>
      </c>
      <c r="H25" s="50" t="s">
        <v>921</v>
      </c>
    </row>
    <row r="26" spans="1:8" ht="20" customHeight="1" x14ac:dyDescent="0.2">
      <c r="A26" s="42" t="s">
        <v>2416</v>
      </c>
      <c r="B26" s="42" t="s">
        <v>2417</v>
      </c>
      <c r="C26" s="42">
        <v>5</v>
      </c>
      <c r="D26" s="42">
        <v>30</v>
      </c>
      <c r="E26" s="42">
        <f t="shared" si="0"/>
        <v>0.16666666666666666</v>
      </c>
      <c r="F26" s="42">
        <v>28</v>
      </c>
      <c r="G26" s="42">
        <f t="shared" si="1"/>
        <v>0.17857142857142858</v>
      </c>
      <c r="H26" s="42" t="s">
        <v>921</v>
      </c>
    </row>
    <row r="27" spans="1:8" ht="20" customHeight="1" x14ac:dyDescent="0.2">
      <c r="A27" s="50" t="s">
        <v>2424</v>
      </c>
      <c r="B27" s="50" t="s">
        <v>2425</v>
      </c>
      <c r="C27" s="50">
        <v>0</v>
      </c>
      <c r="D27" s="50">
        <v>30</v>
      </c>
      <c r="E27" s="50">
        <f t="shared" si="0"/>
        <v>0</v>
      </c>
      <c r="F27" s="50">
        <v>0</v>
      </c>
      <c r="G27" s="50">
        <f t="shared" si="1"/>
        <v>0</v>
      </c>
      <c r="H27" s="50" t="s">
        <v>921</v>
      </c>
    </row>
    <row r="28" spans="1:8" ht="29" customHeight="1" x14ac:dyDescent="0.2">
      <c r="A28" s="42" t="s">
        <v>2430</v>
      </c>
      <c r="B28" s="42" t="s">
        <v>2431</v>
      </c>
      <c r="C28" s="42">
        <v>3</v>
      </c>
      <c r="D28" s="42">
        <v>30</v>
      </c>
      <c r="E28" s="42">
        <f t="shared" si="0"/>
        <v>0.1</v>
      </c>
      <c r="F28" s="42">
        <v>28</v>
      </c>
      <c r="G28" s="42">
        <f t="shared" si="1"/>
        <v>0.10714285714285714</v>
      </c>
      <c r="H28" s="42" t="s">
        <v>921</v>
      </c>
    </row>
    <row r="29" spans="1:8" ht="20" customHeight="1" x14ac:dyDescent="0.2">
      <c r="A29" s="50" t="s">
        <v>2437</v>
      </c>
      <c r="B29" s="50" t="s">
        <v>2438</v>
      </c>
      <c r="C29" s="50">
        <v>1</v>
      </c>
      <c r="D29" s="50">
        <v>30</v>
      </c>
      <c r="E29" s="50">
        <f t="shared" si="0"/>
        <v>3.3333333333333333E-2</v>
      </c>
      <c r="F29" s="50">
        <v>28</v>
      </c>
      <c r="G29" s="50">
        <f t="shared" si="1"/>
        <v>3.5714285714285712E-2</v>
      </c>
      <c r="H29" s="50" t="s">
        <v>921</v>
      </c>
    </row>
    <row r="30" spans="1:8" ht="20" customHeight="1" x14ac:dyDescent="0.2">
      <c r="A30" s="42" t="s">
        <v>2448</v>
      </c>
      <c r="B30" s="42" t="s">
        <v>2449</v>
      </c>
      <c r="C30" s="42">
        <v>1</v>
      </c>
      <c r="D30" s="42">
        <v>30</v>
      </c>
      <c r="E30" s="42">
        <f t="shared" si="0"/>
        <v>3.3333333333333333E-2</v>
      </c>
      <c r="F30" s="42">
        <v>28</v>
      </c>
      <c r="G30" s="42">
        <f t="shared" si="1"/>
        <v>3.5714285714285712E-2</v>
      </c>
      <c r="H30" s="42" t="s">
        <v>921</v>
      </c>
    </row>
    <row r="31" spans="1:8" ht="20" customHeight="1" x14ac:dyDescent="0.2">
      <c r="A31" s="50" t="s">
        <v>2453</v>
      </c>
      <c r="B31" s="50" t="s">
        <v>2454</v>
      </c>
      <c r="C31" s="50">
        <v>23</v>
      </c>
      <c r="D31" s="50">
        <v>30</v>
      </c>
      <c r="E31" s="50">
        <f t="shared" si="0"/>
        <v>0.76666666666666672</v>
      </c>
      <c r="F31" s="50">
        <v>28</v>
      </c>
      <c r="G31" s="50">
        <f t="shared" si="1"/>
        <v>0.8214285714285714</v>
      </c>
      <c r="H31" s="50" t="s">
        <v>923</v>
      </c>
    </row>
    <row r="32" spans="1:8" ht="20" customHeight="1" x14ac:dyDescent="0.2">
      <c r="A32" s="42" t="s">
        <v>2463</v>
      </c>
      <c r="B32" s="42" t="s">
        <v>2464</v>
      </c>
      <c r="C32" s="42">
        <v>10</v>
      </c>
      <c r="D32" s="42">
        <v>30</v>
      </c>
      <c r="E32" s="42">
        <f t="shared" si="0"/>
        <v>0.33333333333333331</v>
      </c>
      <c r="F32" s="42">
        <v>28</v>
      </c>
      <c r="G32" s="42">
        <f t="shared" si="1"/>
        <v>0.35714285714285715</v>
      </c>
      <c r="H32" s="42" t="s">
        <v>923</v>
      </c>
    </row>
    <row r="33" spans="1:8" ht="20" customHeight="1" x14ac:dyDescent="0.2">
      <c r="A33" s="50" t="s">
        <v>2468</v>
      </c>
      <c r="B33" s="50" t="s">
        <v>2469</v>
      </c>
      <c r="C33" s="50">
        <v>1</v>
      </c>
      <c r="D33" s="50">
        <v>30</v>
      </c>
      <c r="E33" s="50">
        <f t="shared" si="0"/>
        <v>3.3333333333333333E-2</v>
      </c>
      <c r="F33" s="50">
        <v>28</v>
      </c>
      <c r="G33" s="50">
        <f t="shared" si="1"/>
        <v>3.5714285714285712E-2</v>
      </c>
      <c r="H33" s="50" t="s">
        <v>921</v>
      </c>
    </row>
    <row r="34" spans="1:8" ht="20" customHeight="1" x14ac:dyDescent="0.2">
      <c r="A34" s="42" t="s">
        <v>2475</v>
      </c>
      <c r="B34" s="42" t="s">
        <v>2476</v>
      </c>
      <c r="C34" s="42">
        <v>26</v>
      </c>
      <c r="D34" s="42">
        <v>30</v>
      </c>
      <c r="E34" s="42">
        <f t="shared" si="0"/>
        <v>0.8666666666666667</v>
      </c>
      <c r="F34" s="42">
        <v>28</v>
      </c>
      <c r="G34" s="42">
        <f t="shared" si="1"/>
        <v>0.9285714285714286</v>
      </c>
      <c r="H34" s="42" t="s">
        <v>843</v>
      </c>
    </row>
    <row r="35" spans="1:8" ht="20" customHeight="1" x14ac:dyDescent="0.2">
      <c r="A35" s="50" t="s">
        <v>2483</v>
      </c>
      <c r="B35" s="50" t="s">
        <v>2484</v>
      </c>
      <c r="C35" s="50">
        <v>5</v>
      </c>
      <c r="D35" s="50">
        <v>30</v>
      </c>
      <c r="E35" s="50">
        <f t="shared" si="0"/>
        <v>0.16666666666666666</v>
      </c>
      <c r="F35" s="50">
        <v>28</v>
      </c>
      <c r="G35" s="50">
        <f t="shared" si="1"/>
        <v>0.17857142857142858</v>
      </c>
      <c r="H35" s="50" t="s">
        <v>921</v>
      </c>
    </row>
    <row r="36" spans="1:8" ht="20" customHeight="1" x14ac:dyDescent="0.2">
      <c r="A36" s="42" t="s">
        <v>2490</v>
      </c>
      <c r="B36" s="42" t="s">
        <v>2491</v>
      </c>
      <c r="C36" s="42">
        <v>28</v>
      </c>
      <c r="D36" s="42">
        <v>30</v>
      </c>
      <c r="E36" s="42">
        <f t="shared" si="0"/>
        <v>0.93333333333333335</v>
      </c>
      <c r="F36" s="42">
        <v>28</v>
      </c>
      <c r="G36" s="42">
        <f t="shared" si="1"/>
        <v>1</v>
      </c>
      <c r="H36" s="42" t="s">
        <v>843</v>
      </c>
    </row>
    <row r="37" spans="1:8" ht="20" customHeight="1" x14ac:dyDescent="0.2">
      <c r="A37" s="50" t="s">
        <v>2497</v>
      </c>
      <c r="B37" s="50" t="s">
        <v>2498</v>
      </c>
      <c r="C37" s="50">
        <v>28</v>
      </c>
      <c r="D37" s="50">
        <v>30</v>
      </c>
      <c r="E37" s="50">
        <f t="shared" si="0"/>
        <v>0.93333333333333335</v>
      </c>
      <c r="F37" s="50">
        <v>28</v>
      </c>
      <c r="G37" s="50">
        <f t="shared" si="1"/>
        <v>1</v>
      </c>
      <c r="H37" s="50" t="s">
        <v>843</v>
      </c>
    </row>
    <row r="38" spans="1:8" ht="20" customHeight="1" x14ac:dyDescent="0.2">
      <c r="A38" s="42" t="s">
        <v>2502</v>
      </c>
      <c r="B38" s="42" t="s">
        <v>2503</v>
      </c>
      <c r="C38" s="42">
        <v>28</v>
      </c>
      <c r="D38" s="42">
        <v>30</v>
      </c>
      <c r="E38" s="42">
        <f t="shared" si="0"/>
        <v>0.93333333333333335</v>
      </c>
      <c r="F38" s="42">
        <v>28</v>
      </c>
      <c r="G38" s="42">
        <f t="shared" si="1"/>
        <v>1</v>
      </c>
      <c r="H38" s="42" t="s">
        <v>843</v>
      </c>
    </row>
  </sheetData>
  <mergeCells count="2">
    <mergeCell ref="A2:H2"/>
    <mergeCell ref="A1:H1"/>
  </mergeCells>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E38"/>
  <sheetViews>
    <sheetView showGridLines="0" rightToLeft="1" workbookViewId="0">
      <pane xSplit="2" ySplit="3" topLeftCell="C4" activePane="bottomRight" state="frozen"/>
      <selection pane="topRight"/>
      <selection pane="bottomLeft"/>
      <selection pane="bottomRight"/>
    </sheetView>
  </sheetViews>
  <sheetFormatPr baseColWidth="10" defaultColWidth="8.83203125" defaultRowHeight="15" x14ac:dyDescent="0.2"/>
  <cols>
    <col min="1" max="1" width="42" customWidth="1"/>
    <col min="2" max="2" width="38.1640625" customWidth="1"/>
    <col min="3" max="3" width="23.83203125" customWidth="1"/>
    <col min="4" max="4" width="23" customWidth="1"/>
    <col min="5" max="5" width="41" customWidth="1"/>
  </cols>
  <sheetData>
    <row r="1" spans="1:5" ht="34" customHeight="1" x14ac:dyDescent="0.2">
      <c r="A1" s="79" t="s">
        <v>2596</v>
      </c>
      <c r="B1" s="76"/>
      <c r="C1" s="76"/>
      <c r="D1" s="76"/>
      <c r="E1" s="76"/>
    </row>
    <row r="2" spans="1:5" ht="28" customHeight="1" x14ac:dyDescent="0.2">
      <c r="A2" s="86" t="s">
        <v>2597</v>
      </c>
      <c r="B2" s="76"/>
      <c r="C2" s="76"/>
      <c r="D2" s="76"/>
      <c r="E2" s="76"/>
    </row>
    <row r="3" spans="1:5" ht="30" customHeight="1" x14ac:dyDescent="0.2">
      <c r="A3" s="48" t="s">
        <v>617</v>
      </c>
      <c r="B3" s="48" t="s">
        <v>2529</v>
      </c>
      <c r="C3" s="48" t="s">
        <v>922</v>
      </c>
      <c r="D3" s="48" t="s">
        <v>2598</v>
      </c>
      <c r="E3" s="48" t="s">
        <v>107</v>
      </c>
    </row>
    <row r="4" spans="1:5" ht="20" customHeight="1" x14ac:dyDescent="0.2">
      <c r="A4" s="42" t="s">
        <v>2262</v>
      </c>
      <c r="B4" s="42" t="s">
        <v>2263</v>
      </c>
      <c r="C4" s="42" t="s">
        <v>921</v>
      </c>
      <c r="D4" s="42" t="s">
        <v>921</v>
      </c>
      <c r="E4" s="42" t="s">
        <v>2599</v>
      </c>
    </row>
    <row r="5" spans="1:5" ht="20" customHeight="1" x14ac:dyDescent="0.2">
      <c r="A5" s="50" t="s">
        <v>894</v>
      </c>
      <c r="B5" s="50" t="s">
        <v>760</v>
      </c>
      <c r="C5" s="50" t="s">
        <v>923</v>
      </c>
      <c r="D5" s="50" t="s">
        <v>921</v>
      </c>
      <c r="E5" s="50" t="s">
        <v>2599</v>
      </c>
    </row>
    <row r="6" spans="1:5" ht="20" customHeight="1" x14ac:dyDescent="0.2">
      <c r="A6" s="42" t="s">
        <v>2281</v>
      </c>
      <c r="B6" s="42" t="s">
        <v>2282</v>
      </c>
      <c r="C6" s="42" t="s">
        <v>923</v>
      </c>
      <c r="D6" s="42" t="s">
        <v>921</v>
      </c>
      <c r="E6" s="42" t="s">
        <v>2599</v>
      </c>
    </row>
    <row r="7" spans="1:5" ht="20" customHeight="1" x14ac:dyDescent="0.2">
      <c r="A7" s="50" t="s">
        <v>2288</v>
      </c>
      <c r="B7" s="50" t="s">
        <v>2289</v>
      </c>
      <c r="C7" s="50" t="s">
        <v>921</v>
      </c>
      <c r="D7" s="50" t="s">
        <v>921</v>
      </c>
      <c r="E7" s="50" t="s">
        <v>2599</v>
      </c>
    </row>
    <row r="8" spans="1:5" ht="20" customHeight="1" x14ac:dyDescent="0.2">
      <c r="A8" s="42" t="s">
        <v>2297</v>
      </c>
      <c r="B8" s="42" t="s">
        <v>2298</v>
      </c>
      <c r="C8" s="42" t="s">
        <v>921</v>
      </c>
      <c r="D8" s="42" t="s">
        <v>921</v>
      </c>
      <c r="E8" s="42" t="s">
        <v>2599</v>
      </c>
    </row>
    <row r="9" spans="1:5" ht="29" customHeight="1" x14ac:dyDescent="0.2">
      <c r="A9" s="50" t="s">
        <v>2304</v>
      </c>
      <c r="B9" s="50" t="s">
        <v>2305</v>
      </c>
      <c r="C9" s="50" t="s">
        <v>923</v>
      </c>
      <c r="D9" s="50" t="s">
        <v>921</v>
      </c>
      <c r="E9" s="50" t="s">
        <v>2599</v>
      </c>
    </row>
    <row r="10" spans="1:5" ht="29" customHeight="1" x14ac:dyDescent="0.2">
      <c r="A10" s="42" t="s">
        <v>2312</v>
      </c>
      <c r="B10" s="42" t="s">
        <v>2313</v>
      </c>
      <c r="C10" s="42" t="s">
        <v>923</v>
      </c>
      <c r="D10" s="42" t="s">
        <v>921</v>
      </c>
      <c r="E10" s="42" t="s">
        <v>2599</v>
      </c>
    </row>
    <row r="11" spans="1:5" ht="20" customHeight="1" x14ac:dyDescent="0.2">
      <c r="A11" s="50" t="s">
        <v>2322</v>
      </c>
      <c r="B11" s="50" t="s">
        <v>2323</v>
      </c>
      <c r="C11" s="50" t="s">
        <v>923</v>
      </c>
      <c r="D11" s="50" t="s">
        <v>921</v>
      </c>
      <c r="E11" s="50" t="s">
        <v>2599</v>
      </c>
    </row>
    <row r="12" spans="1:5" ht="20" customHeight="1" x14ac:dyDescent="0.2">
      <c r="A12" s="42" t="s">
        <v>2332</v>
      </c>
      <c r="B12" s="42" t="s">
        <v>2333</v>
      </c>
      <c r="C12" s="42" t="s">
        <v>923</v>
      </c>
      <c r="D12" s="42" t="s">
        <v>921</v>
      </c>
      <c r="E12" s="42" t="s">
        <v>2599</v>
      </c>
    </row>
    <row r="13" spans="1:5" ht="20" customHeight="1" x14ac:dyDescent="0.2">
      <c r="A13" s="50" t="s">
        <v>2337</v>
      </c>
      <c r="B13" s="50" t="s">
        <v>2338</v>
      </c>
      <c r="C13" s="50" t="s">
        <v>923</v>
      </c>
      <c r="D13" s="50" t="s">
        <v>921</v>
      </c>
      <c r="E13" s="50" t="s">
        <v>2599</v>
      </c>
    </row>
    <row r="14" spans="1:5" ht="20" customHeight="1" x14ac:dyDescent="0.2">
      <c r="A14" s="42" t="s">
        <v>2343</v>
      </c>
      <c r="B14" s="42" t="s">
        <v>2344</v>
      </c>
      <c r="C14" s="42" t="s">
        <v>923</v>
      </c>
      <c r="D14" s="42" t="s">
        <v>921</v>
      </c>
      <c r="E14" s="42" t="s">
        <v>2599</v>
      </c>
    </row>
    <row r="15" spans="1:5" ht="20" customHeight="1" x14ac:dyDescent="0.2">
      <c r="A15" s="50" t="s">
        <v>2348</v>
      </c>
      <c r="B15" s="50" t="s">
        <v>2349</v>
      </c>
      <c r="C15" s="50" t="s">
        <v>923</v>
      </c>
      <c r="D15" s="50" t="s">
        <v>921</v>
      </c>
      <c r="E15" s="50" t="s">
        <v>2599</v>
      </c>
    </row>
    <row r="16" spans="1:5" ht="20" customHeight="1" x14ac:dyDescent="0.2">
      <c r="A16" s="42" t="s">
        <v>2353</v>
      </c>
      <c r="B16" s="42" t="s">
        <v>2354</v>
      </c>
      <c r="C16" s="42" t="s">
        <v>843</v>
      </c>
      <c r="D16" s="42" t="s">
        <v>921</v>
      </c>
      <c r="E16" s="42" t="s">
        <v>2600</v>
      </c>
    </row>
    <row r="17" spans="1:5" ht="20" customHeight="1" x14ac:dyDescent="0.2">
      <c r="A17" s="50" t="s">
        <v>2361</v>
      </c>
      <c r="B17" s="50" t="s">
        <v>2362</v>
      </c>
      <c r="C17" s="50" t="s">
        <v>923</v>
      </c>
      <c r="D17" s="50" t="s">
        <v>921</v>
      </c>
      <c r="E17" s="50" t="s">
        <v>2599</v>
      </c>
    </row>
    <row r="18" spans="1:5" ht="20" customHeight="1" x14ac:dyDescent="0.2">
      <c r="A18" s="42" t="s">
        <v>2368</v>
      </c>
      <c r="B18" s="42" t="s">
        <v>2369</v>
      </c>
      <c r="C18" s="42" t="s">
        <v>923</v>
      </c>
      <c r="D18" s="42" t="s">
        <v>921</v>
      </c>
      <c r="E18" s="42" t="s">
        <v>2599</v>
      </c>
    </row>
    <row r="19" spans="1:5" ht="20" customHeight="1" x14ac:dyDescent="0.2">
      <c r="A19" s="50" t="s">
        <v>2376</v>
      </c>
      <c r="B19" s="50" t="s">
        <v>2377</v>
      </c>
      <c r="C19" s="50" t="s">
        <v>923</v>
      </c>
      <c r="D19" s="50" t="s">
        <v>923</v>
      </c>
      <c r="E19" s="50" t="s">
        <v>2599</v>
      </c>
    </row>
    <row r="20" spans="1:5" ht="29" customHeight="1" x14ac:dyDescent="0.2">
      <c r="A20" s="42" t="s">
        <v>2384</v>
      </c>
      <c r="B20" s="42" t="s">
        <v>2385</v>
      </c>
      <c r="C20" s="42" t="s">
        <v>923</v>
      </c>
      <c r="D20" s="42" t="s">
        <v>923</v>
      </c>
      <c r="E20" s="42" t="s">
        <v>2599</v>
      </c>
    </row>
    <row r="21" spans="1:5" ht="20" customHeight="1" x14ac:dyDescent="0.2">
      <c r="A21" s="50" t="s">
        <v>2391</v>
      </c>
      <c r="B21" s="50" t="s">
        <v>2392</v>
      </c>
      <c r="C21" s="50" t="s">
        <v>923</v>
      </c>
      <c r="D21" s="50" t="s">
        <v>921</v>
      </c>
      <c r="E21" s="50" t="s">
        <v>2599</v>
      </c>
    </row>
    <row r="22" spans="1:5" ht="20" customHeight="1" x14ac:dyDescent="0.2">
      <c r="A22" s="42" t="s">
        <v>2397</v>
      </c>
      <c r="B22" s="42" t="s">
        <v>2398</v>
      </c>
      <c r="C22" s="42" t="s">
        <v>923</v>
      </c>
      <c r="D22" s="42" t="s">
        <v>921</v>
      </c>
      <c r="E22" s="42" t="s">
        <v>2599</v>
      </c>
    </row>
    <row r="23" spans="1:5" ht="20" customHeight="1" x14ac:dyDescent="0.2">
      <c r="A23" s="50" t="s">
        <v>2402</v>
      </c>
      <c r="B23" s="50" t="s">
        <v>2403</v>
      </c>
      <c r="C23" s="50" t="s">
        <v>843</v>
      </c>
      <c r="D23" s="50" t="s">
        <v>921</v>
      </c>
      <c r="E23" s="50" t="s">
        <v>2600</v>
      </c>
    </row>
    <row r="24" spans="1:5" ht="20" customHeight="1" x14ac:dyDescent="0.2">
      <c r="A24" s="42" t="s">
        <v>2407</v>
      </c>
      <c r="B24" s="42" t="s">
        <v>2408</v>
      </c>
      <c r="C24" s="42" t="s">
        <v>843</v>
      </c>
      <c r="D24" s="42" t="s">
        <v>921</v>
      </c>
      <c r="E24" s="42" t="s">
        <v>2600</v>
      </c>
    </row>
    <row r="25" spans="1:5" ht="20" customHeight="1" x14ac:dyDescent="0.2">
      <c r="A25" s="50" t="s">
        <v>2411</v>
      </c>
      <c r="B25" s="50" t="s">
        <v>2412</v>
      </c>
      <c r="C25" s="50" t="s">
        <v>843</v>
      </c>
      <c r="D25" s="50" t="s">
        <v>921</v>
      </c>
      <c r="E25" s="50" t="s">
        <v>2600</v>
      </c>
    </row>
    <row r="26" spans="1:5" ht="20" customHeight="1" x14ac:dyDescent="0.2">
      <c r="A26" s="42" t="s">
        <v>2416</v>
      </c>
      <c r="B26" s="42" t="s">
        <v>2417</v>
      </c>
      <c r="C26" s="42" t="s">
        <v>923</v>
      </c>
      <c r="D26" s="42" t="s">
        <v>921</v>
      </c>
      <c r="E26" s="42" t="s">
        <v>2599</v>
      </c>
    </row>
    <row r="27" spans="1:5" ht="20" customHeight="1" x14ac:dyDescent="0.2">
      <c r="A27" s="50" t="s">
        <v>2424</v>
      </c>
      <c r="B27" s="50" t="s">
        <v>2425</v>
      </c>
      <c r="C27" s="50" t="s">
        <v>843</v>
      </c>
      <c r="D27" s="50" t="s">
        <v>923</v>
      </c>
      <c r="E27" s="50" t="s">
        <v>2600</v>
      </c>
    </row>
    <row r="28" spans="1:5" ht="29" customHeight="1" x14ac:dyDescent="0.2">
      <c r="A28" s="42" t="s">
        <v>2430</v>
      </c>
      <c r="B28" s="42" t="s">
        <v>2431</v>
      </c>
      <c r="C28" s="42" t="s">
        <v>923</v>
      </c>
      <c r="D28" s="42" t="s">
        <v>921</v>
      </c>
      <c r="E28" s="42" t="s">
        <v>2599</v>
      </c>
    </row>
    <row r="29" spans="1:5" ht="20" customHeight="1" x14ac:dyDescent="0.2">
      <c r="A29" s="50" t="s">
        <v>2437</v>
      </c>
      <c r="B29" s="50" t="s">
        <v>2438</v>
      </c>
      <c r="C29" s="50" t="s">
        <v>923</v>
      </c>
      <c r="D29" s="50" t="s">
        <v>921</v>
      </c>
      <c r="E29" s="50" t="s">
        <v>2599</v>
      </c>
    </row>
    <row r="30" spans="1:5" ht="20" customHeight="1" x14ac:dyDescent="0.2">
      <c r="A30" s="42" t="s">
        <v>2448</v>
      </c>
      <c r="B30" s="42" t="s">
        <v>2449</v>
      </c>
      <c r="C30" s="42" t="s">
        <v>923</v>
      </c>
      <c r="D30" s="42" t="s">
        <v>921</v>
      </c>
      <c r="E30" s="42" t="s">
        <v>2599</v>
      </c>
    </row>
    <row r="31" spans="1:5" ht="20" customHeight="1" x14ac:dyDescent="0.2">
      <c r="A31" s="50" t="s">
        <v>2453</v>
      </c>
      <c r="B31" s="50" t="s">
        <v>2454</v>
      </c>
      <c r="C31" s="50" t="s">
        <v>923</v>
      </c>
      <c r="D31" s="50" t="s">
        <v>921</v>
      </c>
      <c r="E31" s="50" t="s">
        <v>2599</v>
      </c>
    </row>
    <row r="32" spans="1:5" ht="20" customHeight="1" x14ac:dyDescent="0.2">
      <c r="A32" s="42" t="s">
        <v>2463</v>
      </c>
      <c r="B32" s="42" t="s">
        <v>2464</v>
      </c>
      <c r="C32" s="42" t="s">
        <v>923</v>
      </c>
      <c r="D32" s="42" t="s">
        <v>921</v>
      </c>
      <c r="E32" s="42" t="s">
        <v>2599</v>
      </c>
    </row>
    <row r="33" spans="1:5" ht="20" customHeight="1" x14ac:dyDescent="0.2">
      <c r="A33" s="50" t="s">
        <v>2468</v>
      </c>
      <c r="B33" s="50" t="s">
        <v>2469</v>
      </c>
      <c r="C33" s="50" t="s">
        <v>923</v>
      </c>
      <c r="D33" s="50" t="s">
        <v>921</v>
      </c>
      <c r="E33" s="50" t="s">
        <v>2599</v>
      </c>
    </row>
    <row r="34" spans="1:5" ht="20" customHeight="1" x14ac:dyDescent="0.2">
      <c r="A34" s="42" t="s">
        <v>2475</v>
      </c>
      <c r="B34" s="42" t="s">
        <v>2476</v>
      </c>
      <c r="C34" s="42" t="s">
        <v>921</v>
      </c>
      <c r="D34" s="42" t="s">
        <v>921</v>
      </c>
      <c r="E34" s="42" t="s">
        <v>2599</v>
      </c>
    </row>
    <row r="35" spans="1:5" ht="20" customHeight="1" x14ac:dyDescent="0.2">
      <c r="A35" s="50" t="s">
        <v>2483</v>
      </c>
      <c r="B35" s="50" t="s">
        <v>2484</v>
      </c>
      <c r="C35" s="50" t="s">
        <v>843</v>
      </c>
      <c r="D35" s="50" t="s">
        <v>921</v>
      </c>
      <c r="E35" s="50" t="s">
        <v>2600</v>
      </c>
    </row>
    <row r="36" spans="1:5" ht="20" customHeight="1" x14ac:dyDescent="0.2">
      <c r="A36" s="42" t="s">
        <v>2490</v>
      </c>
      <c r="B36" s="42" t="s">
        <v>2491</v>
      </c>
      <c r="C36" s="42" t="s">
        <v>921</v>
      </c>
      <c r="D36" s="42" t="s">
        <v>921</v>
      </c>
      <c r="E36" s="42" t="s">
        <v>2599</v>
      </c>
    </row>
    <row r="37" spans="1:5" ht="20" customHeight="1" x14ac:dyDescent="0.2">
      <c r="A37" s="50" t="s">
        <v>2497</v>
      </c>
      <c r="B37" s="50" t="s">
        <v>2498</v>
      </c>
      <c r="C37" s="50" t="s">
        <v>923</v>
      </c>
      <c r="D37" s="50" t="s">
        <v>921</v>
      </c>
      <c r="E37" s="50" t="s">
        <v>2599</v>
      </c>
    </row>
    <row r="38" spans="1:5" ht="20" customHeight="1" x14ac:dyDescent="0.2">
      <c r="A38" s="42" t="s">
        <v>2502</v>
      </c>
      <c r="B38" s="42" t="s">
        <v>2503</v>
      </c>
      <c r="C38" s="42" t="s">
        <v>923</v>
      </c>
      <c r="D38" s="42" t="s">
        <v>921</v>
      </c>
      <c r="E38" s="42" t="s">
        <v>2599</v>
      </c>
    </row>
  </sheetData>
  <mergeCells count="2">
    <mergeCell ref="A2:E2"/>
    <mergeCell ref="A1:E1"/>
  </mergeCells>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38"/>
  <sheetViews>
    <sheetView showGridLines="0" rightToLeft="1" workbookViewId="0">
      <pane xSplit="2" ySplit="3" topLeftCell="C4" activePane="bottomRight" state="frozen"/>
      <selection pane="topRight"/>
      <selection pane="bottomLeft"/>
      <selection pane="bottomRight"/>
    </sheetView>
  </sheetViews>
  <sheetFormatPr baseColWidth="10" defaultColWidth="8.83203125" defaultRowHeight="15" x14ac:dyDescent="0.2"/>
  <cols>
    <col min="1" max="2" width="38.1640625" customWidth="1"/>
    <col min="3" max="3" width="13.5" customWidth="1"/>
    <col min="4" max="4" width="12.5" customWidth="1"/>
    <col min="5" max="5" width="15.33203125" customWidth="1"/>
    <col min="6" max="6" width="21" customWidth="1"/>
  </cols>
  <sheetData>
    <row r="1" spans="1:6" ht="34" customHeight="1" x14ac:dyDescent="0.2">
      <c r="A1" s="79" t="s">
        <v>2601</v>
      </c>
      <c r="B1" s="76"/>
      <c r="C1" s="76"/>
      <c r="D1" s="76"/>
      <c r="E1" s="76"/>
      <c r="F1" s="76"/>
    </row>
    <row r="2" spans="1:6" ht="28" customHeight="1" x14ac:dyDescent="0.2">
      <c r="A2" s="86" t="s">
        <v>2602</v>
      </c>
      <c r="B2" s="76"/>
      <c r="C2" s="76"/>
      <c r="D2" s="76"/>
      <c r="E2" s="76"/>
      <c r="F2" s="76"/>
    </row>
    <row r="3" spans="1:6" ht="30" customHeight="1" x14ac:dyDescent="0.2">
      <c r="A3" s="48" t="s">
        <v>617</v>
      </c>
      <c r="B3" s="48" t="s">
        <v>2529</v>
      </c>
      <c r="C3" s="48" t="s">
        <v>920</v>
      </c>
      <c r="D3" s="48" t="s">
        <v>2603</v>
      </c>
      <c r="E3" s="48" t="s">
        <v>2604</v>
      </c>
      <c r="F3" s="48" t="s">
        <v>982</v>
      </c>
    </row>
    <row r="4" spans="1:6" ht="20" customHeight="1" x14ac:dyDescent="0.2">
      <c r="A4" s="42" t="s">
        <v>2262</v>
      </c>
      <c r="B4" s="42" t="s">
        <v>2263</v>
      </c>
      <c r="C4" s="42" t="s">
        <v>921</v>
      </c>
      <c r="D4" s="42" t="s">
        <v>921</v>
      </c>
      <c r="E4" s="42" t="s">
        <v>843</v>
      </c>
      <c r="F4" s="42" t="s">
        <v>339</v>
      </c>
    </row>
    <row r="5" spans="1:6" ht="20" customHeight="1" x14ac:dyDescent="0.2">
      <c r="A5" s="50" t="s">
        <v>894</v>
      </c>
      <c r="B5" s="50" t="s">
        <v>760</v>
      </c>
      <c r="C5" s="50" t="s">
        <v>921</v>
      </c>
      <c r="D5" s="50" t="s">
        <v>923</v>
      </c>
      <c r="E5" s="50" t="s">
        <v>923</v>
      </c>
      <c r="F5" s="50" t="s">
        <v>2280</v>
      </c>
    </row>
    <row r="6" spans="1:6" ht="20" customHeight="1" x14ac:dyDescent="0.2">
      <c r="A6" s="42" t="s">
        <v>2281</v>
      </c>
      <c r="B6" s="42" t="s">
        <v>2282</v>
      </c>
      <c r="C6" s="42" t="s">
        <v>921</v>
      </c>
      <c r="D6" s="42" t="s">
        <v>923</v>
      </c>
      <c r="E6" s="42" t="s">
        <v>923</v>
      </c>
      <c r="F6" s="42" t="s">
        <v>857</v>
      </c>
    </row>
    <row r="7" spans="1:6" ht="20" customHeight="1" x14ac:dyDescent="0.2">
      <c r="A7" s="50" t="s">
        <v>2288</v>
      </c>
      <c r="B7" s="50" t="s">
        <v>2289</v>
      </c>
      <c r="C7" s="50" t="s">
        <v>921</v>
      </c>
      <c r="D7" s="50" t="s">
        <v>921</v>
      </c>
      <c r="E7" s="50" t="s">
        <v>843</v>
      </c>
      <c r="F7" s="50" t="s">
        <v>2296</v>
      </c>
    </row>
    <row r="8" spans="1:6" ht="20" customHeight="1" x14ac:dyDescent="0.2">
      <c r="A8" s="42" t="s">
        <v>2297</v>
      </c>
      <c r="B8" s="42" t="s">
        <v>2298</v>
      </c>
      <c r="C8" s="42" t="s">
        <v>921</v>
      </c>
      <c r="D8" s="42" t="s">
        <v>921</v>
      </c>
      <c r="E8" s="42" t="s">
        <v>843</v>
      </c>
      <c r="F8" s="42" t="s">
        <v>2296</v>
      </c>
    </row>
    <row r="9" spans="1:6" ht="29" customHeight="1" x14ac:dyDescent="0.2">
      <c r="A9" s="50" t="s">
        <v>2304</v>
      </c>
      <c r="B9" s="50" t="s">
        <v>2305</v>
      </c>
      <c r="C9" s="50" t="s">
        <v>923</v>
      </c>
      <c r="D9" s="50" t="s">
        <v>921</v>
      </c>
      <c r="E9" s="50" t="s">
        <v>843</v>
      </c>
      <c r="F9" s="50" t="s">
        <v>888</v>
      </c>
    </row>
    <row r="10" spans="1:6" ht="29" customHeight="1" x14ac:dyDescent="0.2">
      <c r="A10" s="42" t="s">
        <v>2312</v>
      </c>
      <c r="B10" s="42" t="s">
        <v>2313</v>
      </c>
      <c r="C10" s="42" t="s">
        <v>923</v>
      </c>
      <c r="D10" s="42" t="s">
        <v>923</v>
      </c>
      <c r="E10" s="42" t="s">
        <v>923</v>
      </c>
      <c r="F10" s="42" t="s">
        <v>2320</v>
      </c>
    </row>
    <row r="11" spans="1:6" ht="20" customHeight="1" x14ac:dyDescent="0.2">
      <c r="A11" s="50" t="s">
        <v>2322</v>
      </c>
      <c r="B11" s="50" t="s">
        <v>2323</v>
      </c>
      <c r="C11" s="50" t="s">
        <v>923</v>
      </c>
      <c r="D11" s="50" t="s">
        <v>843</v>
      </c>
      <c r="E11" s="50" t="s">
        <v>921</v>
      </c>
      <c r="F11" s="50" t="s">
        <v>339</v>
      </c>
    </row>
    <row r="12" spans="1:6" ht="20" customHeight="1" x14ac:dyDescent="0.2">
      <c r="A12" s="42" t="s">
        <v>2332</v>
      </c>
      <c r="B12" s="42" t="s">
        <v>2333</v>
      </c>
      <c r="C12" s="42" t="s">
        <v>923</v>
      </c>
      <c r="D12" s="42" t="s">
        <v>843</v>
      </c>
      <c r="E12" s="42" t="s">
        <v>921</v>
      </c>
      <c r="F12" s="42" t="s">
        <v>857</v>
      </c>
    </row>
    <row r="13" spans="1:6" ht="20" customHeight="1" x14ac:dyDescent="0.2">
      <c r="A13" s="50" t="s">
        <v>2337</v>
      </c>
      <c r="B13" s="50" t="s">
        <v>2338</v>
      </c>
      <c r="C13" s="50" t="s">
        <v>923</v>
      </c>
      <c r="D13" s="50" t="s">
        <v>843</v>
      </c>
      <c r="E13" s="50" t="s">
        <v>921</v>
      </c>
      <c r="F13" s="50" t="s">
        <v>857</v>
      </c>
    </row>
    <row r="14" spans="1:6" ht="20" customHeight="1" x14ac:dyDescent="0.2">
      <c r="A14" s="42" t="s">
        <v>2343</v>
      </c>
      <c r="B14" s="42" t="s">
        <v>2344</v>
      </c>
      <c r="C14" s="42" t="s">
        <v>923</v>
      </c>
      <c r="D14" s="42" t="s">
        <v>843</v>
      </c>
      <c r="E14" s="42" t="s">
        <v>921</v>
      </c>
      <c r="F14" s="42" t="s">
        <v>2320</v>
      </c>
    </row>
    <row r="15" spans="1:6" ht="20" customHeight="1" x14ac:dyDescent="0.2">
      <c r="A15" s="50" t="s">
        <v>2348</v>
      </c>
      <c r="B15" s="50" t="s">
        <v>2349</v>
      </c>
      <c r="C15" s="50" t="s">
        <v>843</v>
      </c>
      <c r="D15" s="50" t="s">
        <v>843</v>
      </c>
      <c r="E15" s="50" t="s">
        <v>921</v>
      </c>
      <c r="F15" s="50" t="s">
        <v>2296</v>
      </c>
    </row>
    <row r="16" spans="1:6" ht="20" customHeight="1" x14ac:dyDescent="0.2">
      <c r="A16" s="42" t="s">
        <v>2353</v>
      </c>
      <c r="B16" s="42" t="s">
        <v>2354</v>
      </c>
      <c r="C16" s="42" t="s">
        <v>843</v>
      </c>
      <c r="D16" s="42" t="s">
        <v>843</v>
      </c>
      <c r="E16" s="42" t="s">
        <v>921</v>
      </c>
      <c r="F16" s="42" t="s">
        <v>2359</v>
      </c>
    </row>
    <row r="17" spans="1:6" ht="20" customHeight="1" x14ac:dyDescent="0.2">
      <c r="A17" s="50" t="s">
        <v>2361</v>
      </c>
      <c r="B17" s="50" t="s">
        <v>2362</v>
      </c>
      <c r="C17" s="50" t="s">
        <v>923</v>
      </c>
      <c r="D17" s="50" t="s">
        <v>923</v>
      </c>
      <c r="E17" s="50" t="s">
        <v>923</v>
      </c>
      <c r="F17" s="50" t="s">
        <v>888</v>
      </c>
    </row>
    <row r="18" spans="1:6" ht="20" customHeight="1" x14ac:dyDescent="0.2">
      <c r="A18" s="42" t="s">
        <v>2368</v>
      </c>
      <c r="B18" s="42" t="s">
        <v>2369</v>
      </c>
      <c r="C18" s="42" t="s">
        <v>923</v>
      </c>
      <c r="D18" s="42" t="s">
        <v>923</v>
      </c>
      <c r="E18" s="42" t="s">
        <v>923</v>
      </c>
      <c r="F18" s="42" t="s">
        <v>888</v>
      </c>
    </row>
    <row r="19" spans="1:6" ht="20" customHeight="1" x14ac:dyDescent="0.2">
      <c r="A19" s="50" t="s">
        <v>2376</v>
      </c>
      <c r="B19" s="50" t="s">
        <v>2377</v>
      </c>
      <c r="C19" s="50" t="s">
        <v>923</v>
      </c>
      <c r="D19" s="50" t="s">
        <v>923</v>
      </c>
      <c r="E19" s="50" t="s">
        <v>923</v>
      </c>
      <c r="F19" s="50" t="s">
        <v>888</v>
      </c>
    </row>
    <row r="20" spans="1:6" ht="29" customHeight="1" x14ac:dyDescent="0.2">
      <c r="A20" s="42" t="s">
        <v>2384</v>
      </c>
      <c r="B20" s="42" t="s">
        <v>2385</v>
      </c>
      <c r="C20" s="42" t="s">
        <v>923</v>
      </c>
      <c r="D20" s="42" t="s">
        <v>923</v>
      </c>
      <c r="E20" s="42" t="s">
        <v>923</v>
      </c>
      <c r="F20" s="42" t="s">
        <v>888</v>
      </c>
    </row>
    <row r="21" spans="1:6" ht="20" customHeight="1" x14ac:dyDescent="0.2">
      <c r="A21" s="50" t="s">
        <v>2391</v>
      </c>
      <c r="B21" s="50" t="s">
        <v>2392</v>
      </c>
      <c r="C21" s="50" t="s">
        <v>921</v>
      </c>
      <c r="D21" s="50" t="s">
        <v>921</v>
      </c>
      <c r="E21" s="50" t="s">
        <v>923</v>
      </c>
      <c r="F21" s="50" t="s">
        <v>888</v>
      </c>
    </row>
    <row r="22" spans="1:6" ht="20" customHeight="1" x14ac:dyDescent="0.2">
      <c r="A22" s="42" t="s">
        <v>2397</v>
      </c>
      <c r="B22" s="42" t="s">
        <v>2398</v>
      </c>
      <c r="C22" s="42" t="s">
        <v>921</v>
      </c>
      <c r="D22" s="42" t="s">
        <v>921</v>
      </c>
      <c r="E22" s="42" t="s">
        <v>923</v>
      </c>
      <c r="F22" s="42" t="s">
        <v>2401</v>
      </c>
    </row>
    <row r="23" spans="1:6" ht="20" customHeight="1" x14ac:dyDescent="0.2">
      <c r="A23" s="50" t="s">
        <v>2402</v>
      </c>
      <c r="B23" s="50" t="s">
        <v>2403</v>
      </c>
      <c r="C23" s="50" t="s">
        <v>843</v>
      </c>
      <c r="D23" s="50" t="s">
        <v>921</v>
      </c>
      <c r="E23" s="50" t="s">
        <v>923</v>
      </c>
      <c r="F23" s="50" t="s">
        <v>2320</v>
      </c>
    </row>
    <row r="24" spans="1:6" ht="20" customHeight="1" x14ac:dyDescent="0.2">
      <c r="A24" s="42" t="s">
        <v>2407</v>
      </c>
      <c r="B24" s="42" t="s">
        <v>2408</v>
      </c>
      <c r="C24" s="42" t="s">
        <v>843</v>
      </c>
      <c r="D24" s="42" t="s">
        <v>921</v>
      </c>
      <c r="E24" s="42" t="s">
        <v>923</v>
      </c>
      <c r="F24" s="42" t="s">
        <v>2320</v>
      </c>
    </row>
    <row r="25" spans="1:6" ht="20" customHeight="1" x14ac:dyDescent="0.2">
      <c r="A25" s="50" t="s">
        <v>2411</v>
      </c>
      <c r="B25" s="50" t="s">
        <v>2412</v>
      </c>
      <c r="C25" s="50" t="s">
        <v>843</v>
      </c>
      <c r="D25" s="50" t="s">
        <v>921</v>
      </c>
      <c r="E25" s="50" t="s">
        <v>923</v>
      </c>
      <c r="F25" s="50" t="s">
        <v>2320</v>
      </c>
    </row>
    <row r="26" spans="1:6" ht="20" customHeight="1" x14ac:dyDescent="0.2">
      <c r="A26" s="42" t="s">
        <v>2416</v>
      </c>
      <c r="B26" s="42" t="s">
        <v>2417</v>
      </c>
      <c r="C26" s="42" t="s">
        <v>923</v>
      </c>
      <c r="D26" s="42" t="s">
        <v>923</v>
      </c>
      <c r="E26" s="42" t="s">
        <v>923</v>
      </c>
      <c r="F26" s="42" t="s">
        <v>888</v>
      </c>
    </row>
    <row r="27" spans="1:6" ht="20" customHeight="1" x14ac:dyDescent="0.2">
      <c r="A27" s="50" t="s">
        <v>2424</v>
      </c>
      <c r="B27" s="50" t="s">
        <v>2425</v>
      </c>
      <c r="C27" s="50" t="s">
        <v>843</v>
      </c>
      <c r="D27" s="50" t="s">
        <v>843</v>
      </c>
      <c r="E27" s="50" t="s">
        <v>921</v>
      </c>
      <c r="F27" s="50" t="s">
        <v>2359</v>
      </c>
    </row>
    <row r="28" spans="1:6" ht="29" customHeight="1" x14ac:dyDescent="0.2">
      <c r="A28" s="42" t="s">
        <v>2430</v>
      </c>
      <c r="B28" s="42" t="s">
        <v>2431</v>
      </c>
      <c r="C28" s="42" t="s">
        <v>923</v>
      </c>
      <c r="D28" s="42" t="s">
        <v>923</v>
      </c>
      <c r="E28" s="42" t="s">
        <v>923</v>
      </c>
      <c r="F28" s="42" t="s">
        <v>888</v>
      </c>
    </row>
    <row r="29" spans="1:6" ht="20" customHeight="1" x14ac:dyDescent="0.2">
      <c r="A29" s="50" t="s">
        <v>2437</v>
      </c>
      <c r="B29" s="50" t="s">
        <v>2438</v>
      </c>
      <c r="C29" s="50" t="s">
        <v>843</v>
      </c>
      <c r="D29" s="50" t="s">
        <v>843</v>
      </c>
      <c r="E29" s="50" t="s">
        <v>921</v>
      </c>
      <c r="F29" s="50" t="s">
        <v>2320</v>
      </c>
    </row>
    <row r="30" spans="1:6" ht="20" customHeight="1" x14ac:dyDescent="0.2">
      <c r="A30" s="42" t="s">
        <v>2448</v>
      </c>
      <c r="B30" s="42" t="s">
        <v>2449</v>
      </c>
      <c r="C30" s="42" t="s">
        <v>843</v>
      </c>
      <c r="D30" s="42" t="s">
        <v>843</v>
      </c>
      <c r="E30" s="42" t="s">
        <v>921</v>
      </c>
      <c r="F30" s="42" t="s">
        <v>2320</v>
      </c>
    </row>
    <row r="31" spans="1:6" ht="20" customHeight="1" x14ac:dyDescent="0.2">
      <c r="A31" s="50" t="s">
        <v>2453</v>
      </c>
      <c r="B31" s="50" t="s">
        <v>2454</v>
      </c>
      <c r="C31" s="50" t="s">
        <v>923</v>
      </c>
      <c r="D31" s="50" t="s">
        <v>923</v>
      </c>
      <c r="E31" s="50" t="s">
        <v>923</v>
      </c>
      <c r="F31" s="50" t="s">
        <v>888</v>
      </c>
    </row>
    <row r="32" spans="1:6" ht="20" customHeight="1" x14ac:dyDescent="0.2">
      <c r="A32" s="42" t="s">
        <v>2463</v>
      </c>
      <c r="B32" s="42" t="s">
        <v>2464</v>
      </c>
      <c r="C32" s="42" t="s">
        <v>923</v>
      </c>
      <c r="D32" s="42" t="s">
        <v>923</v>
      </c>
      <c r="E32" s="42" t="s">
        <v>923</v>
      </c>
      <c r="F32" s="42" t="s">
        <v>2401</v>
      </c>
    </row>
    <row r="33" spans="1:6" ht="20" customHeight="1" x14ac:dyDescent="0.2">
      <c r="A33" s="50" t="s">
        <v>2468</v>
      </c>
      <c r="B33" s="50" t="s">
        <v>2469</v>
      </c>
      <c r="C33" s="50" t="s">
        <v>843</v>
      </c>
      <c r="D33" s="50" t="s">
        <v>843</v>
      </c>
      <c r="E33" s="50" t="s">
        <v>921</v>
      </c>
      <c r="F33" s="50" t="s">
        <v>2320</v>
      </c>
    </row>
    <row r="34" spans="1:6" ht="20" customHeight="1" x14ac:dyDescent="0.2">
      <c r="A34" s="42" t="s">
        <v>2475</v>
      </c>
      <c r="B34" s="42" t="s">
        <v>2476</v>
      </c>
      <c r="C34" s="42" t="s">
        <v>921</v>
      </c>
      <c r="D34" s="42" t="s">
        <v>921</v>
      </c>
      <c r="E34" s="42" t="s">
        <v>843</v>
      </c>
      <c r="F34" s="42" t="s">
        <v>2296</v>
      </c>
    </row>
    <row r="35" spans="1:6" ht="20" customHeight="1" x14ac:dyDescent="0.2">
      <c r="A35" s="50" t="s">
        <v>2483</v>
      </c>
      <c r="B35" s="50" t="s">
        <v>2484</v>
      </c>
      <c r="C35" s="50" t="s">
        <v>843</v>
      </c>
      <c r="D35" s="50" t="s">
        <v>843</v>
      </c>
      <c r="E35" s="50" t="s">
        <v>921</v>
      </c>
      <c r="F35" s="50" t="s">
        <v>2320</v>
      </c>
    </row>
    <row r="36" spans="1:6" ht="20" customHeight="1" x14ac:dyDescent="0.2">
      <c r="A36" s="42" t="s">
        <v>2490</v>
      </c>
      <c r="B36" s="42" t="s">
        <v>2491</v>
      </c>
      <c r="C36" s="42" t="s">
        <v>921</v>
      </c>
      <c r="D36" s="42" t="s">
        <v>921</v>
      </c>
      <c r="E36" s="42" t="s">
        <v>843</v>
      </c>
      <c r="F36" s="42" t="s">
        <v>857</v>
      </c>
    </row>
    <row r="37" spans="1:6" ht="20" customHeight="1" x14ac:dyDescent="0.2">
      <c r="A37" s="50" t="s">
        <v>2497</v>
      </c>
      <c r="B37" s="50" t="s">
        <v>2498</v>
      </c>
      <c r="C37" s="50" t="s">
        <v>921</v>
      </c>
      <c r="D37" s="50" t="s">
        <v>921</v>
      </c>
      <c r="E37" s="50" t="s">
        <v>843</v>
      </c>
      <c r="F37" s="50" t="s">
        <v>857</v>
      </c>
    </row>
    <row r="38" spans="1:6" ht="20" customHeight="1" x14ac:dyDescent="0.2">
      <c r="A38" s="42" t="s">
        <v>2502</v>
      </c>
      <c r="B38" s="42" t="s">
        <v>2503</v>
      </c>
      <c r="C38" s="42" t="s">
        <v>921</v>
      </c>
      <c r="D38" s="42" t="s">
        <v>921</v>
      </c>
      <c r="E38" s="42" t="s">
        <v>843</v>
      </c>
      <c r="F38" s="42" t="s">
        <v>2296</v>
      </c>
    </row>
  </sheetData>
  <mergeCells count="2">
    <mergeCell ref="A2:F2"/>
    <mergeCell ref="A1:F1"/>
  </mergeCells>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E38"/>
  <sheetViews>
    <sheetView showGridLines="0" rightToLeft="1" workbookViewId="0">
      <pane xSplit="2" ySplit="3" topLeftCell="C4" activePane="bottomRight" state="frozen"/>
      <selection pane="topRight"/>
      <selection pane="bottomLeft"/>
      <selection pane="bottomRight"/>
    </sheetView>
  </sheetViews>
  <sheetFormatPr baseColWidth="10" defaultColWidth="8.83203125" defaultRowHeight="15" x14ac:dyDescent="0.2"/>
  <cols>
    <col min="1" max="1" width="42" customWidth="1"/>
    <col min="2" max="2" width="38.1640625" customWidth="1"/>
    <col min="3" max="3" width="12.5" customWidth="1"/>
    <col min="4" max="4" width="15.33203125" customWidth="1"/>
    <col min="5" max="5" width="13.5" customWidth="1"/>
  </cols>
  <sheetData>
    <row r="1" spans="1:5" ht="34" customHeight="1" x14ac:dyDescent="0.2">
      <c r="A1" s="79" t="s">
        <v>2605</v>
      </c>
      <c r="B1" s="76"/>
      <c r="C1" s="76"/>
      <c r="D1" s="76"/>
      <c r="E1" s="76"/>
    </row>
    <row r="2" spans="1:5" ht="28" customHeight="1" x14ac:dyDescent="0.2">
      <c r="A2" s="86" t="s">
        <v>2606</v>
      </c>
      <c r="B2" s="76"/>
      <c r="C2" s="76"/>
      <c r="D2" s="76"/>
      <c r="E2" s="76"/>
    </row>
    <row r="3" spans="1:5" ht="30" customHeight="1" x14ac:dyDescent="0.2">
      <c r="A3" s="48" t="s">
        <v>617</v>
      </c>
      <c r="B3" s="48" t="s">
        <v>2529</v>
      </c>
      <c r="C3" s="48" t="s">
        <v>2603</v>
      </c>
      <c r="D3" s="48" t="s">
        <v>2604</v>
      </c>
      <c r="E3" s="48" t="s">
        <v>2607</v>
      </c>
    </row>
    <row r="4" spans="1:5" ht="20" customHeight="1" x14ac:dyDescent="0.2">
      <c r="A4" s="42" t="s">
        <v>2262</v>
      </c>
      <c r="B4" s="42" t="s">
        <v>2263</v>
      </c>
      <c r="C4" s="42" t="s">
        <v>921</v>
      </c>
      <c r="D4" s="42" t="s">
        <v>843</v>
      </c>
      <c r="E4" s="42" t="s">
        <v>921</v>
      </c>
    </row>
    <row r="5" spans="1:5" ht="20" customHeight="1" x14ac:dyDescent="0.2">
      <c r="A5" s="50" t="s">
        <v>894</v>
      </c>
      <c r="B5" s="50" t="s">
        <v>760</v>
      </c>
      <c r="C5" s="50" t="s">
        <v>923</v>
      </c>
      <c r="D5" s="50" t="s">
        <v>923</v>
      </c>
      <c r="E5" s="50" t="s">
        <v>921</v>
      </c>
    </row>
    <row r="6" spans="1:5" ht="20" customHeight="1" x14ac:dyDescent="0.2">
      <c r="A6" s="42" t="s">
        <v>2281</v>
      </c>
      <c r="B6" s="42" t="s">
        <v>2282</v>
      </c>
      <c r="C6" s="42" t="s">
        <v>923</v>
      </c>
      <c r="D6" s="42" t="s">
        <v>923</v>
      </c>
      <c r="E6" s="42" t="s">
        <v>921</v>
      </c>
    </row>
    <row r="7" spans="1:5" ht="20" customHeight="1" x14ac:dyDescent="0.2">
      <c r="A7" s="50" t="s">
        <v>2288</v>
      </c>
      <c r="B7" s="50" t="s">
        <v>2289</v>
      </c>
      <c r="C7" s="50" t="s">
        <v>921</v>
      </c>
      <c r="D7" s="50" t="s">
        <v>843</v>
      </c>
      <c r="E7" s="50" t="s">
        <v>921</v>
      </c>
    </row>
    <row r="8" spans="1:5" ht="20" customHeight="1" x14ac:dyDescent="0.2">
      <c r="A8" s="42" t="s">
        <v>2297</v>
      </c>
      <c r="B8" s="42" t="s">
        <v>2298</v>
      </c>
      <c r="C8" s="42" t="s">
        <v>921</v>
      </c>
      <c r="D8" s="42" t="s">
        <v>843</v>
      </c>
      <c r="E8" s="42" t="s">
        <v>921</v>
      </c>
    </row>
    <row r="9" spans="1:5" ht="29" customHeight="1" x14ac:dyDescent="0.2">
      <c r="A9" s="50" t="s">
        <v>2304</v>
      </c>
      <c r="B9" s="50" t="s">
        <v>2305</v>
      </c>
      <c r="C9" s="50" t="s">
        <v>921</v>
      </c>
      <c r="D9" s="50" t="s">
        <v>843</v>
      </c>
      <c r="E9" s="50" t="s">
        <v>921</v>
      </c>
    </row>
    <row r="10" spans="1:5" ht="29" customHeight="1" x14ac:dyDescent="0.2">
      <c r="A10" s="42" t="s">
        <v>2312</v>
      </c>
      <c r="B10" s="42" t="s">
        <v>2313</v>
      </c>
      <c r="C10" s="42" t="s">
        <v>923</v>
      </c>
      <c r="D10" s="42" t="s">
        <v>923</v>
      </c>
      <c r="E10" s="42" t="s">
        <v>923</v>
      </c>
    </row>
    <row r="11" spans="1:5" ht="20" customHeight="1" x14ac:dyDescent="0.2">
      <c r="A11" s="50" t="s">
        <v>2322</v>
      </c>
      <c r="B11" s="50" t="s">
        <v>2323</v>
      </c>
      <c r="C11" s="50" t="s">
        <v>843</v>
      </c>
      <c r="D11" s="50" t="s">
        <v>921</v>
      </c>
      <c r="E11" s="50" t="s">
        <v>923</v>
      </c>
    </row>
    <row r="12" spans="1:5" ht="20" customHeight="1" x14ac:dyDescent="0.2">
      <c r="A12" s="42" t="s">
        <v>2332</v>
      </c>
      <c r="B12" s="42" t="s">
        <v>2333</v>
      </c>
      <c r="C12" s="42" t="s">
        <v>843</v>
      </c>
      <c r="D12" s="42" t="s">
        <v>921</v>
      </c>
      <c r="E12" s="42" t="s">
        <v>923</v>
      </c>
    </row>
    <row r="13" spans="1:5" ht="20" customHeight="1" x14ac:dyDescent="0.2">
      <c r="A13" s="50" t="s">
        <v>2337</v>
      </c>
      <c r="B13" s="50" t="s">
        <v>2338</v>
      </c>
      <c r="C13" s="50" t="s">
        <v>843</v>
      </c>
      <c r="D13" s="50" t="s">
        <v>921</v>
      </c>
      <c r="E13" s="50" t="s">
        <v>923</v>
      </c>
    </row>
    <row r="14" spans="1:5" ht="20" customHeight="1" x14ac:dyDescent="0.2">
      <c r="A14" s="42" t="s">
        <v>2343</v>
      </c>
      <c r="B14" s="42" t="s">
        <v>2344</v>
      </c>
      <c r="C14" s="42" t="s">
        <v>843</v>
      </c>
      <c r="D14" s="42" t="s">
        <v>921</v>
      </c>
      <c r="E14" s="42" t="s">
        <v>923</v>
      </c>
    </row>
    <row r="15" spans="1:5" ht="20" customHeight="1" x14ac:dyDescent="0.2">
      <c r="A15" s="50" t="s">
        <v>2348</v>
      </c>
      <c r="B15" s="50" t="s">
        <v>2349</v>
      </c>
      <c r="C15" s="50" t="s">
        <v>843</v>
      </c>
      <c r="D15" s="50" t="s">
        <v>921</v>
      </c>
      <c r="E15" s="50" t="s">
        <v>923</v>
      </c>
    </row>
    <row r="16" spans="1:5" ht="20" customHeight="1" x14ac:dyDescent="0.2">
      <c r="A16" s="42" t="s">
        <v>2353</v>
      </c>
      <c r="B16" s="42" t="s">
        <v>2354</v>
      </c>
      <c r="C16" s="42" t="s">
        <v>843</v>
      </c>
      <c r="D16" s="42" t="s">
        <v>921</v>
      </c>
      <c r="E16" s="42" t="s">
        <v>923</v>
      </c>
    </row>
    <row r="17" spans="1:5" ht="20" customHeight="1" x14ac:dyDescent="0.2">
      <c r="A17" s="50" t="s">
        <v>2361</v>
      </c>
      <c r="B17" s="50" t="s">
        <v>2362</v>
      </c>
      <c r="C17" s="50" t="s">
        <v>923</v>
      </c>
      <c r="D17" s="50" t="s">
        <v>923</v>
      </c>
      <c r="E17" s="50" t="s">
        <v>923</v>
      </c>
    </row>
    <row r="18" spans="1:5" ht="20" customHeight="1" x14ac:dyDescent="0.2">
      <c r="A18" s="42" t="s">
        <v>2368</v>
      </c>
      <c r="B18" s="42" t="s">
        <v>2369</v>
      </c>
      <c r="C18" s="42" t="s">
        <v>923</v>
      </c>
      <c r="D18" s="42" t="s">
        <v>923</v>
      </c>
      <c r="E18" s="42" t="s">
        <v>923</v>
      </c>
    </row>
    <row r="19" spans="1:5" ht="20" customHeight="1" x14ac:dyDescent="0.2">
      <c r="A19" s="50" t="s">
        <v>2376</v>
      </c>
      <c r="B19" s="50" t="s">
        <v>2377</v>
      </c>
      <c r="C19" s="50" t="s">
        <v>923</v>
      </c>
      <c r="D19" s="50" t="s">
        <v>923</v>
      </c>
      <c r="E19" s="50" t="s">
        <v>921</v>
      </c>
    </row>
    <row r="20" spans="1:5" ht="29" customHeight="1" x14ac:dyDescent="0.2">
      <c r="A20" s="42" t="s">
        <v>2384</v>
      </c>
      <c r="B20" s="42" t="s">
        <v>2385</v>
      </c>
      <c r="C20" s="42" t="s">
        <v>923</v>
      </c>
      <c r="D20" s="42" t="s">
        <v>923</v>
      </c>
      <c r="E20" s="42" t="s">
        <v>921</v>
      </c>
    </row>
    <row r="21" spans="1:5" ht="20" customHeight="1" x14ac:dyDescent="0.2">
      <c r="A21" s="50" t="s">
        <v>2391</v>
      </c>
      <c r="B21" s="50" t="s">
        <v>2392</v>
      </c>
      <c r="C21" s="50" t="s">
        <v>921</v>
      </c>
      <c r="D21" s="50" t="s">
        <v>923</v>
      </c>
      <c r="E21" s="50" t="s">
        <v>921</v>
      </c>
    </row>
    <row r="22" spans="1:5" ht="20" customHeight="1" x14ac:dyDescent="0.2">
      <c r="A22" s="42" t="s">
        <v>2397</v>
      </c>
      <c r="B22" s="42" t="s">
        <v>2398</v>
      </c>
      <c r="C22" s="42" t="s">
        <v>921</v>
      </c>
      <c r="D22" s="42" t="s">
        <v>923</v>
      </c>
      <c r="E22" s="42" t="s">
        <v>921</v>
      </c>
    </row>
    <row r="23" spans="1:5" ht="20" customHeight="1" x14ac:dyDescent="0.2">
      <c r="A23" s="50" t="s">
        <v>2402</v>
      </c>
      <c r="B23" s="50" t="s">
        <v>2403</v>
      </c>
      <c r="C23" s="50" t="s">
        <v>921</v>
      </c>
      <c r="D23" s="50" t="s">
        <v>923</v>
      </c>
      <c r="E23" s="50" t="s">
        <v>921</v>
      </c>
    </row>
    <row r="24" spans="1:5" ht="20" customHeight="1" x14ac:dyDescent="0.2">
      <c r="A24" s="42" t="s">
        <v>2407</v>
      </c>
      <c r="B24" s="42" t="s">
        <v>2408</v>
      </c>
      <c r="C24" s="42" t="s">
        <v>921</v>
      </c>
      <c r="D24" s="42" t="s">
        <v>923</v>
      </c>
      <c r="E24" s="42" t="s">
        <v>921</v>
      </c>
    </row>
    <row r="25" spans="1:5" ht="20" customHeight="1" x14ac:dyDescent="0.2">
      <c r="A25" s="50" t="s">
        <v>2411</v>
      </c>
      <c r="B25" s="50" t="s">
        <v>2412</v>
      </c>
      <c r="C25" s="50" t="s">
        <v>921</v>
      </c>
      <c r="D25" s="50" t="s">
        <v>923</v>
      </c>
      <c r="E25" s="50" t="s">
        <v>921</v>
      </c>
    </row>
    <row r="26" spans="1:5" ht="20" customHeight="1" x14ac:dyDescent="0.2">
      <c r="A26" s="42" t="s">
        <v>2416</v>
      </c>
      <c r="B26" s="42" t="s">
        <v>2417</v>
      </c>
      <c r="C26" s="42" t="s">
        <v>923</v>
      </c>
      <c r="D26" s="42" t="s">
        <v>923</v>
      </c>
      <c r="E26" s="42" t="s">
        <v>921</v>
      </c>
    </row>
    <row r="27" spans="1:5" ht="20" customHeight="1" x14ac:dyDescent="0.2">
      <c r="A27" s="50" t="s">
        <v>2424</v>
      </c>
      <c r="B27" s="50" t="s">
        <v>2425</v>
      </c>
      <c r="C27" s="50" t="s">
        <v>843</v>
      </c>
      <c r="D27" s="50" t="s">
        <v>921</v>
      </c>
      <c r="E27" s="50" t="s">
        <v>921</v>
      </c>
    </row>
    <row r="28" spans="1:5" ht="29" customHeight="1" x14ac:dyDescent="0.2">
      <c r="A28" s="42" t="s">
        <v>2430</v>
      </c>
      <c r="B28" s="42" t="s">
        <v>2431</v>
      </c>
      <c r="C28" s="42" t="s">
        <v>923</v>
      </c>
      <c r="D28" s="42" t="s">
        <v>923</v>
      </c>
      <c r="E28" s="42" t="s">
        <v>923</v>
      </c>
    </row>
    <row r="29" spans="1:5" ht="20" customHeight="1" x14ac:dyDescent="0.2">
      <c r="A29" s="50" t="s">
        <v>2437</v>
      </c>
      <c r="B29" s="50" t="s">
        <v>2438</v>
      </c>
      <c r="C29" s="50" t="s">
        <v>843</v>
      </c>
      <c r="D29" s="50" t="s">
        <v>921</v>
      </c>
      <c r="E29" s="50" t="s">
        <v>923</v>
      </c>
    </row>
    <row r="30" spans="1:5" ht="20" customHeight="1" x14ac:dyDescent="0.2">
      <c r="A30" s="42" t="s">
        <v>2448</v>
      </c>
      <c r="B30" s="42" t="s">
        <v>2449</v>
      </c>
      <c r="C30" s="42" t="s">
        <v>843</v>
      </c>
      <c r="D30" s="42" t="s">
        <v>921</v>
      </c>
      <c r="E30" s="42" t="s">
        <v>923</v>
      </c>
    </row>
    <row r="31" spans="1:5" ht="20" customHeight="1" x14ac:dyDescent="0.2">
      <c r="A31" s="50" t="s">
        <v>2453</v>
      </c>
      <c r="B31" s="50" t="s">
        <v>2454</v>
      </c>
      <c r="C31" s="50" t="s">
        <v>923</v>
      </c>
      <c r="D31" s="50" t="s">
        <v>923</v>
      </c>
      <c r="E31" s="50" t="s">
        <v>921</v>
      </c>
    </row>
    <row r="32" spans="1:5" ht="20" customHeight="1" x14ac:dyDescent="0.2">
      <c r="A32" s="42" t="s">
        <v>2463</v>
      </c>
      <c r="B32" s="42" t="s">
        <v>2464</v>
      </c>
      <c r="C32" s="42" t="s">
        <v>923</v>
      </c>
      <c r="D32" s="42" t="s">
        <v>923</v>
      </c>
      <c r="E32" s="42" t="s">
        <v>921</v>
      </c>
    </row>
    <row r="33" spans="1:5" ht="20" customHeight="1" x14ac:dyDescent="0.2">
      <c r="A33" s="50" t="s">
        <v>2468</v>
      </c>
      <c r="B33" s="50" t="s">
        <v>2469</v>
      </c>
      <c r="C33" s="50" t="s">
        <v>843</v>
      </c>
      <c r="D33" s="50" t="s">
        <v>921</v>
      </c>
      <c r="E33" s="50" t="s">
        <v>923</v>
      </c>
    </row>
    <row r="34" spans="1:5" ht="20" customHeight="1" x14ac:dyDescent="0.2">
      <c r="A34" s="42" t="s">
        <v>2475</v>
      </c>
      <c r="B34" s="42" t="s">
        <v>2476</v>
      </c>
      <c r="C34" s="42" t="s">
        <v>921</v>
      </c>
      <c r="D34" s="42" t="s">
        <v>843</v>
      </c>
      <c r="E34" s="42" t="s">
        <v>921</v>
      </c>
    </row>
    <row r="35" spans="1:5" ht="20" customHeight="1" x14ac:dyDescent="0.2">
      <c r="A35" s="50" t="s">
        <v>2483</v>
      </c>
      <c r="B35" s="50" t="s">
        <v>2484</v>
      </c>
      <c r="C35" s="50" t="s">
        <v>843</v>
      </c>
      <c r="D35" s="50" t="s">
        <v>921</v>
      </c>
      <c r="E35" s="50" t="s">
        <v>923</v>
      </c>
    </row>
    <row r="36" spans="1:5" ht="20" customHeight="1" x14ac:dyDescent="0.2">
      <c r="A36" s="42" t="s">
        <v>2490</v>
      </c>
      <c r="B36" s="42" t="s">
        <v>2491</v>
      </c>
      <c r="C36" s="42" t="s">
        <v>921</v>
      </c>
      <c r="D36" s="42" t="s">
        <v>843</v>
      </c>
      <c r="E36" s="42" t="s">
        <v>921</v>
      </c>
    </row>
    <row r="37" spans="1:5" ht="20" customHeight="1" x14ac:dyDescent="0.2">
      <c r="A37" s="50" t="s">
        <v>2497</v>
      </c>
      <c r="B37" s="50" t="s">
        <v>2498</v>
      </c>
      <c r="C37" s="50" t="s">
        <v>921</v>
      </c>
      <c r="D37" s="50" t="s">
        <v>843</v>
      </c>
      <c r="E37" s="50" t="s">
        <v>921</v>
      </c>
    </row>
    <row r="38" spans="1:5" ht="20" customHeight="1" x14ac:dyDescent="0.2">
      <c r="A38" s="42" t="s">
        <v>2502</v>
      </c>
      <c r="B38" s="42" t="s">
        <v>2503</v>
      </c>
      <c r="C38" s="42" t="s">
        <v>921</v>
      </c>
      <c r="D38" s="42" t="s">
        <v>843</v>
      </c>
      <c r="E38" s="42" t="s">
        <v>921</v>
      </c>
    </row>
  </sheetData>
  <mergeCells count="2">
    <mergeCell ref="A2:E2"/>
    <mergeCell ref="A1:E1"/>
  </mergeCells>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C38"/>
  <sheetViews>
    <sheetView showGridLines="0" rightToLeft="1" workbookViewId="0">
      <pane xSplit="2" ySplit="3" topLeftCell="C4" activePane="bottomRight" state="frozen"/>
      <selection pane="topRight"/>
      <selection pane="bottomLeft"/>
      <selection pane="bottomRight"/>
    </sheetView>
  </sheetViews>
  <sheetFormatPr baseColWidth="10" defaultColWidth="8.83203125" defaultRowHeight="15" x14ac:dyDescent="0.2"/>
  <cols>
    <col min="1" max="1" width="40" customWidth="1"/>
    <col min="2" max="2" width="38.1640625" customWidth="1"/>
    <col min="3" max="3" width="20.1640625" customWidth="1"/>
  </cols>
  <sheetData>
    <row r="1" spans="1:3" ht="34" customHeight="1" x14ac:dyDescent="0.2">
      <c r="A1" s="79" t="s">
        <v>2608</v>
      </c>
      <c r="B1" s="76"/>
      <c r="C1" s="76"/>
    </row>
    <row r="2" spans="1:3" ht="28" customHeight="1" x14ac:dyDescent="0.2">
      <c r="A2" s="86" t="s">
        <v>2609</v>
      </c>
      <c r="B2" s="76"/>
      <c r="C2" s="76"/>
    </row>
    <row r="3" spans="1:3" ht="30" customHeight="1" x14ac:dyDescent="0.2">
      <c r="A3" s="48" t="s">
        <v>617</v>
      </c>
      <c r="B3" s="48" t="s">
        <v>2529</v>
      </c>
      <c r="C3" s="48" t="s">
        <v>811</v>
      </c>
    </row>
    <row r="4" spans="1:3" ht="20" customHeight="1" x14ac:dyDescent="0.2">
      <c r="A4" s="42" t="s">
        <v>2262</v>
      </c>
      <c r="B4" s="42" t="s">
        <v>2263</v>
      </c>
      <c r="C4" s="42" t="s">
        <v>818</v>
      </c>
    </row>
    <row r="5" spans="1:3" ht="20" customHeight="1" x14ac:dyDescent="0.2">
      <c r="A5" s="50" t="s">
        <v>894</v>
      </c>
      <c r="B5" s="50" t="s">
        <v>760</v>
      </c>
      <c r="C5" s="50" t="s">
        <v>818</v>
      </c>
    </row>
    <row r="6" spans="1:3" ht="20" customHeight="1" x14ac:dyDescent="0.2">
      <c r="A6" s="42" t="s">
        <v>2281</v>
      </c>
      <c r="B6" s="42" t="s">
        <v>2282</v>
      </c>
      <c r="C6" s="42" t="s">
        <v>827</v>
      </c>
    </row>
    <row r="7" spans="1:3" ht="20" customHeight="1" x14ac:dyDescent="0.2">
      <c r="A7" s="50" t="s">
        <v>2288</v>
      </c>
      <c r="B7" s="50" t="s">
        <v>2289</v>
      </c>
      <c r="C7" s="50" t="s">
        <v>844</v>
      </c>
    </row>
    <row r="8" spans="1:3" ht="20" customHeight="1" x14ac:dyDescent="0.2">
      <c r="A8" s="42" t="s">
        <v>2297</v>
      </c>
      <c r="B8" s="42" t="s">
        <v>2298</v>
      </c>
      <c r="C8" s="42" t="s">
        <v>844</v>
      </c>
    </row>
    <row r="9" spans="1:3" ht="29" customHeight="1" x14ac:dyDescent="0.2">
      <c r="A9" s="50" t="s">
        <v>2304</v>
      </c>
      <c r="B9" s="50" t="s">
        <v>2305</v>
      </c>
      <c r="C9" s="50" t="s">
        <v>818</v>
      </c>
    </row>
    <row r="10" spans="1:3" ht="29" customHeight="1" x14ac:dyDescent="0.2">
      <c r="A10" s="42" t="s">
        <v>2312</v>
      </c>
      <c r="B10" s="42" t="s">
        <v>2313</v>
      </c>
      <c r="C10" s="42" t="s">
        <v>818</v>
      </c>
    </row>
    <row r="11" spans="1:3" ht="20" customHeight="1" x14ac:dyDescent="0.2">
      <c r="A11" s="50" t="s">
        <v>2322</v>
      </c>
      <c r="B11" s="50" t="s">
        <v>2323</v>
      </c>
      <c r="C11" s="50" t="s">
        <v>818</v>
      </c>
    </row>
    <row r="12" spans="1:3" ht="20" customHeight="1" x14ac:dyDescent="0.2">
      <c r="A12" s="42" t="s">
        <v>2332</v>
      </c>
      <c r="B12" s="42" t="s">
        <v>2333</v>
      </c>
      <c r="C12" s="42" t="s">
        <v>818</v>
      </c>
    </row>
    <row r="13" spans="1:3" ht="20" customHeight="1" x14ac:dyDescent="0.2">
      <c r="A13" s="50" t="s">
        <v>2337</v>
      </c>
      <c r="B13" s="50" t="s">
        <v>2338</v>
      </c>
      <c r="C13" s="50" t="s">
        <v>827</v>
      </c>
    </row>
    <row r="14" spans="1:3" ht="20" customHeight="1" x14ac:dyDescent="0.2">
      <c r="A14" s="42" t="s">
        <v>2343</v>
      </c>
      <c r="B14" s="42" t="s">
        <v>2344</v>
      </c>
      <c r="C14" s="42" t="s">
        <v>827</v>
      </c>
    </row>
    <row r="15" spans="1:3" ht="20" customHeight="1" x14ac:dyDescent="0.2">
      <c r="A15" s="50" t="s">
        <v>2348</v>
      </c>
      <c r="B15" s="50" t="s">
        <v>2349</v>
      </c>
      <c r="C15" s="50" t="s">
        <v>827</v>
      </c>
    </row>
    <row r="16" spans="1:3" ht="20" customHeight="1" x14ac:dyDescent="0.2">
      <c r="A16" s="42" t="s">
        <v>2353</v>
      </c>
      <c r="B16" s="42" t="s">
        <v>2354</v>
      </c>
      <c r="C16" s="42" t="s">
        <v>827</v>
      </c>
    </row>
    <row r="17" spans="1:3" ht="20" customHeight="1" x14ac:dyDescent="0.2">
      <c r="A17" s="50" t="s">
        <v>2361</v>
      </c>
      <c r="B17" s="50" t="s">
        <v>2362</v>
      </c>
      <c r="C17" s="50" t="s">
        <v>827</v>
      </c>
    </row>
    <row r="18" spans="1:3" ht="20" customHeight="1" x14ac:dyDescent="0.2">
      <c r="A18" s="42" t="s">
        <v>2368</v>
      </c>
      <c r="B18" s="42" t="s">
        <v>2369</v>
      </c>
      <c r="C18" s="42" t="s">
        <v>827</v>
      </c>
    </row>
    <row r="19" spans="1:3" ht="20" customHeight="1" x14ac:dyDescent="0.2">
      <c r="A19" s="50" t="s">
        <v>2376</v>
      </c>
      <c r="B19" s="50" t="s">
        <v>2377</v>
      </c>
      <c r="C19" s="50" t="s">
        <v>856</v>
      </c>
    </row>
    <row r="20" spans="1:3" ht="29" customHeight="1" x14ac:dyDescent="0.2">
      <c r="A20" s="42" t="s">
        <v>2384</v>
      </c>
      <c r="B20" s="42" t="s">
        <v>2385</v>
      </c>
      <c r="C20" s="42" t="s">
        <v>856</v>
      </c>
    </row>
    <row r="21" spans="1:3" ht="20" customHeight="1" x14ac:dyDescent="0.2">
      <c r="A21" s="50" t="s">
        <v>2391</v>
      </c>
      <c r="B21" s="50" t="s">
        <v>2392</v>
      </c>
      <c r="C21" s="50" t="s">
        <v>827</v>
      </c>
    </row>
    <row r="22" spans="1:3" ht="20" customHeight="1" x14ac:dyDescent="0.2">
      <c r="A22" s="42" t="s">
        <v>2397</v>
      </c>
      <c r="B22" s="42" t="s">
        <v>2398</v>
      </c>
      <c r="C22" s="42" t="s">
        <v>827</v>
      </c>
    </row>
    <row r="23" spans="1:3" ht="20" customHeight="1" x14ac:dyDescent="0.2">
      <c r="A23" s="50" t="s">
        <v>2402</v>
      </c>
      <c r="B23" s="50" t="s">
        <v>2403</v>
      </c>
      <c r="C23" s="50" t="s">
        <v>827</v>
      </c>
    </row>
    <row r="24" spans="1:3" ht="20" customHeight="1" x14ac:dyDescent="0.2">
      <c r="A24" s="42" t="s">
        <v>2407</v>
      </c>
      <c r="B24" s="42" t="s">
        <v>2408</v>
      </c>
      <c r="C24" s="42" t="s">
        <v>844</v>
      </c>
    </row>
    <row r="25" spans="1:3" ht="20" customHeight="1" x14ac:dyDescent="0.2">
      <c r="A25" s="50" t="s">
        <v>2411</v>
      </c>
      <c r="B25" s="50" t="s">
        <v>2412</v>
      </c>
      <c r="C25" s="50" t="s">
        <v>827</v>
      </c>
    </row>
    <row r="26" spans="1:3" ht="20" customHeight="1" x14ac:dyDescent="0.2">
      <c r="A26" s="42" t="s">
        <v>2416</v>
      </c>
      <c r="B26" s="42" t="s">
        <v>2417</v>
      </c>
      <c r="C26" s="42" t="s">
        <v>818</v>
      </c>
    </row>
    <row r="27" spans="1:3" ht="20" customHeight="1" x14ac:dyDescent="0.2">
      <c r="A27" s="50" t="s">
        <v>2424</v>
      </c>
      <c r="B27" s="50" t="s">
        <v>2425</v>
      </c>
      <c r="C27" s="50" t="s">
        <v>827</v>
      </c>
    </row>
    <row r="28" spans="1:3" ht="29" customHeight="1" x14ac:dyDescent="0.2">
      <c r="A28" s="42" t="s">
        <v>2430</v>
      </c>
      <c r="B28" s="42" t="s">
        <v>2431</v>
      </c>
      <c r="C28" s="42" t="s">
        <v>856</v>
      </c>
    </row>
    <row r="29" spans="1:3" ht="20" customHeight="1" x14ac:dyDescent="0.2">
      <c r="A29" s="50" t="s">
        <v>2437</v>
      </c>
      <c r="B29" s="50" t="s">
        <v>2438</v>
      </c>
      <c r="C29" s="50" t="s">
        <v>856</v>
      </c>
    </row>
    <row r="30" spans="1:3" ht="20" customHeight="1" x14ac:dyDescent="0.2">
      <c r="A30" s="42" t="s">
        <v>2448</v>
      </c>
      <c r="B30" s="42" t="s">
        <v>2449</v>
      </c>
      <c r="C30" s="42" t="s">
        <v>856</v>
      </c>
    </row>
    <row r="31" spans="1:3" ht="20" customHeight="1" x14ac:dyDescent="0.2">
      <c r="A31" s="50" t="s">
        <v>2453</v>
      </c>
      <c r="B31" s="50" t="s">
        <v>2454</v>
      </c>
      <c r="C31" s="50" t="s">
        <v>856</v>
      </c>
    </row>
    <row r="32" spans="1:3" ht="20" customHeight="1" x14ac:dyDescent="0.2">
      <c r="A32" s="42" t="s">
        <v>2463</v>
      </c>
      <c r="B32" s="42" t="s">
        <v>2464</v>
      </c>
      <c r="C32" s="42" t="s">
        <v>856</v>
      </c>
    </row>
    <row r="33" spans="1:3" ht="20" customHeight="1" x14ac:dyDescent="0.2">
      <c r="A33" s="50" t="s">
        <v>2468</v>
      </c>
      <c r="B33" s="50" t="s">
        <v>2469</v>
      </c>
      <c r="C33" s="50" t="s">
        <v>844</v>
      </c>
    </row>
    <row r="34" spans="1:3" ht="20" customHeight="1" x14ac:dyDescent="0.2">
      <c r="A34" s="42" t="s">
        <v>2475</v>
      </c>
      <c r="B34" s="42" t="s">
        <v>2476</v>
      </c>
      <c r="C34" s="42" t="s">
        <v>827</v>
      </c>
    </row>
    <row r="35" spans="1:3" ht="20" customHeight="1" x14ac:dyDescent="0.2">
      <c r="A35" s="50" t="s">
        <v>2483</v>
      </c>
      <c r="B35" s="50" t="s">
        <v>2484</v>
      </c>
      <c r="C35" s="50" t="s">
        <v>844</v>
      </c>
    </row>
    <row r="36" spans="1:3" ht="20" customHeight="1" x14ac:dyDescent="0.2">
      <c r="A36" s="42" t="s">
        <v>2490</v>
      </c>
      <c r="B36" s="42" t="s">
        <v>2491</v>
      </c>
      <c r="C36" s="42" t="s">
        <v>818</v>
      </c>
    </row>
    <row r="37" spans="1:3" ht="20" customHeight="1" x14ac:dyDescent="0.2">
      <c r="A37" s="50" t="s">
        <v>2497</v>
      </c>
      <c r="B37" s="50" t="s">
        <v>2498</v>
      </c>
      <c r="C37" s="50" t="s">
        <v>827</v>
      </c>
    </row>
    <row r="38" spans="1:3" ht="20" customHeight="1" x14ac:dyDescent="0.2">
      <c r="A38" s="42" t="s">
        <v>2502</v>
      </c>
      <c r="B38" s="42" t="s">
        <v>2503</v>
      </c>
      <c r="C38" s="42" t="s">
        <v>827</v>
      </c>
    </row>
  </sheetData>
  <mergeCells count="2">
    <mergeCell ref="A1:C1"/>
    <mergeCell ref="A2:C2"/>
  </mergeCells>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D38"/>
  <sheetViews>
    <sheetView showGridLines="0" rightToLeft="1" workbookViewId="0">
      <pane xSplit="2" ySplit="3" topLeftCell="C4" activePane="bottomRight" state="frozen"/>
      <selection pane="topRight"/>
      <selection pane="bottomLeft"/>
      <selection pane="bottomRight"/>
    </sheetView>
  </sheetViews>
  <sheetFormatPr baseColWidth="10" defaultColWidth="8.83203125" defaultRowHeight="15" x14ac:dyDescent="0.2"/>
  <cols>
    <col min="1" max="1" width="42" customWidth="1"/>
    <col min="2" max="2" width="38.1640625" customWidth="1"/>
    <col min="3" max="3" width="39.1640625" customWidth="1"/>
    <col min="4" max="4" width="24.83203125" customWidth="1"/>
  </cols>
  <sheetData>
    <row r="1" spans="1:4" ht="34" customHeight="1" x14ac:dyDescent="0.2">
      <c r="A1" s="79" t="s">
        <v>2610</v>
      </c>
      <c r="B1" s="76"/>
      <c r="C1" s="76"/>
      <c r="D1" s="76"/>
    </row>
    <row r="2" spans="1:4" ht="28" customHeight="1" x14ac:dyDescent="0.2">
      <c r="A2" s="86" t="s">
        <v>2611</v>
      </c>
      <c r="B2" s="76"/>
      <c r="C2" s="76"/>
      <c r="D2" s="76"/>
    </row>
    <row r="3" spans="1:4" ht="30" customHeight="1" x14ac:dyDescent="0.2">
      <c r="A3" s="48" t="s">
        <v>617</v>
      </c>
      <c r="B3" s="48" t="s">
        <v>2529</v>
      </c>
      <c r="C3" s="48" t="s">
        <v>924</v>
      </c>
      <c r="D3" s="48" t="s">
        <v>2612</v>
      </c>
    </row>
    <row r="4" spans="1:4" ht="20" customHeight="1" x14ac:dyDescent="0.2">
      <c r="A4" s="42" t="s">
        <v>2262</v>
      </c>
      <c r="B4" s="42" t="s">
        <v>2263</v>
      </c>
      <c r="C4" s="42" t="s">
        <v>2273</v>
      </c>
      <c r="D4" s="42" t="s">
        <v>2274</v>
      </c>
    </row>
    <row r="5" spans="1:4" ht="20" customHeight="1" x14ac:dyDescent="0.2">
      <c r="A5" s="50" t="s">
        <v>894</v>
      </c>
      <c r="B5" s="50" t="s">
        <v>760</v>
      </c>
      <c r="C5" s="50" t="s">
        <v>2279</v>
      </c>
      <c r="D5" s="50" t="s">
        <v>923</v>
      </c>
    </row>
    <row r="6" spans="1:4" ht="20" customHeight="1" x14ac:dyDescent="0.2">
      <c r="A6" s="42" t="s">
        <v>2281</v>
      </c>
      <c r="B6" s="42" t="s">
        <v>2282</v>
      </c>
      <c r="C6" s="42" t="s">
        <v>2287</v>
      </c>
      <c r="D6" s="42" t="s">
        <v>843</v>
      </c>
    </row>
    <row r="7" spans="1:4" ht="20" customHeight="1" x14ac:dyDescent="0.2">
      <c r="A7" s="50" t="s">
        <v>2288</v>
      </c>
      <c r="B7" s="50" t="s">
        <v>2289</v>
      </c>
      <c r="C7" s="50" t="s">
        <v>2295</v>
      </c>
      <c r="D7" s="50" t="s">
        <v>2274</v>
      </c>
    </row>
    <row r="8" spans="1:4" ht="20" customHeight="1" x14ac:dyDescent="0.2">
      <c r="A8" s="42" t="s">
        <v>2297</v>
      </c>
      <c r="B8" s="42" t="s">
        <v>2298</v>
      </c>
      <c r="C8" s="42" t="s">
        <v>2303</v>
      </c>
      <c r="D8" s="42" t="s">
        <v>2274</v>
      </c>
    </row>
    <row r="9" spans="1:4" ht="29" customHeight="1" x14ac:dyDescent="0.2">
      <c r="A9" s="50" t="s">
        <v>2304</v>
      </c>
      <c r="B9" s="50" t="s">
        <v>2305</v>
      </c>
      <c r="C9" s="50" t="s">
        <v>2311</v>
      </c>
      <c r="D9" s="50" t="s">
        <v>923</v>
      </c>
    </row>
    <row r="10" spans="1:4" ht="29" customHeight="1" x14ac:dyDescent="0.2">
      <c r="A10" s="42" t="s">
        <v>2312</v>
      </c>
      <c r="B10" s="42" t="s">
        <v>2313</v>
      </c>
      <c r="C10" s="42" t="s">
        <v>2069</v>
      </c>
      <c r="D10" s="42" t="s">
        <v>923</v>
      </c>
    </row>
    <row r="11" spans="1:4" ht="20" customHeight="1" x14ac:dyDescent="0.2">
      <c r="A11" s="50" t="s">
        <v>2322</v>
      </c>
      <c r="B11" s="50" t="s">
        <v>2323</v>
      </c>
      <c r="C11" s="50" t="s">
        <v>2331</v>
      </c>
      <c r="D11" s="50" t="s">
        <v>843</v>
      </c>
    </row>
    <row r="12" spans="1:4" ht="20" customHeight="1" x14ac:dyDescent="0.2">
      <c r="A12" s="42" t="s">
        <v>2332</v>
      </c>
      <c r="B12" s="42" t="s">
        <v>2333</v>
      </c>
      <c r="C12" s="42" t="s">
        <v>2331</v>
      </c>
      <c r="D12" s="42" t="s">
        <v>843</v>
      </c>
    </row>
    <row r="13" spans="1:4" ht="20" customHeight="1" x14ac:dyDescent="0.2">
      <c r="A13" s="50" t="s">
        <v>2337</v>
      </c>
      <c r="B13" s="50" t="s">
        <v>2338</v>
      </c>
      <c r="C13" s="50" t="s">
        <v>2342</v>
      </c>
      <c r="D13" s="50" t="s">
        <v>843</v>
      </c>
    </row>
    <row r="14" spans="1:4" ht="20" customHeight="1" x14ac:dyDescent="0.2">
      <c r="A14" s="42" t="s">
        <v>2343</v>
      </c>
      <c r="B14" s="42" t="s">
        <v>2344</v>
      </c>
      <c r="C14" s="42" t="s">
        <v>963</v>
      </c>
      <c r="D14" s="42" t="s">
        <v>843</v>
      </c>
    </row>
    <row r="15" spans="1:4" ht="20" customHeight="1" x14ac:dyDescent="0.2">
      <c r="A15" s="50" t="s">
        <v>2348</v>
      </c>
      <c r="B15" s="50" t="s">
        <v>2349</v>
      </c>
      <c r="C15" s="50" t="s">
        <v>2069</v>
      </c>
      <c r="D15" s="50" t="s">
        <v>843</v>
      </c>
    </row>
    <row r="16" spans="1:4" ht="20" customHeight="1" x14ac:dyDescent="0.2">
      <c r="A16" s="42" t="s">
        <v>2353</v>
      </c>
      <c r="B16" s="42" t="s">
        <v>2354</v>
      </c>
      <c r="C16" s="42" t="s">
        <v>1869</v>
      </c>
      <c r="D16" s="42" t="s">
        <v>1869</v>
      </c>
    </row>
    <row r="17" spans="1:4" ht="20" customHeight="1" x14ac:dyDescent="0.2">
      <c r="A17" s="50" t="s">
        <v>2361</v>
      </c>
      <c r="B17" s="50" t="s">
        <v>2362</v>
      </c>
      <c r="C17" s="50" t="s">
        <v>2069</v>
      </c>
      <c r="D17" s="50" t="s">
        <v>921</v>
      </c>
    </row>
    <row r="18" spans="1:4" ht="20" customHeight="1" x14ac:dyDescent="0.2">
      <c r="A18" s="42" t="s">
        <v>2368</v>
      </c>
      <c r="B18" s="42" t="s">
        <v>2369</v>
      </c>
      <c r="C18" s="42" t="s">
        <v>2375</v>
      </c>
      <c r="D18" s="42" t="s">
        <v>923</v>
      </c>
    </row>
    <row r="19" spans="1:4" ht="20" customHeight="1" x14ac:dyDescent="0.2">
      <c r="A19" s="50" t="s">
        <v>2376</v>
      </c>
      <c r="B19" s="50" t="s">
        <v>2377</v>
      </c>
      <c r="C19" s="50" t="s">
        <v>2069</v>
      </c>
      <c r="D19" s="50" t="s">
        <v>921</v>
      </c>
    </row>
    <row r="20" spans="1:4" ht="29" customHeight="1" x14ac:dyDescent="0.2">
      <c r="A20" s="42" t="s">
        <v>2384</v>
      </c>
      <c r="B20" s="42" t="s">
        <v>2385</v>
      </c>
      <c r="C20" s="42" t="s">
        <v>2069</v>
      </c>
      <c r="D20" s="42" t="s">
        <v>921</v>
      </c>
    </row>
    <row r="21" spans="1:4" ht="20" customHeight="1" x14ac:dyDescent="0.2">
      <c r="A21" s="50" t="s">
        <v>2391</v>
      </c>
      <c r="B21" s="50" t="s">
        <v>2392</v>
      </c>
      <c r="C21" s="50" t="s">
        <v>2396</v>
      </c>
      <c r="D21" s="50" t="s">
        <v>923</v>
      </c>
    </row>
    <row r="22" spans="1:4" ht="20" customHeight="1" x14ac:dyDescent="0.2">
      <c r="A22" s="42" t="s">
        <v>2397</v>
      </c>
      <c r="B22" s="42" t="s">
        <v>2398</v>
      </c>
      <c r="C22" s="42" t="s">
        <v>963</v>
      </c>
      <c r="D22" s="42" t="s">
        <v>843</v>
      </c>
    </row>
    <row r="23" spans="1:4" ht="20" customHeight="1" x14ac:dyDescent="0.2">
      <c r="A23" s="50" t="s">
        <v>2402</v>
      </c>
      <c r="B23" s="50" t="s">
        <v>2403</v>
      </c>
      <c r="C23" s="50" t="s">
        <v>2069</v>
      </c>
      <c r="D23" s="50" t="s">
        <v>923</v>
      </c>
    </row>
    <row r="24" spans="1:4" ht="20" customHeight="1" x14ac:dyDescent="0.2">
      <c r="A24" s="42" t="s">
        <v>2407</v>
      </c>
      <c r="B24" s="42" t="s">
        <v>2408</v>
      </c>
      <c r="C24" s="42" t="s">
        <v>2069</v>
      </c>
      <c r="D24" s="42" t="s">
        <v>923</v>
      </c>
    </row>
    <row r="25" spans="1:4" ht="20" customHeight="1" x14ac:dyDescent="0.2">
      <c r="A25" s="50" t="s">
        <v>2411</v>
      </c>
      <c r="B25" s="50" t="s">
        <v>2412</v>
      </c>
      <c r="C25" s="50" t="s">
        <v>2069</v>
      </c>
      <c r="D25" s="50" t="s">
        <v>923</v>
      </c>
    </row>
    <row r="26" spans="1:4" ht="20" customHeight="1" x14ac:dyDescent="0.2">
      <c r="A26" s="42" t="s">
        <v>2416</v>
      </c>
      <c r="B26" s="42" t="s">
        <v>2417</v>
      </c>
      <c r="C26" s="42" t="s">
        <v>2423</v>
      </c>
      <c r="D26" s="42" t="s">
        <v>921</v>
      </c>
    </row>
    <row r="27" spans="1:4" ht="20" customHeight="1" x14ac:dyDescent="0.2">
      <c r="A27" s="50" t="s">
        <v>2424</v>
      </c>
      <c r="B27" s="50" t="s">
        <v>2425</v>
      </c>
      <c r="C27" s="50" t="s">
        <v>1869</v>
      </c>
      <c r="D27" s="50" t="s">
        <v>1869</v>
      </c>
    </row>
    <row r="28" spans="1:4" ht="29" customHeight="1" x14ac:dyDescent="0.2">
      <c r="A28" s="42" t="s">
        <v>2430</v>
      </c>
      <c r="B28" s="42" t="s">
        <v>2431</v>
      </c>
      <c r="C28" s="42" t="s">
        <v>2069</v>
      </c>
      <c r="D28" s="42" t="s">
        <v>921</v>
      </c>
    </row>
    <row r="29" spans="1:4" ht="20" customHeight="1" x14ac:dyDescent="0.2">
      <c r="A29" s="50" t="s">
        <v>2437</v>
      </c>
      <c r="B29" s="50" t="s">
        <v>2438</v>
      </c>
      <c r="C29" s="50" t="s">
        <v>2447</v>
      </c>
      <c r="D29" s="50" t="s">
        <v>923</v>
      </c>
    </row>
    <row r="30" spans="1:4" ht="20" customHeight="1" x14ac:dyDescent="0.2">
      <c r="A30" s="42" t="s">
        <v>2448</v>
      </c>
      <c r="B30" s="42" t="s">
        <v>2449</v>
      </c>
      <c r="C30" s="42" t="s">
        <v>963</v>
      </c>
      <c r="D30" s="42" t="s">
        <v>843</v>
      </c>
    </row>
    <row r="31" spans="1:4" ht="20" customHeight="1" x14ac:dyDescent="0.2">
      <c r="A31" s="50" t="s">
        <v>2453</v>
      </c>
      <c r="B31" s="50" t="s">
        <v>2454</v>
      </c>
      <c r="C31" s="50" t="s">
        <v>2462</v>
      </c>
      <c r="D31" s="50" t="s">
        <v>923</v>
      </c>
    </row>
    <row r="32" spans="1:4" ht="20" customHeight="1" x14ac:dyDescent="0.2">
      <c r="A32" s="42" t="s">
        <v>2463</v>
      </c>
      <c r="B32" s="42" t="s">
        <v>2464</v>
      </c>
      <c r="C32" s="42" t="s">
        <v>2069</v>
      </c>
      <c r="D32" s="42" t="s">
        <v>923</v>
      </c>
    </row>
    <row r="33" spans="1:4" ht="20" customHeight="1" x14ac:dyDescent="0.2">
      <c r="A33" s="50" t="s">
        <v>2468</v>
      </c>
      <c r="B33" s="50" t="s">
        <v>2469</v>
      </c>
      <c r="C33" s="50" t="s">
        <v>2069</v>
      </c>
      <c r="D33" s="50" t="s">
        <v>921</v>
      </c>
    </row>
    <row r="34" spans="1:4" ht="20" customHeight="1" x14ac:dyDescent="0.2">
      <c r="A34" s="42" t="s">
        <v>2475</v>
      </c>
      <c r="B34" s="42" t="s">
        <v>2476</v>
      </c>
      <c r="C34" s="42" t="s">
        <v>2482</v>
      </c>
      <c r="D34" s="42" t="s">
        <v>2274</v>
      </c>
    </row>
    <row r="35" spans="1:4" ht="20" customHeight="1" x14ac:dyDescent="0.2">
      <c r="A35" s="50" t="s">
        <v>2483</v>
      </c>
      <c r="B35" s="50" t="s">
        <v>2484</v>
      </c>
      <c r="C35" s="50" t="s">
        <v>2069</v>
      </c>
      <c r="D35" s="50" t="s">
        <v>921</v>
      </c>
    </row>
    <row r="36" spans="1:4" ht="20" customHeight="1" x14ac:dyDescent="0.2">
      <c r="A36" s="42" t="s">
        <v>2490</v>
      </c>
      <c r="B36" s="42" t="s">
        <v>2491</v>
      </c>
      <c r="C36" s="42" t="s">
        <v>2496</v>
      </c>
      <c r="D36" s="42" t="s">
        <v>2274</v>
      </c>
    </row>
    <row r="37" spans="1:4" ht="20" customHeight="1" x14ac:dyDescent="0.2">
      <c r="A37" s="50" t="s">
        <v>2497</v>
      </c>
      <c r="B37" s="50" t="s">
        <v>2498</v>
      </c>
      <c r="C37" s="50" t="s">
        <v>2501</v>
      </c>
      <c r="D37" s="50" t="s">
        <v>2274</v>
      </c>
    </row>
    <row r="38" spans="1:4" ht="20" customHeight="1" x14ac:dyDescent="0.2">
      <c r="A38" s="42" t="s">
        <v>2502</v>
      </c>
      <c r="B38" s="42" t="s">
        <v>2503</v>
      </c>
      <c r="C38" s="42" t="s">
        <v>2507</v>
      </c>
      <c r="D38" s="42" t="s">
        <v>2274</v>
      </c>
    </row>
  </sheetData>
  <mergeCells count="2">
    <mergeCell ref="A1:D1"/>
    <mergeCell ref="A2:D2"/>
  </mergeCells>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D38"/>
  <sheetViews>
    <sheetView showGridLines="0" rightToLeft="1" workbookViewId="0">
      <pane xSplit="2" ySplit="3" topLeftCell="C4" activePane="bottomRight" state="frozen"/>
      <selection pane="topRight"/>
      <selection pane="bottomLeft"/>
      <selection pane="bottomRight"/>
    </sheetView>
  </sheetViews>
  <sheetFormatPr baseColWidth="10" defaultColWidth="8.83203125" defaultRowHeight="15" x14ac:dyDescent="0.2"/>
  <cols>
    <col min="1" max="1" width="42" customWidth="1"/>
    <col min="2" max="2" width="38.1640625" customWidth="1"/>
    <col min="3" max="3" width="13.5" customWidth="1"/>
    <col min="4" max="4" width="39.1640625" customWidth="1"/>
  </cols>
  <sheetData>
    <row r="1" spans="1:4" ht="34" customHeight="1" x14ac:dyDescent="0.2">
      <c r="A1" s="79" t="s">
        <v>2612</v>
      </c>
      <c r="B1" s="76"/>
      <c r="C1" s="76"/>
      <c r="D1" s="76"/>
    </row>
    <row r="2" spans="1:4" ht="28" customHeight="1" x14ac:dyDescent="0.2">
      <c r="A2" s="86" t="s">
        <v>2613</v>
      </c>
      <c r="B2" s="76"/>
      <c r="C2" s="76"/>
      <c r="D2" s="76"/>
    </row>
    <row r="3" spans="1:4" ht="30" customHeight="1" x14ac:dyDescent="0.2">
      <c r="A3" s="48" t="s">
        <v>617</v>
      </c>
      <c r="B3" s="48" t="s">
        <v>2529</v>
      </c>
      <c r="C3" s="48" t="s">
        <v>2614</v>
      </c>
      <c r="D3" s="48" t="s">
        <v>1230</v>
      </c>
    </row>
    <row r="4" spans="1:4" ht="20" customHeight="1" x14ac:dyDescent="0.2">
      <c r="A4" s="42" t="s">
        <v>2262</v>
      </c>
      <c r="B4" s="42" t="s">
        <v>2263</v>
      </c>
      <c r="C4" s="42" t="s">
        <v>2274</v>
      </c>
      <c r="D4" s="42" t="s">
        <v>2273</v>
      </c>
    </row>
    <row r="5" spans="1:4" ht="20" customHeight="1" x14ac:dyDescent="0.2">
      <c r="A5" s="50" t="s">
        <v>894</v>
      </c>
      <c r="B5" s="50" t="s">
        <v>760</v>
      </c>
      <c r="C5" s="50" t="s">
        <v>923</v>
      </c>
      <c r="D5" s="50" t="s">
        <v>2279</v>
      </c>
    </row>
    <row r="6" spans="1:4" ht="20" customHeight="1" x14ac:dyDescent="0.2">
      <c r="A6" s="42" t="s">
        <v>2281</v>
      </c>
      <c r="B6" s="42" t="s">
        <v>2282</v>
      </c>
      <c r="C6" s="42" t="s">
        <v>843</v>
      </c>
      <c r="D6" s="42" t="s">
        <v>2287</v>
      </c>
    </row>
    <row r="7" spans="1:4" ht="20" customHeight="1" x14ac:dyDescent="0.2">
      <c r="A7" s="50" t="s">
        <v>2288</v>
      </c>
      <c r="B7" s="50" t="s">
        <v>2289</v>
      </c>
      <c r="C7" s="50" t="s">
        <v>2274</v>
      </c>
      <c r="D7" s="50" t="s">
        <v>2295</v>
      </c>
    </row>
    <row r="8" spans="1:4" ht="20" customHeight="1" x14ac:dyDescent="0.2">
      <c r="A8" s="42" t="s">
        <v>2297</v>
      </c>
      <c r="B8" s="42" t="s">
        <v>2298</v>
      </c>
      <c r="C8" s="42" t="s">
        <v>2274</v>
      </c>
      <c r="D8" s="42" t="s">
        <v>2303</v>
      </c>
    </row>
    <row r="9" spans="1:4" ht="29" customHeight="1" x14ac:dyDescent="0.2">
      <c r="A9" s="50" t="s">
        <v>2304</v>
      </c>
      <c r="B9" s="50" t="s">
        <v>2305</v>
      </c>
      <c r="C9" s="50" t="s">
        <v>923</v>
      </c>
      <c r="D9" s="50" t="s">
        <v>2311</v>
      </c>
    </row>
    <row r="10" spans="1:4" ht="29" customHeight="1" x14ac:dyDescent="0.2">
      <c r="A10" s="42" t="s">
        <v>2312</v>
      </c>
      <c r="B10" s="42" t="s">
        <v>2313</v>
      </c>
      <c r="C10" s="42" t="s">
        <v>923</v>
      </c>
      <c r="D10" s="42" t="s">
        <v>2069</v>
      </c>
    </row>
    <row r="11" spans="1:4" ht="20" customHeight="1" x14ac:dyDescent="0.2">
      <c r="A11" s="50" t="s">
        <v>2322</v>
      </c>
      <c r="B11" s="50" t="s">
        <v>2323</v>
      </c>
      <c r="C11" s="50" t="s">
        <v>843</v>
      </c>
      <c r="D11" s="50" t="s">
        <v>2331</v>
      </c>
    </row>
    <row r="12" spans="1:4" ht="20" customHeight="1" x14ac:dyDescent="0.2">
      <c r="A12" s="42" t="s">
        <v>2332</v>
      </c>
      <c r="B12" s="42" t="s">
        <v>2333</v>
      </c>
      <c r="C12" s="42" t="s">
        <v>843</v>
      </c>
      <c r="D12" s="42" t="s">
        <v>2331</v>
      </c>
    </row>
    <row r="13" spans="1:4" ht="20" customHeight="1" x14ac:dyDescent="0.2">
      <c r="A13" s="50" t="s">
        <v>2337</v>
      </c>
      <c r="B13" s="50" t="s">
        <v>2338</v>
      </c>
      <c r="C13" s="50" t="s">
        <v>843</v>
      </c>
      <c r="D13" s="50" t="s">
        <v>2342</v>
      </c>
    </row>
    <row r="14" spans="1:4" ht="20" customHeight="1" x14ac:dyDescent="0.2">
      <c r="A14" s="42" t="s">
        <v>2343</v>
      </c>
      <c r="B14" s="42" t="s">
        <v>2344</v>
      </c>
      <c r="C14" s="42" t="s">
        <v>843</v>
      </c>
      <c r="D14" s="42" t="s">
        <v>963</v>
      </c>
    </row>
    <row r="15" spans="1:4" ht="20" customHeight="1" x14ac:dyDescent="0.2">
      <c r="A15" s="50" t="s">
        <v>2348</v>
      </c>
      <c r="B15" s="50" t="s">
        <v>2349</v>
      </c>
      <c r="C15" s="50" t="s">
        <v>843</v>
      </c>
      <c r="D15" s="50" t="s">
        <v>2069</v>
      </c>
    </row>
    <row r="16" spans="1:4" ht="20" customHeight="1" x14ac:dyDescent="0.2">
      <c r="A16" s="42" t="s">
        <v>2353</v>
      </c>
      <c r="B16" s="42" t="s">
        <v>2354</v>
      </c>
      <c r="C16" s="42" t="s">
        <v>1869</v>
      </c>
      <c r="D16" s="42" t="s">
        <v>1869</v>
      </c>
    </row>
    <row r="17" spans="1:4" ht="20" customHeight="1" x14ac:dyDescent="0.2">
      <c r="A17" s="50" t="s">
        <v>2361</v>
      </c>
      <c r="B17" s="50" t="s">
        <v>2362</v>
      </c>
      <c r="C17" s="50" t="s">
        <v>921</v>
      </c>
      <c r="D17" s="50" t="s">
        <v>2069</v>
      </c>
    </row>
    <row r="18" spans="1:4" ht="20" customHeight="1" x14ac:dyDescent="0.2">
      <c r="A18" s="42" t="s">
        <v>2368</v>
      </c>
      <c r="B18" s="42" t="s">
        <v>2369</v>
      </c>
      <c r="C18" s="42" t="s">
        <v>923</v>
      </c>
      <c r="D18" s="42" t="s">
        <v>2375</v>
      </c>
    </row>
    <row r="19" spans="1:4" ht="20" customHeight="1" x14ac:dyDescent="0.2">
      <c r="A19" s="50" t="s">
        <v>2376</v>
      </c>
      <c r="B19" s="50" t="s">
        <v>2377</v>
      </c>
      <c r="C19" s="50" t="s">
        <v>921</v>
      </c>
      <c r="D19" s="50" t="s">
        <v>2069</v>
      </c>
    </row>
    <row r="20" spans="1:4" ht="29" customHeight="1" x14ac:dyDescent="0.2">
      <c r="A20" s="42" t="s">
        <v>2384</v>
      </c>
      <c r="B20" s="42" t="s">
        <v>2385</v>
      </c>
      <c r="C20" s="42" t="s">
        <v>921</v>
      </c>
      <c r="D20" s="42" t="s">
        <v>2069</v>
      </c>
    </row>
    <row r="21" spans="1:4" ht="20" customHeight="1" x14ac:dyDescent="0.2">
      <c r="A21" s="50" t="s">
        <v>2391</v>
      </c>
      <c r="B21" s="50" t="s">
        <v>2392</v>
      </c>
      <c r="C21" s="50" t="s">
        <v>923</v>
      </c>
      <c r="D21" s="50" t="s">
        <v>2396</v>
      </c>
    </row>
    <row r="22" spans="1:4" ht="20" customHeight="1" x14ac:dyDescent="0.2">
      <c r="A22" s="42" t="s">
        <v>2397</v>
      </c>
      <c r="B22" s="42" t="s">
        <v>2398</v>
      </c>
      <c r="C22" s="42" t="s">
        <v>843</v>
      </c>
      <c r="D22" s="42" t="s">
        <v>963</v>
      </c>
    </row>
    <row r="23" spans="1:4" ht="20" customHeight="1" x14ac:dyDescent="0.2">
      <c r="A23" s="50" t="s">
        <v>2402</v>
      </c>
      <c r="B23" s="50" t="s">
        <v>2403</v>
      </c>
      <c r="C23" s="50" t="s">
        <v>923</v>
      </c>
      <c r="D23" s="50" t="s">
        <v>2069</v>
      </c>
    </row>
    <row r="24" spans="1:4" ht="20" customHeight="1" x14ac:dyDescent="0.2">
      <c r="A24" s="42" t="s">
        <v>2407</v>
      </c>
      <c r="B24" s="42" t="s">
        <v>2408</v>
      </c>
      <c r="C24" s="42" t="s">
        <v>923</v>
      </c>
      <c r="D24" s="42" t="s">
        <v>2069</v>
      </c>
    </row>
    <row r="25" spans="1:4" ht="20" customHeight="1" x14ac:dyDescent="0.2">
      <c r="A25" s="50" t="s">
        <v>2411</v>
      </c>
      <c r="B25" s="50" t="s">
        <v>2412</v>
      </c>
      <c r="C25" s="50" t="s">
        <v>923</v>
      </c>
      <c r="D25" s="50" t="s">
        <v>2069</v>
      </c>
    </row>
    <row r="26" spans="1:4" ht="20" customHeight="1" x14ac:dyDescent="0.2">
      <c r="A26" s="42" t="s">
        <v>2416</v>
      </c>
      <c r="B26" s="42" t="s">
        <v>2417</v>
      </c>
      <c r="C26" s="42" t="s">
        <v>921</v>
      </c>
      <c r="D26" s="42" t="s">
        <v>2423</v>
      </c>
    </row>
    <row r="27" spans="1:4" ht="20" customHeight="1" x14ac:dyDescent="0.2">
      <c r="A27" s="50" t="s">
        <v>2424</v>
      </c>
      <c r="B27" s="50" t="s">
        <v>2425</v>
      </c>
      <c r="C27" s="50" t="s">
        <v>1869</v>
      </c>
      <c r="D27" s="50" t="s">
        <v>1869</v>
      </c>
    </row>
    <row r="28" spans="1:4" ht="29" customHeight="1" x14ac:dyDescent="0.2">
      <c r="A28" s="42" t="s">
        <v>2430</v>
      </c>
      <c r="B28" s="42" t="s">
        <v>2431</v>
      </c>
      <c r="C28" s="42" t="s">
        <v>921</v>
      </c>
      <c r="D28" s="42" t="s">
        <v>2069</v>
      </c>
    </row>
    <row r="29" spans="1:4" ht="20" customHeight="1" x14ac:dyDescent="0.2">
      <c r="A29" s="50" t="s">
        <v>2437</v>
      </c>
      <c r="B29" s="50" t="s">
        <v>2438</v>
      </c>
      <c r="C29" s="50" t="s">
        <v>923</v>
      </c>
      <c r="D29" s="50" t="s">
        <v>2447</v>
      </c>
    </row>
    <row r="30" spans="1:4" ht="20" customHeight="1" x14ac:dyDescent="0.2">
      <c r="A30" s="42" t="s">
        <v>2448</v>
      </c>
      <c r="B30" s="42" t="s">
        <v>2449</v>
      </c>
      <c r="C30" s="42" t="s">
        <v>843</v>
      </c>
      <c r="D30" s="42" t="s">
        <v>963</v>
      </c>
    </row>
    <row r="31" spans="1:4" ht="20" customHeight="1" x14ac:dyDescent="0.2">
      <c r="A31" s="50" t="s">
        <v>2453</v>
      </c>
      <c r="B31" s="50" t="s">
        <v>2454</v>
      </c>
      <c r="C31" s="50" t="s">
        <v>923</v>
      </c>
      <c r="D31" s="50" t="s">
        <v>2462</v>
      </c>
    </row>
    <row r="32" spans="1:4" ht="20" customHeight="1" x14ac:dyDescent="0.2">
      <c r="A32" s="42" t="s">
        <v>2463</v>
      </c>
      <c r="B32" s="42" t="s">
        <v>2464</v>
      </c>
      <c r="C32" s="42" t="s">
        <v>923</v>
      </c>
      <c r="D32" s="42" t="s">
        <v>2069</v>
      </c>
    </row>
    <row r="33" spans="1:4" ht="20" customHeight="1" x14ac:dyDescent="0.2">
      <c r="A33" s="50" t="s">
        <v>2468</v>
      </c>
      <c r="B33" s="50" t="s">
        <v>2469</v>
      </c>
      <c r="C33" s="50" t="s">
        <v>921</v>
      </c>
      <c r="D33" s="50" t="s">
        <v>2069</v>
      </c>
    </row>
    <row r="34" spans="1:4" ht="20" customHeight="1" x14ac:dyDescent="0.2">
      <c r="A34" s="42" t="s">
        <v>2475</v>
      </c>
      <c r="B34" s="42" t="s">
        <v>2476</v>
      </c>
      <c r="C34" s="42" t="s">
        <v>2274</v>
      </c>
      <c r="D34" s="42" t="s">
        <v>2482</v>
      </c>
    </row>
    <row r="35" spans="1:4" ht="20" customHeight="1" x14ac:dyDescent="0.2">
      <c r="A35" s="50" t="s">
        <v>2483</v>
      </c>
      <c r="B35" s="50" t="s">
        <v>2484</v>
      </c>
      <c r="C35" s="50" t="s">
        <v>921</v>
      </c>
      <c r="D35" s="50" t="s">
        <v>2069</v>
      </c>
    </row>
    <row r="36" spans="1:4" ht="20" customHeight="1" x14ac:dyDescent="0.2">
      <c r="A36" s="42" t="s">
        <v>2490</v>
      </c>
      <c r="B36" s="42" t="s">
        <v>2491</v>
      </c>
      <c r="C36" s="42" t="s">
        <v>2274</v>
      </c>
      <c r="D36" s="42" t="s">
        <v>2496</v>
      </c>
    </row>
    <row r="37" spans="1:4" ht="20" customHeight="1" x14ac:dyDescent="0.2">
      <c r="A37" s="50" t="s">
        <v>2497</v>
      </c>
      <c r="B37" s="50" t="s">
        <v>2498</v>
      </c>
      <c r="C37" s="50" t="s">
        <v>2274</v>
      </c>
      <c r="D37" s="50" t="s">
        <v>2501</v>
      </c>
    </row>
    <row r="38" spans="1:4" ht="20" customHeight="1" x14ac:dyDescent="0.2">
      <c r="A38" s="42" t="s">
        <v>2502</v>
      </c>
      <c r="B38" s="42" t="s">
        <v>2503</v>
      </c>
      <c r="C38" s="42" t="s">
        <v>2274</v>
      </c>
      <c r="D38" s="42" t="s">
        <v>2507</v>
      </c>
    </row>
  </sheetData>
  <mergeCells count="2">
    <mergeCell ref="A1:D1"/>
    <mergeCell ref="A2:D2"/>
  </mergeCells>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E8"/>
  <sheetViews>
    <sheetView showGridLines="0" rightToLeft="1" workbookViewId="0">
      <pane ySplit="3" topLeftCell="A4" activePane="bottomLeft" state="frozen"/>
      <selection pane="bottomLeft"/>
    </sheetView>
  </sheetViews>
  <sheetFormatPr baseColWidth="10" defaultColWidth="8.83203125" defaultRowHeight="15" x14ac:dyDescent="0.2"/>
  <cols>
    <col min="1" max="1" width="42" customWidth="1"/>
    <col min="2" max="2" width="31.5" customWidth="1"/>
    <col min="3" max="3" width="13.5" customWidth="1"/>
    <col min="4" max="4" width="39.1640625" customWidth="1"/>
    <col min="5" max="5" width="17.1640625" customWidth="1"/>
  </cols>
  <sheetData>
    <row r="1" spans="1:5" ht="34" customHeight="1" x14ac:dyDescent="0.2">
      <c r="A1" s="79" t="s">
        <v>2615</v>
      </c>
      <c r="B1" s="76"/>
      <c r="C1" s="76"/>
      <c r="D1" s="76"/>
      <c r="E1" s="76"/>
    </row>
    <row r="2" spans="1:5" ht="28" customHeight="1" x14ac:dyDescent="0.2">
      <c r="A2" s="86" t="s">
        <v>2616</v>
      </c>
      <c r="B2" s="76"/>
      <c r="C2" s="76"/>
      <c r="D2" s="76"/>
      <c r="E2" s="76"/>
    </row>
    <row r="3" spans="1:5" ht="30" customHeight="1" x14ac:dyDescent="0.2">
      <c r="A3" s="48" t="s">
        <v>617</v>
      </c>
      <c r="B3" s="48" t="s">
        <v>2529</v>
      </c>
      <c r="C3" s="48" t="s">
        <v>1728</v>
      </c>
      <c r="D3" s="48" t="s">
        <v>924</v>
      </c>
      <c r="E3" s="48" t="s">
        <v>2554</v>
      </c>
    </row>
    <row r="4" spans="1:5" ht="20" customHeight="1" x14ac:dyDescent="0.2">
      <c r="A4" s="42" t="s">
        <v>2281</v>
      </c>
      <c r="B4" s="42" t="s">
        <v>2282</v>
      </c>
      <c r="C4" s="42" t="s">
        <v>2285</v>
      </c>
      <c r="D4" s="42" t="s">
        <v>2287</v>
      </c>
      <c r="E4" s="53" t="s">
        <v>858</v>
      </c>
    </row>
    <row r="5" spans="1:5" ht="20" customHeight="1" x14ac:dyDescent="0.2">
      <c r="A5" s="50" t="s">
        <v>2332</v>
      </c>
      <c r="B5" s="50" t="s">
        <v>2333</v>
      </c>
      <c r="C5" s="50" t="s">
        <v>2336</v>
      </c>
      <c r="D5" s="50" t="s">
        <v>2331</v>
      </c>
      <c r="E5" s="53" t="s">
        <v>858</v>
      </c>
    </row>
    <row r="6" spans="1:5" ht="20" customHeight="1" x14ac:dyDescent="0.2">
      <c r="A6" s="42" t="s">
        <v>2337</v>
      </c>
      <c r="B6" s="42" t="s">
        <v>2338</v>
      </c>
      <c r="C6" s="42" t="s">
        <v>2341</v>
      </c>
      <c r="D6" s="42" t="s">
        <v>2342</v>
      </c>
      <c r="E6" s="53" t="s">
        <v>858</v>
      </c>
    </row>
    <row r="7" spans="1:5" ht="20" customHeight="1" x14ac:dyDescent="0.2">
      <c r="A7" s="50" t="s">
        <v>2490</v>
      </c>
      <c r="B7" s="50" t="s">
        <v>2491</v>
      </c>
      <c r="C7" s="50" t="s">
        <v>2494</v>
      </c>
      <c r="D7" s="50" t="s">
        <v>2496</v>
      </c>
      <c r="E7" s="53" t="s">
        <v>858</v>
      </c>
    </row>
    <row r="8" spans="1:5" ht="20" customHeight="1" x14ac:dyDescent="0.2">
      <c r="A8" s="42" t="s">
        <v>2497</v>
      </c>
      <c r="B8" s="42" t="s">
        <v>2498</v>
      </c>
      <c r="C8" s="42" t="s">
        <v>2500</v>
      </c>
      <c r="D8" s="42" t="s">
        <v>2501</v>
      </c>
      <c r="E8" s="53" t="s">
        <v>858</v>
      </c>
    </row>
  </sheetData>
  <mergeCells count="2">
    <mergeCell ref="A2:E2"/>
    <mergeCell ref="A1:E1"/>
  </mergeCells>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F12"/>
  <sheetViews>
    <sheetView showGridLines="0" rightToLeft="1" workbookViewId="0">
      <pane ySplit="3" topLeftCell="A4" activePane="bottomLeft" state="frozen"/>
      <selection pane="bottomLeft"/>
    </sheetView>
  </sheetViews>
  <sheetFormatPr baseColWidth="10" defaultColWidth="8.83203125" defaultRowHeight="15" x14ac:dyDescent="0.2"/>
  <cols>
    <col min="1" max="1" width="42" customWidth="1"/>
    <col min="2" max="2" width="38.1640625" customWidth="1"/>
    <col min="3" max="4" width="42" customWidth="1"/>
    <col min="5" max="6" width="21" customWidth="1"/>
  </cols>
  <sheetData>
    <row r="1" spans="1:6" ht="34" customHeight="1" x14ac:dyDescent="0.2">
      <c r="A1" s="79" t="s">
        <v>2617</v>
      </c>
      <c r="B1" s="76"/>
      <c r="C1" s="76"/>
      <c r="D1" s="76"/>
      <c r="E1" s="76"/>
      <c r="F1" s="76"/>
    </row>
    <row r="2" spans="1:6" ht="28" customHeight="1" x14ac:dyDescent="0.2">
      <c r="A2" s="86" t="s">
        <v>2618</v>
      </c>
      <c r="B2" s="76"/>
      <c r="C2" s="76"/>
      <c r="D2" s="76"/>
      <c r="E2" s="76"/>
      <c r="F2" s="76"/>
    </row>
    <row r="3" spans="1:6" ht="30" customHeight="1" x14ac:dyDescent="0.2">
      <c r="A3" s="48" t="s">
        <v>617</v>
      </c>
      <c r="B3" s="48" t="s">
        <v>2529</v>
      </c>
      <c r="C3" s="48" t="s">
        <v>2552</v>
      </c>
      <c r="D3" s="48" t="s">
        <v>2619</v>
      </c>
      <c r="E3" s="48" t="s">
        <v>2260</v>
      </c>
      <c r="F3" s="48" t="s">
        <v>2554</v>
      </c>
    </row>
    <row r="4" spans="1:6" ht="29" customHeight="1" x14ac:dyDescent="0.2">
      <c r="A4" s="42" t="s">
        <v>2304</v>
      </c>
      <c r="B4" s="42" t="s">
        <v>2305</v>
      </c>
      <c r="C4" s="42" t="s">
        <v>2561</v>
      </c>
      <c r="D4" s="42" t="s">
        <v>2620</v>
      </c>
      <c r="E4" s="45" t="s">
        <v>889</v>
      </c>
      <c r="F4" s="45" t="s">
        <v>889</v>
      </c>
    </row>
    <row r="5" spans="1:6" ht="29" customHeight="1" x14ac:dyDescent="0.2">
      <c r="A5" s="50" t="s">
        <v>2361</v>
      </c>
      <c r="B5" s="50" t="s">
        <v>2362</v>
      </c>
      <c r="C5" s="50" t="s">
        <v>2569</v>
      </c>
      <c r="D5" s="50" t="s">
        <v>2620</v>
      </c>
      <c r="E5" s="45" t="s">
        <v>889</v>
      </c>
      <c r="F5" s="45" t="s">
        <v>889</v>
      </c>
    </row>
    <row r="6" spans="1:6" ht="29" customHeight="1" x14ac:dyDescent="0.2">
      <c r="A6" s="42" t="s">
        <v>2368</v>
      </c>
      <c r="B6" s="42" t="s">
        <v>2369</v>
      </c>
      <c r="C6" s="42" t="s">
        <v>2570</v>
      </c>
      <c r="D6" s="42" t="s">
        <v>2620</v>
      </c>
      <c r="E6" s="45" t="s">
        <v>889</v>
      </c>
      <c r="F6" s="45" t="s">
        <v>889</v>
      </c>
    </row>
    <row r="7" spans="1:6" ht="29" customHeight="1" x14ac:dyDescent="0.2">
      <c r="A7" s="50" t="s">
        <v>2376</v>
      </c>
      <c r="B7" s="50" t="s">
        <v>2377</v>
      </c>
      <c r="C7" s="50" t="s">
        <v>2571</v>
      </c>
      <c r="D7" s="50" t="s">
        <v>2620</v>
      </c>
      <c r="E7" s="45" t="s">
        <v>889</v>
      </c>
      <c r="F7" s="45" t="s">
        <v>889</v>
      </c>
    </row>
    <row r="8" spans="1:6" ht="29" customHeight="1" x14ac:dyDescent="0.2">
      <c r="A8" s="42" t="s">
        <v>2384</v>
      </c>
      <c r="B8" s="42" t="s">
        <v>2385</v>
      </c>
      <c r="C8" s="42" t="s">
        <v>2572</v>
      </c>
      <c r="D8" s="42" t="s">
        <v>2620</v>
      </c>
      <c r="E8" s="45" t="s">
        <v>889</v>
      </c>
      <c r="F8" s="45" t="s">
        <v>889</v>
      </c>
    </row>
    <row r="9" spans="1:6" ht="29" customHeight="1" x14ac:dyDescent="0.2">
      <c r="A9" s="50" t="s">
        <v>2391</v>
      </c>
      <c r="B9" s="50" t="s">
        <v>2392</v>
      </c>
      <c r="C9" s="50" t="s">
        <v>2573</v>
      </c>
      <c r="D9" s="50" t="s">
        <v>2620</v>
      </c>
      <c r="E9" s="45" t="s">
        <v>889</v>
      </c>
      <c r="F9" s="45" t="s">
        <v>889</v>
      </c>
    </row>
    <row r="10" spans="1:6" ht="29" customHeight="1" x14ac:dyDescent="0.2">
      <c r="A10" s="42" t="s">
        <v>2416</v>
      </c>
      <c r="B10" s="42" t="s">
        <v>2417</v>
      </c>
      <c r="C10" s="42" t="s">
        <v>2569</v>
      </c>
      <c r="D10" s="42" t="s">
        <v>2620</v>
      </c>
      <c r="E10" s="45" t="s">
        <v>889</v>
      </c>
      <c r="F10" s="45" t="s">
        <v>889</v>
      </c>
    </row>
    <row r="11" spans="1:6" ht="29" customHeight="1" x14ac:dyDescent="0.2">
      <c r="A11" s="50" t="s">
        <v>2430</v>
      </c>
      <c r="B11" s="50" t="s">
        <v>2431</v>
      </c>
      <c r="C11" s="50" t="s">
        <v>2577</v>
      </c>
      <c r="D11" s="50" t="s">
        <v>2620</v>
      </c>
      <c r="E11" s="45" t="s">
        <v>889</v>
      </c>
      <c r="F11" s="45" t="s">
        <v>889</v>
      </c>
    </row>
    <row r="12" spans="1:6" ht="29" customHeight="1" x14ac:dyDescent="0.2">
      <c r="A12" s="42" t="s">
        <v>2453</v>
      </c>
      <c r="B12" s="42" t="s">
        <v>2454</v>
      </c>
      <c r="C12" s="42" t="s">
        <v>2568</v>
      </c>
      <c r="D12" s="42" t="s">
        <v>2620</v>
      </c>
      <c r="E12" s="45" t="s">
        <v>889</v>
      </c>
      <c r="F12" s="45" t="s">
        <v>889</v>
      </c>
    </row>
  </sheetData>
  <mergeCells count="2">
    <mergeCell ref="A2:F2"/>
    <mergeCell ref="A1:F1"/>
  </mergeCells>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D4"/>
  <sheetViews>
    <sheetView showGridLines="0" rightToLeft="1" workbookViewId="0"/>
  </sheetViews>
  <sheetFormatPr baseColWidth="10" defaultColWidth="8.83203125" defaultRowHeight="15" x14ac:dyDescent="0.2"/>
  <cols>
    <col min="1" max="1" width="42" customWidth="1"/>
    <col min="2" max="2" width="23" customWidth="1"/>
    <col min="3" max="3" width="42" customWidth="1"/>
    <col min="4" max="4" width="25.83203125" customWidth="1"/>
  </cols>
  <sheetData>
    <row r="1" spans="1:4" ht="34" customHeight="1" x14ac:dyDescent="0.2">
      <c r="A1" s="79" t="s">
        <v>763</v>
      </c>
      <c r="B1" s="76"/>
      <c r="C1" s="76"/>
      <c r="D1" s="76"/>
    </row>
    <row r="2" spans="1:4" ht="28" customHeight="1" x14ac:dyDescent="0.2">
      <c r="A2" s="86" t="s">
        <v>2621</v>
      </c>
      <c r="B2" s="76"/>
      <c r="C2" s="76"/>
      <c r="D2" s="76"/>
    </row>
    <row r="3" spans="1:4" ht="30" customHeight="1" x14ac:dyDescent="0.2">
      <c r="A3" s="48" t="s">
        <v>617</v>
      </c>
      <c r="B3" s="48" t="s">
        <v>2529</v>
      </c>
      <c r="C3" s="48" t="s">
        <v>3</v>
      </c>
      <c r="D3" s="48" t="s">
        <v>4</v>
      </c>
    </row>
    <row r="4" spans="1:4" ht="29" customHeight="1" x14ac:dyDescent="0.2">
      <c r="A4" s="42" t="s">
        <v>894</v>
      </c>
      <c r="B4" s="42" t="s">
        <v>760</v>
      </c>
      <c r="C4" s="42" t="s">
        <v>2559</v>
      </c>
      <c r="D4" s="52" t="s">
        <v>765</v>
      </c>
    </row>
  </sheetData>
  <mergeCells count="2">
    <mergeCell ref="A1:D1"/>
    <mergeCell ref="A2:D2"/>
  </mergeCells>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D8"/>
  <sheetViews>
    <sheetView showGridLines="0" rightToLeft="1" workbookViewId="0">
      <pane ySplit="3" topLeftCell="A4" activePane="bottomLeft" state="frozen"/>
      <selection pane="bottomLeft"/>
    </sheetView>
  </sheetViews>
  <sheetFormatPr baseColWidth="10" defaultColWidth="8.83203125" defaultRowHeight="15" x14ac:dyDescent="0.2"/>
  <cols>
    <col min="1" max="1" width="42" customWidth="1"/>
    <col min="2" max="2" width="25.83203125" customWidth="1"/>
    <col min="3" max="3" width="42" customWidth="1"/>
    <col min="4" max="4" width="33.33203125" customWidth="1"/>
  </cols>
  <sheetData>
    <row r="1" spans="1:4" ht="34" customHeight="1" x14ac:dyDescent="0.2">
      <c r="A1" s="79" t="s">
        <v>2622</v>
      </c>
      <c r="B1" s="76"/>
      <c r="C1" s="76"/>
      <c r="D1" s="76"/>
    </row>
    <row r="2" spans="1:4" ht="28" customHeight="1" x14ac:dyDescent="0.2">
      <c r="A2" s="86" t="s">
        <v>2623</v>
      </c>
      <c r="B2" s="76"/>
      <c r="C2" s="76"/>
      <c r="D2" s="76"/>
    </row>
    <row r="3" spans="1:4" ht="30" customHeight="1" x14ac:dyDescent="0.2">
      <c r="A3" s="48" t="s">
        <v>617</v>
      </c>
      <c r="B3" s="48" t="s">
        <v>2529</v>
      </c>
      <c r="C3" s="48" t="s">
        <v>2624</v>
      </c>
      <c r="D3" s="48" t="s">
        <v>924</v>
      </c>
    </row>
    <row r="4" spans="1:4" ht="20" customHeight="1" x14ac:dyDescent="0.2">
      <c r="A4" s="42" t="s">
        <v>2288</v>
      </c>
      <c r="B4" s="42" t="s">
        <v>2289</v>
      </c>
      <c r="C4" s="42" t="s">
        <v>2560</v>
      </c>
      <c r="D4" s="42" t="s">
        <v>2295</v>
      </c>
    </row>
    <row r="5" spans="1:4" ht="20" customHeight="1" x14ac:dyDescent="0.2">
      <c r="A5" s="50" t="s">
        <v>2297</v>
      </c>
      <c r="B5" s="50" t="s">
        <v>2298</v>
      </c>
      <c r="C5" s="50" t="s">
        <v>2560</v>
      </c>
      <c r="D5" s="50" t="s">
        <v>2303</v>
      </c>
    </row>
    <row r="6" spans="1:4" ht="20" customHeight="1" x14ac:dyDescent="0.2">
      <c r="A6" s="42" t="s">
        <v>2348</v>
      </c>
      <c r="B6" s="42" t="s">
        <v>2349</v>
      </c>
      <c r="C6" s="42" t="s">
        <v>2567</v>
      </c>
      <c r="D6" s="42" t="s">
        <v>2069</v>
      </c>
    </row>
    <row r="7" spans="1:4" ht="20" customHeight="1" x14ac:dyDescent="0.2">
      <c r="A7" s="50" t="s">
        <v>2475</v>
      </c>
      <c r="B7" s="50" t="s">
        <v>2476</v>
      </c>
      <c r="C7" s="50" t="s">
        <v>2568</v>
      </c>
      <c r="D7" s="50" t="s">
        <v>2482</v>
      </c>
    </row>
    <row r="8" spans="1:4" ht="20" customHeight="1" x14ac:dyDescent="0.2">
      <c r="A8" s="42" t="s">
        <v>2502</v>
      </c>
      <c r="B8" s="42" t="s">
        <v>2503</v>
      </c>
      <c r="C8" s="42" t="s">
        <v>2557</v>
      </c>
      <c r="D8" s="42" t="s">
        <v>2507</v>
      </c>
    </row>
  </sheetData>
  <mergeCells count="2">
    <mergeCell ref="A1:D1"/>
    <mergeCell ref="A2:D2"/>
  </mergeCells>
  <pageMargins left="0.75" right="0.75" top="1" bottom="1" header="0.5" footer="0.5"/>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M45"/>
  <sheetViews>
    <sheetView showGridLines="0" rightToLeft="1" workbookViewId="0">
      <pane xSplit="1" ySplit="3" topLeftCell="B4" activePane="bottomRight" state="frozen"/>
      <selection pane="topRight"/>
      <selection pane="bottomLeft"/>
      <selection pane="bottomRight"/>
    </sheetView>
  </sheetViews>
  <sheetFormatPr baseColWidth="10" defaultColWidth="8.83203125" defaultRowHeight="15" x14ac:dyDescent="0.2"/>
  <cols>
    <col min="1" max="1" width="42" customWidth="1"/>
    <col min="2" max="3" width="17.1640625" customWidth="1"/>
    <col min="4" max="4" width="18.1640625" customWidth="1"/>
    <col min="5" max="5" width="19.1640625" customWidth="1"/>
    <col min="6" max="6" width="20.1640625" customWidth="1"/>
    <col min="7" max="7" width="18.1640625" customWidth="1"/>
    <col min="8" max="8" width="20.1640625" customWidth="1"/>
    <col min="9" max="9" width="13.5" customWidth="1"/>
    <col min="10" max="10" width="23.83203125" customWidth="1"/>
    <col min="11" max="11" width="32.5" customWidth="1"/>
    <col min="12" max="12" width="21" customWidth="1"/>
    <col min="13" max="13" width="30.5" customWidth="1"/>
  </cols>
  <sheetData>
    <row r="1" spans="1:13" ht="34" customHeight="1" x14ac:dyDescent="0.2">
      <c r="A1" s="79" t="s">
        <v>2625</v>
      </c>
      <c r="B1" s="76"/>
      <c r="C1" s="76"/>
      <c r="D1" s="76"/>
      <c r="E1" s="76"/>
      <c r="F1" s="76"/>
      <c r="G1" s="76"/>
      <c r="H1" s="76"/>
      <c r="I1" s="76"/>
      <c r="J1" s="76"/>
      <c r="K1" s="76"/>
      <c r="L1" s="76"/>
      <c r="M1" s="76"/>
    </row>
    <row r="2" spans="1:13" ht="28" customHeight="1" x14ac:dyDescent="0.2">
      <c r="A2" s="86" t="s">
        <v>2626</v>
      </c>
      <c r="B2" s="76"/>
      <c r="C2" s="76"/>
      <c r="D2" s="76"/>
      <c r="E2" s="76"/>
      <c r="F2" s="76"/>
      <c r="G2" s="76"/>
      <c r="H2" s="76"/>
      <c r="I2" s="76"/>
      <c r="J2" s="76"/>
      <c r="K2" s="76"/>
      <c r="L2" s="76"/>
      <c r="M2" s="76"/>
    </row>
    <row r="3" spans="1:13" ht="30" customHeight="1" x14ac:dyDescent="0.2">
      <c r="A3" s="48" t="s">
        <v>1684</v>
      </c>
      <c r="B3" s="48" t="s">
        <v>2627</v>
      </c>
      <c r="C3" s="48" t="s">
        <v>2511</v>
      </c>
      <c r="D3" s="48" t="s">
        <v>2628</v>
      </c>
      <c r="E3" s="48" t="s">
        <v>2629</v>
      </c>
      <c r="F3" s="48" t="s">
        <v>809</v>
      </c>
      <c r="G3" s="48" t="s">
        <v>810</v>
      </c>
      <c r="H3" s="48" t="s">
        <v>811</v>
      </c>
      <c r="I3" s="48" t="s">
        <v>920</v>
      </c>
      <c r="J3" s="48" t="s">
        <v>922</v>
      </c>
      <c r="K3" s="48" t="s">
        <v>934</v>
      </c>
      <c r="L3" s="48" t="s">
        <v>2630</v>
      </c>
      <c r="M3" s="48" t="s">
        <v>2517</v>
      </c>
    </row>
    <row r="4" spans="1:13" ht="20" customHeight="1" x14ac:dyDescent="0.2">
      <c r="A4" s="42" t="s">
        <v>449</v>
      </c>
      <c r="B4" s="42" t="s">
        <v>2518</v>
      </c>
      <c r="C4" s="42" t="s">
        <v>816</v>
      </c>
      <c r="D4" s="42" t="s">
        <v>2330</v>
      </c>
      <c r="E4" s="42" t="s">
        <v>2330</v>
      </c>
      <c r="F4" s="42" t="s">
        <v>119</v>
      </c>
      <c r="G4" s="42" t="s">
        <v>817</v>
      </c>
      <c r="H4" s="42" t="s">
        <v>818</v>
      </c>
      <c r="I4" s="42" t="s">
        <v>921</v>
      </c>
      <c r="J4" s="42" t="s">
        <v>923</v>
      </c>
      <c r="K4" s="42" t="s">
        <v>843</v>
      </c>
      <c r="L4" s="42" t="s">
        <v>819</v>
      </c>
      <c r="M4" s="44" t="s">
        <v>820</v>
      </c>
    </row>
    <row r="5" spans="1:13" ht="20" customHeight="1" x14ac:dyDescent="0.2">
      <c r="A5" s="50" t="s">
        <v>457</v>
      </c>
      <c r="B5" s="50" t="s">
        <v>2518</v>
      </c>
      <c r="C5" s="50" t="s">
        <v>826</v>
      </c>
      <c r="D5" s="50" t="s">
        <v>2330</v>
      </c>
      <c r="E5" s="50" t="s">
        <v>2330</v>
      </c>
      <c r="F5" s="50" t="s">
        <v>119</v>
      </c>
      <c r="G5" s="50" t="s">
        <v>817</v>
      </c>
      <c r="H5" s="50" t="s">
        <v>827</v>
      </c>
      <c r="I5" s="50" t="s">
        <v>921</v>
      </c>
      <c r="J5" s="50" t="s">
        <v>923</v>
      </c>
      <c r="K5" s="50" t="s">
        <v>843</v>
      </c>
      <c r="L5" s="50" t="s">
        <v>819</v>
      </c>
      <c r="M5" s="44" t="s">
        <v>820</v>
      </c>
    </row>
    <row r="6" spans="1:13" ht="20" customHeight="1" x14ac:dyDescent="0.2">
      <c r="A6" s="42" t="s">
        <v>462</v>
      </c>
      <c r="B6" s="42" t="s">
        <v>2518</v>
      </c>
      <c r="C6" s="42" t="s">
        <v>1693</v>
      </c>
      <c r="D6" s="42" t="s">
        <v>2374</v>
      </c>
      <c r="E6" s="42" t="s">
        <v>2519</v>
      </c>
      <c r="F6" s="42" t="s">
        <v>119</v>
      </c>
      <c r="G6" s="42" t="s">
        <v>817</v>
      </c>
      <c r="H6" s="42" t="s">
        <v>827</v>
      </c>
      <c r="I6" s="42" t="s">
        <v>923</v>
      </c>
      <c r="J6" s="42" t="s">
        <v>923</v>
      </c>
      <c r="K6" s="42" t="s">
        <v>923</v>
      </c>
      <c r="L6" s="42" t="s">
        <v>832</v>
      </c>
      <c r="M6" s="52" t="s">
        <v>765</v>
      </c>
    </row>
    <row r="7" spans="1:13" ht="20" customHeight="1" x14ac:dyDescent="0.2">
      <c r="A7" s="50" t="s">
        <v>467</v>
      </c>
      <c r="B7" s="50" t="s">
        <v>2518</v>
      </c>
      <c r="C7" s="50" t="s">
        <v>1898</v>
      </c>
      <c r="D7" s="50" t="s">
        <v>2330</v>
      </c>
      <c r="E7" s="50" t="s">
        <v>2520</v>
      </c>
      <c r="F7" s="50" t="s">
        <v>119</v>
      </c>
      <c r="G7" s="50" t="s">
        <v>817</v>
      </c>
      <c r="H7" s="50" t="s">
        <v>827</v>
      </c>
      <c r="I7" s="50" t="s">
        <v>923</v>
      </c>
      <c r="J7" s="50" t="s">
        <v>923</v>
      </c>
      <c r="K7" s="50" t="s">
        <v>923</v>
      </c>
      <c r="L7" s="50" t="s">
        <v>832</v>
      </c>
      <c r="M7" s="52" t="s">
        <v>765</v>
      </c>
    </row>
    <row r="8" spans="1:13" ht="20" customHeight="1" x14ac:dyDescent="0.2">
      <c r="A8" s="42" t="s">
        <v>67</v>
      </c>
      <c r="B8" s="42" t="s">
        <v>2518</v>
      </c>
      <c r="C8" s="42" t="s">
        <v>842</v>
      </c>
      <c r="D8" s="42" t="str">
        <f>'CR1A v39'!B39&amp;"/"&amp;'CR1A v39'!B44</f>
        <v>26/30</v>
      </c>
      <c r="E8" s="42" t="str">
        <f>'CR1A v39'!B39&amp;"/"&amp;'CR1A v39'!B44</f>
        <v>26/30</v>
      </c>
      <c r="F8" s="42" t="s">
        <v>119</v>
      </c>
      <c r="G8" s="42" t="s">
        <v>843</v>
      </c>
      <c r="H8" s="42" t="s">
        <v>844</v>
      </c>
      <c r="I8" s="42" t="s">
        <v>923</v>
      </c>
      <c r="J8" s="42" t="s">
        <v>923</v>
      </c>
      <c r="K8" s="42" t="s">
        <v>843</v>
      </c>
      <c r="L8" s="42" t="s">
        <v>2521</v>
      </c>
      <c r="M8" s="53" t="s">
        <v>846</v>
      </c>
    </row>
    <row r="9" spans="1:13" ht="20" customHeight="1" x14ac:dyDescent="0.2">
      <c r="A9" s="50" t="s">
        <v>478</v>
      </c>
      <c r="B9" s="50" t="s">
        <v>2518</v>
      </c>
      <c r="C9" s="50" t="s">
        <v>851</v>
      </c>
      <c r="D9" s="50" t="s">
        <v>2522</v>
      </c>
      <c r="E9" s="50" t="s">
        <v>2522</v>
      </c>
      <c r="F9" s="50" t="s">
        <v>119</v>
      </c>
      <c r="G9" s="50" t="s">
        <v>817</v>
      </c>
      <c r="H9" s="50" t="s">
        <v>827</v>
      </c>
      <c r="I9" s="50" t="s">
        <v>921</v>
      </c>
      <c r="J9" s="50" t="s">
        <v>923</v>
      </c>
      <c r="K9" s="50" t="s">
        <v>843</v>
      </c>
      <c r="L9" s="50" t="s">
        <v>832</v>
      </c>
      <c r="M9" s="52" t="s">
        <v>765</v>
      </c>
    </row>
    <row r="10" spans="1:13" ht="20" customHeight="1" x14ac:dyDescent="0.2">
      <c r="A10" s="42" t="s">
        <v>483</v>
      </c>
      <c r="B10" s="42" t="s">
        <v>2518</v>
      </c>
      <c r="C10" s="42" t="s">
        <v>851</v>
      </c>
      <c r="D10" s="42" t="s">
        <v>2374</v>
      </c>
      <c r="E10" s="42" t="s">
        <v>2374</v>
      </c>
      <c r="F10" s="42" t="s">
        <v>119</v>
      </c>
      <c r="G10" s="42" t="s">
        <v>843</v>
      </c>
      <c r="H10" s="42" t="s">
        <v>856</v>
      </c>
      <c r="I10" s="42" t="s">
        <v>921</v>
      </c>
      <c r="J10" s="42" t="s">
        <v>923</v>
      </c>
      <c r="K10" s="42" t="s">
        <v>921</v>
      </c>
      <c r="L10" s="42" t="s">
        <v>857</v>
      </c>
      <c r="M10" s="53" t="s">
        <v>858</v>
      </c>
    </row>
    <row r="11" spans="1:13" ht="29" customHeight="1" x14ac:dyDescent="0.2">
      <c r="A11" s="50" t="s">
        <v>488</v>
      </c>
      <c r="B11" s="50" t="s">
        <v>2518</v>
      </c>
      <c r="C11" s="50" t="s">
        <v>863</v>
      </c>
      <c r="D11" s="50" t="s">
        <v>2522</v>
      </c>
      <c r="E11" s="50" t="s">
        <v>2522</v>
      </c>
      <c r="F11" s="50" t="s">
        <v>2523</v>
      </c>
      <c r="G11" s="50" t="s">
        <v>817</v>
      </c>
      <c r="H11" s="50" t="s">
        <v>844</v>
      </c>
      <c r="I11" s="50" t="s">
        <v>921</v>
      </c>
      <c r="J11" s="50" t="s">
        <v>921</v>
      </c>
      <c r="K11" s="50" t="s">
        <v>843</v>
      </c>
      <c r="L11" s="50" t="s">
        <v>865</v>
      </c>
      <c r="M11" s="54" t="s">
        <v>866</v>
      </c>
    </row>
    <row r="12" spans="1:13" ht="20" customHeight="1" x14ac:dyDescent="0.2">
      <c r="A12" s="42" t="s">
        <v>493</v>
      </c>
      <c r="B12" s="42" t="s">
        <v>2518</v>
      </c>
      <c r="C12" s="42" t="s">
        <v>863</v>
      </c>
      <c r="D12" s="42" t="s">
        <v>2522</v>
      </c>
      <c r="E12" s="42" t="s">
        <v>2522</v>
      </c>
      <c r="F12" s="42" t="s">
        <v>864</v>
      </c>
      <c r="G12" s="42" t="s">
        <v>817</v>
      </c>
      <c r="H12" s="42" t="s">
        <v>844</v>
      </c>
      <c r="I12" s="42" t="s">
        <v>921</v>
      </c>
      <c r="J12" s="42" t="s">
        <v>921</v>
      </c>
      <c r="K12" s="42" t="s">
        <v>921</v>
      </c>
      <c r="L12" s="42" t="s">
        <v>857</v>
      </c>
      <c r="M12" s="53" t="s">
        <v>858</v>
      </c>
    </row>
    <row r="13" spans="1:13" ht="20" customHeight="1" x14ac:dyDescent="0.2">
      <c r="A13" s="50" t="s">
        <v>496</v>
      </c>
      <c r="B13" s="50" t="s">
        <v>2518</v>
      </c>
      <c r="C13" s="50" t="s">
        <v>875</v>
      </c>
      <c r="D13" s="50" t="s">
        <v>2481</v>
      </c>
      <c r="E13" s="50" t="s">
        <v>2481</v>
      </c>
      <c r="F13" s="50" t="s">
        <v>876</v>
      </c>
      <c r="G13" s="50" t="s">
        <v>817</v>
      </c>
      <c r="H13" s="50" t="s">
        <v>827</v>
      </c>
      <c r="I13" s="50" t="s">
        <v>921</v>
      </c>
      <c r="J13" s="50" t="s">
        <v>921</v>
      </c>
      <c r="K13" s="50" t="s">
        <v>843</v>
      </c>
      <c r="L13" s="50" t="s">
        <v>2521</v>
      </c>
      <c r="M13" s="53" t="s">
        <v>846</v>
      </c>
    </row>
    <row r="14" spans="1:13" ht="20" customHeight="1" x14ac:dyDescent="0.2">
      <c r="A14" s="42" t="s">
        <v>501</v>
      </c>
      <c r="B14" s="42" t="s">
        <v>2518</v>
      </c>
      <c r="C14" s="42" t="s">
        <v>2471</v>
      </c>
      <c r="D14" s="42" t="s">
        <v>2374</v>
      </c>
      <c r="E14" s="42" t="s">
        <v>2519</v>
      </c>
      <c r="F14" s="42" t="s">
        <v>119</v>
      </c>
      <c r="G14" s="42" t="s">
        <v>817</v>
      </c>
      <c r="H14" s="42" t="s">
        <v>818</v>
      </c>
      <c r="I14" s="42" t="s">
        <v>923</v>
      </c>
      <c r="J14" s="42" t="s">
        <v>923</v>
      </c>
      <c r="K14" s="42" t="s">
        <v>923</v>
      </c>
      <c r="L14" s="42" t="s">
        <v>832</v>
      </c>
      <c r="M14" s="52" t="s">
        <v>765</v>
      </c>
    </row>
    <row r="15" spans="1:13" ht="20" customHeight="1" x14ac:dyDescent="0.2">
      <c r="A15" s="50" t="s">
        <v>506</v>
      </c>
      <c r="B15" s="50" t="s">
        <v>2518</v>
      </c>
      <c r="C15" s="50" t="s">
        <v>887</v>
      </c>
      <c r="D15" s="50" t="s">
        <v>2524</v>
      </c>
      <c r="E15" s="50" t="s">
        <v>2525</v>
      </c>
      <c r="F15" s="50" t="s">
        <v>119</v>
      </c>
      <c r="G15" s="50" t="s">
        <v>843</v>
      </c>
      <c r="H15" s="50" t="s">
        <v>844</v>
      </c>
      <c r="I15" s="50" t="s">
        <v>923</v>
      </c>
      <c r="J15" s="50" t="s">
        <v>843</v>
      </c>
      <c r="K15" s="50" t="s">
        <v>923</v>
      </c>
      <c r="L15" s="50" t="s">
        <v>2526</v>
      </c>
      <c r="M15" s="45" t="s">
        <v>889</v>
      </c>
    </row>
    <row r="16" spans="1:13" ht="20" customHeight="1" x14ac:dyDescent="0.2">
      <c r="A16" s="42" t="s">
        <v>2631</v>
      </c>
      <c r="B16" s="42" t="s">
        <v>2632</v>
      </c>
      <c r="C16" s="42" t="s">
        <v>2265</v>
      </c>
      <c r="D16" s="42" t="s">
        <v>2272</v>
      </c>
      <c r="E16" s="42" t="s">
        <v>2633</v>
      </c>
      <c r="F16" s="42" t="s">
        <v>2634</v>
      </c>
      <c r="G16" s="42" t="s">
        <v>817</v>
      </c>
      <c r="H16" s="42" t="s">
        <v>818</v>
      </c>
      <c r="I16" s="42" t="s">
        <v>921</v>
      </c>
      <c r="J16" s="42" t="s">
        <v>921</v>
      </c>
      <c r="K16" s="42" t="s">
        <v>2060</v>
      </c>
      <c r="L16" s="42" t="s">
        <v>339</v>
      </c>
      <c r="M16" s="53" t="s">
        <v>846</v>
      </c>
    </row>
    <row r="17" spans="1:13" ht="29" customHeight="1" x14ac:dyDescent="0.2">
      <c r="A17" s="50" t="s">
        <v>2635</v>
      </c>
      <c r="B17" s="50" t="s">
        <v>2632</v>
      </c>
      <c r="C17" s="50" t="s">
        <v>895</v>
      </c>
      <c r="D17" s="50" t="s">
        <v>2272</v>
      </c>
      <c r="E17" s="50" t="s">
        <v>2633</v>
      </c>
      <c r="F17" s="50" t="s">
        <v>2634</v>
      </c>
      <c r="G17" s="50" t="s">
        <v>817</v>
      </c>
      <c r="H17" s="50" t="s">
        <v>818</v>
      </c>
      <c r="I17" s="50" t="s">
        <v>921</v>
      </c>
      <c r="J17" s="50" t="s">
        <v>923</v>
      </c>
      <c r="K17" s="50" t="s">
        <v>963</v>
      </c>
      <c r="L17" s="50" t="s">
        <v>2280</v>
      </c>
      <c r="M17" s="52" t="s">
        <v>765</v>
      </c>
    </row>
    <row r="18" spans="1:13" ht="29" customHeight="1" x14ac:dyDescent="0.2">
      <c r="A18" s="42" t="s">
        <v>2636</v>
      </c>
      <c r="B18" s="42" t="s">
        <v>2632</v>
      </c>
      <c r="C18" s="42" t="s">
        <v>895</v>
      </c>
      <c r="D18" s="42" t="s">
        <v>2272</v>
      </c>
      <c r="E18" s="42" t="s">
        <v>2633</v>
      </c>
      <c r="F18" s="42" t="s">
        <v>2634</v>
      </c>
      <c r="G18" s="42" t="s">
        <v>817</v>
      </c>
      <c r="H18" s="42" t="s">
        <v>827</v>
      </c>
      <c r="I18" s="42" t="s">
        <v>921</v>
      </c>
      <c r="J18" s="42" t="s">
        <v>923</v>
      </c>
      <c r="K18" s="42" t="s">
        <v>2637</v>
      </c>
      <c r="L18" s="42" t="s">
        <v>857</v>
      </c>
      <c r="M18" s="53" t="s">
        <v>858</v>
      </c>
    </row>
    <row r="19" spans="1:13" ht="29" customHeight="1" x14ac:dyDescent="0.2">
      <c r="A19" s="50" t="s">
        <v>2638</v>
      </c>
      <c r="B19" s="50" t="s">
        <v>2632</v>
      </c>
      <c r="C19" s="50" t="s">
        <v>2307</v>
      </c>
      <c r="D19" s="50" t="s">
        <v>2272</v>
      </c>
      <c r="E19" s="50" t="s">
        <v>2633</v>
      </c>
      <c r="F19" s="50" t="s">
        <v>2634</v>
      </c>
      <c r="G19" s="50" t="s">
        <v>817</v>
      </c>
      <c r="H19" s="50" t="s">
        <v>818</v>
      </c>
      <c r="I19" s="50" t="s">
        <v>923</v>
      </c>
      <c r="J19" s="50" t="s">
        <v>923</v>
      </c>
      <c r="K19" s="50" t="s">
        <v>963</v>
      </c>
      <c r="L19" s="50" t="s">
        <v>888</v>
      </c>
      <c r="M19" s="45" t="s">
        <v>889</v>
      </c>
    </row>
    <row r="20" spans="1:13" ht="20" customHeight="1" x14ac:dyDescent="0.2">
      <c r="A20" s="42" t="s">
        <v>2639</v>
      </c>
      <c r="B20" s="42" t="s">
        <v>2632</v>
      </c>
      <c r="C20" s="42" t="s">
        <v>2315</v>
      </c>
      <c r="D20" s="42" t="s">
        <v>2319</v>
      </c>
      <c r="E20" s="42" t="s">
        <v>2640</v>
      </c>
      <c r="F20" s="42" t="s">
        <v>2634</v>
      </c>
      <c r="G20" s="42" t="s">
        <v>817</v>
      </c>
      <c r="H20" s="42" t="s">
        <v>818</v>
      </c>
      <c r="I20" s="42" t="s">
        <v>923</v>
      </c>
      <c r="J20" s="42" t="s">
        <v>923</v>
      </c>
      <c r="K20" s="42" t="s">
        <v>2069</v>
      </c>
      <c r="L20" s="42" t="s">
        <v>2320</v>
      </c>
      <c r="M20" s="53" t="s">
        <v>2237</v>
      </c>
    </row>
    <row r="21" spans="1:13" ht="29" customHeight="1" x14ac:dyDescent="0.2">
      <c r="A21" s="50" t="s">
        <v>2641</v>
      </c>
      <c r="B21" s="50" t="s">
        <v>2632</v>
      </c>
      <c r="C21" s="50" t="s">
        <v>2325</v>
      </c>
      <c r="D21" s="50" t="s">
        <v>2330</v>
      </c>
      <c r="E21" s="50" t="s">
        <v>2520</v>
      </c>
      <c r="F21" s="50" t="s">
        <v>2634</v>
      </c>
      <c r="G21" s="50" t="s">
        <v>817</v>
      </c>
      <c r="H21" s="50" t="s">
        <v>818</v>
      </c>
      <c r="I21" s="50" t="s">
        <v>923</v>
      </c>
      <c r="J21" s="50" t="s">
        <v>923</v>
      </c>
      <c r="K21" s="50" t="s">
        <v>1723</v>
      </c>
      <c r="L21" s="50" t="s">
        <v>339</v>
      </c>
      <c r="M21" s="53" t="s">
        <v>846</v>
      </c>
    </row>
    <row r="22" spans="1:13" ht="29" customHeight="1" x14ac:dyDescent="0.2">
      <c r="A22" s="42" t="s">
        <v>2642</v>
      </c>
      <c r="B22" s="42" t="s">
        <v>2632</v>
      </c>
      <c r="C22" s="42" t="s">
        <v>2325</v>
      </c>
      <c r="D22" s="42" t="s">
        <v>2330</v>
      </c>
      <c r="E22" s="42" t="s">
        <v>2520</v>
      </c>
      <c r="F22" s="42" t="s">
        <v>2634</v>
      </c>
      <c r="G22" s="42" t="s">
        <v>817</v>
      </c>
      <c r="H22" s="42" t="s">
        <v>818</v>
      </c>
      <c r="I22" s="42" t="s">
        <v>923</v>
      </c>
      <c r="J22" s="42" t="s">
        <v>923</v>
      </c>
      <c r="K22" s="42" t="s">
        <v>1723</v>
      </c>
      <c r="L22" s="42" t="s">
        <v>857</v>
      </c>
      <c r="M22" s="53" t="s">
        <v>858</v>
      </c>
    </row>
    <row r="23" spans="1:13" ht="29" customHeight="1" x14ac:dyDescent="0.2">
      <c r="A23" s="50" t="s">
        <v>2643</v>
      </c>
      <c r="B23" s="50" t="s">
        <v>2632</v>
      </c>
      <c r="C23" s="50" t="s">
        <v>2325</v>
      </c>
      <c r="D23" s="50" t="s">
        <v>2330</v>
      </c>
      <c r="E23" s="50" t="s">
        <v>2520</v>
      </c>
      <c r="F23" s="50" t="s">
        <v>2634</v>
      </c>
      <c r="G23" s="50" t="s">
        <v>817</v>
      </c>
      <c r="H23" s="50" t="s">
        <v>827</v>
      </c>
      <c r="I23" s="50" t="s">
        <v>923</v>
      </c>
      <c r="J23" s="50" t="s">
        <v>923</v>
      </c>
      <c r="K23" s="50" t="s">
        <v>963</v>
      </c>
      <c r="L23" s="50" t="s">
        <v>857</v>
      </c>
      <c r="M23" s="53" t="s">
        <v>858</v>
      </c>
    </row>
    <row r="24" spans="1:13" ht="29" customHeight="1" x14ac:dyDescent="0.2">
      <c r="A24" s="42" t="s">
        <v>2644</v>
      </c>
      <c r="B24" s="42" t="s">
        <v>2632</v>
      </c>
      <c r="C24" s="42" t="s">
        <v>1695</v>
      </c>
      <c r="D24" s="42" t="s">
        <v>2330</v>
      </c>
      <c r="E24" s="42" t="s">
        <v>2520</v>
      </c>
      <c r="F24" s="42" t="s">
        <v>2634</v>
      </c>
      <c r="G24" s="42" t="s">
        <v>817</v>
      </c>
      <c r="H24" s="42" t="s">
        <v>827</v>
      </c>
      <c r="I24" s="42" t="s">
        <v>923</v>
      </c>
      <c r="J24" s="42" t="s">
        <v>923</v>
      </c>
      <c r="K24" s="42" t="s">
        <v>963</v>
      </c>
      <c r="L24" s="42" t="s">
        <v>2320</v>
      </c>
      <c r="M24" s="53" t="s">
        <v>2237</v>
      </c>
    </row>
    <row r="25" spans="1:13" ht="20" customHeight="1" x14ac:dyDescent="0.2">
      <c r="A25" s="50" t="s">
        <v>2645</v>
      </c>
      <c r="B25" s="50" t="s">
        <v>2632</v>
      </c>
      <c r="C25" s="50" t="s">
        <v>1695</v>
      </c>
      <c r="D25" s="50" t="s">
        <v>2358</v>
      </c>
      <c r="E25" s="50" t="s">
        <v>2646</v>
      </c>
      <c r="F25" s="50" t="s">
        <v>1069</v>
      </c>
      <c r="G25" s="50" t="s">
        <v>843</v>
      </c>
      <c r="H25" s="50" t="s">
        <v>827</v>
      </c>
      <c r="I25" s="50" t="s">
        <v>843</v>
      </c>
      <c r="J25" s="50" t="s">
        <v>843</v>
      </c>
      <c r="K25" s="50" t="s">
        <v>1869</v>
      </c>
      <c r="L25" s="50" t="s">
        <v>2359</v>
      </c>
      <c r="M25" s="53" t="s">
        <v>2237</v>
      </c>
    </row>
    <row r="26" spans="1:13" ht="29" customHeight="1" x14ac:dyDescent="0.2">
      <c r="A26" s="42" t="s">
        <v>2647</v>
      </c>
      <c r="B26" s="42" t="s">
        <v>2632</v>
      </c>
      <c r="C26" s="42" t="s">
        <v>851</v>
      </c>
      <c r="D26" s="42" t="s">
        <v>2367</v>
      </c>
      <c r="E26" s="42" t="s">
        <v>2367</v>
      </c>
      <c r="F26" s="42" t="s">
        <v>1069</v>
      </c>
      <c r="G26" s="42" t="s">
        <v>843</v>
      </c>
      <c r="H26" s="42" t="s">
        <v>827</v>
      </c>
      <c r="I26" s="42" t="s">
        <v>923</v>
      </c>
      <c r="J26" s="42" t="s">
        <v>923</v>
      </c>
      <c r="K26" s="42" t="s">
        <v>2069</v>
      </c>
      <c r="L26" s="42" t="s">
        <v>888</v>
      </c>
      <c r="M26" s="45" t="s">
        <v>889</v>
      </c>
    </row>
    <row r="27" spans="1:13" ht="20" customHeight="1" x14ac:dyDescent="0.2">
      <c r="A27" s="50" t="s">
        <v>2648</v>
      </c>
      <c r="B27" s="50" t="s">
        <v>2632</v>
      </c>
      <c r="C27" s="50" t="s">
        <v>851</v>
      </c>
      <c r="D27" s="50" t="s">
        <v>2374</v>
      </c>
      <c r="E27" s="50" t="s">
        <v>2374</v>
      </c>
      <c r="F27" s="50" t="s">
        <v>1069</v>
      </c>
      <c r="G27" s="50" t="s">
        <v>843</v>
      </c>
      <c r="H27" s="50" t="s">
        <v>827</v>
      </c>
      <c r="I27" s="50" t="s">
        <v>923</v>
      </c>
      <c r="J27" s="50" t="s">
        <v>923</v>
      </c>
      <c r="K27" s="50" t="s">
        <v>2649</v>
      </c>
      <c r="L27" s="50" t="s">
        <v>888</v>
      </c>
      <c r="M27" s="45" t="s">
        <v>889</v>
      </c>
    </row>
    <row r="28" spans="1:13" ht="20" customHeight="1" x14ac:dyDescent="0.2">
      <c r="A28" s="42" t="s">
        <v>2650</v>
      </c>
      <c r="B28" s="42" t="s">
        <v>2632</v>
      </c>
      <c r="C28" s="42" t="s">
        <v>2379</v>
      </c>
      <c r="D28" s="42" t="s">
        <v>2383</v>
      </c>
      <c r="E28" s="42" t="s">
        <v>2383</v>
      </c>
      <c r="F28" s="42" t="s">
        <v>2634</v>
      </c>
      <c r="G28" s="42" t="s">
        <v>817</v>
      </c>
      <c r="H28" s="42" t="s">
        <v>856</v>
      </c>
      <c r="I28" s="42" t="s">
        <v>923</v>
      </c>
      <c r="J28" s="42" t="s">
        <v>923</v>
      </c>
      <c r="K28" s="42" t="s">
        <v>2069</v>
      </c>
      <c r="L28" s="42" t="s">
        <v>888</v>
      </c>
      <c r="M28" s="45" t="s">
        <v>889</v>
      </c>
    </row>
    <row r="29" spans="1:13" ht="20" customHeight="1" x14ac:dyDescent="0.2">
      <c r="A29" s="50" t="s">
        <v>2651</v>
      </c>
      <c r="B29" s="50" t="s">
        <v>2632</v>
      </c>
      <c r="C29" s="50" t="s">
        <v>2379</v>
      </c>
      <c r="D29" s="50" t="s">
        <v>2367</v>
      </c>
      <c r="E29" s="50" t="s">
        <v>2652</v>
      </c>
      <c r="F29" s="50" t="s">
        <v>1069</v>
      </c>
      <c r="G29" s="50" t="s">
        <v>843</v>
      </c>
      <c r="H29" s="50" t="s">
        <v>856</v>
      </c>
      <c r="I29" s="50" t="s">
        <v>923</v>
      </c>
      <c r="J29" s="50" t="s">
        <v>923</v>
      </c>
      <c r="K29" s="50" t="s">
        <v>2069</v>
      </c>
      <c r="L29" s="50" t="s">
        <v>888</v>
      </c>
      <c r="M29" s="45" t="s">
        <v>889</v>
      </c>
    </row>
    <row r="30" spans="1:13" ht="29" customHeight="1" x14ac:dyDescent="0.2">
      <c r="A30" s="42" t="s">
        <v>2653</v>
      </c>
      <c r="B30" s="42" t="s">
        <v>2632</v>
      </c>
      <c r="C30" s="42" t="s">
        <v>851</v>
      </c>
      <c r="D30" s="42" t="s">
        <v>2330</v>
      </c>
      <c r="E30" s="42" t="s">
        <v>2520</v>
      </c>
      <c r="F30" s="42" t="s">
        <v>2634</v>
      </c>
      <c r="G30" s="42" t="s">
        <v>817</v>
      </c>
      <c r="H30" s="42" t="s">
        <v>827</v>
      </c>
      <c r="I30" s="42" t="s">
        <v>921</v>
      </c>
      <c r="J30" s="42" t="s">
        <v>923</v>
      </c>
      <c r="K30" s="42" t="s">
        <v>963</v>
      </c>
      <c r="L30" s="42" t="s">
        <v>888</v>
      </c>
      <c r="M30" s="45" t="s">
        <v>889</v>
      </c>
    </row>
    <row r="31" spans="1:13" ht="29" customHeight="1" x14ac:dyDescent="0.2">
      <c r="A31" s="50" t="s">
        <v>2654</v>
      </c>
      <c r="B31" s="50" t="s">
        <v>2632</v>
      </c>
      <c r="C31" s="50" t="s">
        <v>851</v>
      </c>
      <c r="D31" s="50" t="s">
        <v>2330</v>
      </c>
      <c r="E31" s="50" t="s">
        <v>2520</v>
      </c>
      <c r="F31" s="50" t="s">
        <v>2634</v>
      </c>
      <c r="G31" s="50" t="s">
        <v>817</v>
      </c>
      <c r="H31" s="50" t="s">
        <v>827</v>
      </c>
      <c r="I31" s="50" t="s">
        <v>921</v>
      </c>
      <c r="J31" s="50" t="s">
        <v>923</v>
      </c>
      <c r="K31" s="50" t="s">
        <v>963</v>
      </c>
      <c r="L31" s="50" t="s">
        <v>2401</v>
      </c>
      <c r="M31" s="53" t="s">
        <v>2237</v>
      </c>
    </row>
    <row r="32" spans="1:13" ht="29" customHeight="1" x14ac:dyDescent="0.2">
      <c r="A32" s="42" t="s">
        <v>2655</v>
      </c>
      <c r="B32" s="42" t="s">
        <v>2632</v>
      </c>
      <c r="C32" s="42" t="s">
        <v>851</v>
      </c>
      <c r="D32" s="42" t="s">
        <v>2406</v>
      </c>
      <c r="E32" s="42" t="s">
        <v>2656</v>
      </c>
      <c r="F32" s="42" t="s">
        <v>1069</v>
      </c>
      <c r="G32" s="42" t="s">
        <v>843</v>
      </c>
      <c r="H32" s="42" t="s">
        <v>827</v>
      </c>
      <c r="I32" s="42" t="s">
        <v>843</v>
      </c>
      <c r="J32" s="42" t="s">
        <v>843</v>
      </c>
      <c r="K32" s="42" t="s">
        <v>2069</v>
      </c>
      <c r="L32" s="42" t="s">
        <v>2320</v>
      </c>
      <c r="M32" s="53" t="s">
        <v>2237</v>
      </c>
    </row>
    <row r="33" spans="1:13" ht="29" customHeight="1" x14ac:dyDescent="0.2">
      <c r="A33" s="50" t="s">
        <v>2657</v>
      </c>
      <c r="B33" s="50" t="s">
        <v>2632</v>
      </c>
      <c r="C33" s="50" t="s">
        <v>851</v>
      </c>
      <c r="D33" s="50" t="s">
        <v>1669</v>
      </c>
      <c r="E33" s="50" t="s">
        <v>2658</v>
      </c>
      <c r="F33" s="50" t="s">
        <v>2634</v>
      </c>
      <c r="G33" s="50" t="s">
        <v>817</v>
      </c>
      <c r="H33" s="50" t="s">
        <v>844</v>
      </c>
      <c r="I33" s="50" t="s">
        <v>843</v>
      </c>
      <c r="J33" s="50" t="s">
        <v>843</v>
      </c>
      <c r="K33" s="50" t="s">
        <v>2069</v>
      </c>
      <c r="L33" s="50" t="s">
        <v>2320</v>
      </c>
      <c r="M33" s="53" t="s">
        <v>2237</v>
      </c>
    </row>
    <row r="34" spans="1:13" ht="29" customHeight="1" x14ac:dyDescent="0.2">
      <c r="A34" s="42" t="s">
        <v>2659</v>
      </c>
      <c r="B34" s="42" t="s">
        <v>2632</v>
      </c>
      <c r="C34" s="42" t="s">
        <v>851</v>
      </c>
      <c r="D34" s="42" t="s">
        <v>2415</v>
      </c>
      <c r="E34" s="42" t="s">
        <v>2660</v>
      </c>
      <c r="F34" s="42" t="s">
        <v>2634</v>
      </c>
      <c r="G34" s="42" t="s">
        <v>817</v>
      </c>
      <c r="H34" s="42" t="s">
        <v>827</v>
      </c>
      <c r="I34" s="42" t="s">
        <v>843</v>
      </c>
      <c r="J34" s="42" t="s">
        <v>843</v>
      </c>
      <c r="K34" s="42" t="s">
        <v>2069</v>
      </c>
      <c r="L34" s="42" t="s">
        <v>2320</v>
      </c>
      <c r="M34" s="53" t="s">
        <v>2237</v>
      </c>
    </row>
    <row r="35" spans="1:13" ht="29" customHeight="1" x14ac:dyDescent="0.2">
      <c r="A35" s="50" t="s">
        <v>2661</v>
      </c>
      <c r="B35" s="50" t="s">
        <v>2632</v>
      </c>
      <c r="C35" s="50" t="s">
        <v>2419</v>
      </c>
      <c r="D35" s="50" t="s">
        <v>2367</v>
      </c>
      <c r="E35" s="50" t="s">
        <v>2652</v>
      </c>
      <c r="F35" s="50" t="s">
        <v>1069</v>
      </c>
      <c r="G35" s="50" t="s">
        <v>843</v>
      </c>
      <c r="H35" s="50" t="s">
        <v>818</v>
      </c>
      <c r="I35" s="50" t="s">
        <v>923</v>
      </c>
      <c r="J35" s="50" t="s">
        <v>923</v>
      </c>
      <c r="K35" s="50" t="s">
        <v>963</v>
      </c>
      <c r="L35" s="50" t="s">
        <v>888</v>
      </c>
      <c r="M35" s="45" t="s">
        <v>889</v>
      </c>
    </row>
    <row r="36" spans="1:13" ht="20" customHeight="1" x14ac:dyDescent="0.2">
      <c r="A36" s="42" t="s">
        <v>2662</v>
      </c>
      <c r="B36" s="42" t="s">
        <v>2632</v>
      </c>
      <c r="C36" s="42" t="s">
        <v>2379</v>
      </c>
      <c r="D36" s="42" t="s">
        <v>2358</v>
      </c>
      <c r="E36" s="42" t="s">
        <v>2646</v>
      </c>
      <c r="F36" s="42" t="s">
        <v>1069</v>
      </c>
      <c r="G36" s="42" t="s">
        <v>843</v>
      </c>
      <c r="H36" s="42" t="s">
        <v>827</v>
      </c>
      <c r="I36" s="42" t="s">
        <v>843</v>
      </c>
      <c r="J36" s="42" t="s">
        <v>843</v>
      </c>
      <c r="K36" s="42" t="s">
        <v>1869</v>
      </c>
      <c r="L36" s="42" t="s">
        <v>2359</v>
      </c>
      <c r="M36" s="53" t="s">
        <v>2237</v>
      </c>
    </row>
    <row r="37" spans="1:13" ht="20" customHeight="1" x14ac:dyDescent="0.2">
      <c r="A37" s="50" t="s">
        <v>2663</v>
      </c>
      <c r="B37" s="50" t="s">
        <v>2632</v>
      </c>
      <c r="C37" s="50" t="s">
        <v>2315</v>
      </c>
      <c r="D37" s="50" t="s">
        <v>2436</v>
      </c>
      <c r="E37" s="50" t="s">
        <v>2664</v>
      </c>
      <c r="F37" s="50" t="s">
        <v>1069</v>
      </c>
      <c r="G37" s="50" t="s">
        <v>843</v>
      </c>
      <c r="H37" s="50" t="s">
        <v>856</v>
      </c>
      <c r="I37" s="50" t="s">
        <v>923</v>
      </c>
      <c r="J37" s="50" t="s">
        <v>923</v>
      </c>
      <c r="K37" s="50" t="s">
        <v>2069</v>
      </c>
      <c r="L37" s="50" t="s">
        <v>888</v>
      </c>
      <c r="M37" s="45" t="s">
        <v>889</v>
      </c>
    </row>
    <row r="38" spans="1:13" ht="29" customHeight="1" x14ac:dyDescent="0.2">
      <c r="A38" s="42" t="s">
        <v>2665</v>
      </c>
      <c r="B38" s="42" t="s">
        <v>2632</v>
      </c>
      <c r="C38" s="42" t="s">
        <v>2440</v>
      </c>
      <c r="D38" s="42" t="s">
        <v>2446</v>
      </c>
      <c r="E38" s="42" t="s">
        <v>2666</v>
      </c>
      <c r="F38" s="42" t="s">
        <v>1069</v>
      </c>
      <c r="G38" s="42" t="s">
        <v>843</v>
      </c>
      <c r="H38" s="42" t="s">
        <v>856</v>
      </c>
      <c r="I38" s="42" t="s">
        <v>843</v>
      </c>
      <c r="J38" s="42" t="s">
        <v>923</v>
      </c>
      <c r="K38" s="42" t="s">
        <v>963</v>
      </c>
      <c r="L38" s="42" t="s">
        <v>2320</v>
      </c>
      <c r="M38" s="53" t="s">
        <v>2237</v>
      </c>
    </row>
    <row r="39" spans="1:13" ht="29" customHeight="1" x14ac:dyDescent="0.2">
      <c r="A39" s="50" t="s">
        <v>2667</v>
      </c>
      <c r="B39" s="50" t="s">
        <v>2632</v>
      </c>
      <c r="C39" s="50" t="s">
        <v>2440</v>
      </c>
      <c r="D39" s="50" t="s">
        <v>2446</v>
      </c>
      <c r="E39" s="50" t="s">
        <v>2666</v>
      </c>
      <c r="F39" s="50" t="s">
        <v>1069</v>
      </c>
      <c r="G39" s="50" t="s">
        <v>843</v>
      </c>
      <c r="H39" s="50" t="s">
        <v>856</v>
      </c>
      <c r="I39" s="50" t="s">
        <v>843</v>
      </c>
      <c r="J39" s="50" t="s">
        <v>923</v>
      </c>
      <c r="K39" s="50" t="s">
        <v>963</v>
      </c>
      <c r="L39" s="50" t="s">
        <v>2320</v>
      </c>
      <c r="M39" s="53" t="s">
        <v>2237</v>
      </c>
    </row>
    <row r="40" spans="1:13" ht="29" customHeight="1" x14ac:dyDescent="0.2">
      <c r="A40" s="42" t="s">
        <v>2668</v>
      </c>
      <c r="B40" s="42" t="s">
        <v>2632</v>
      </c>
      <c r="C40" s="42" t="s">
        <v>2456</v>
      </c>
      <c r="D40" s="42" t="s">
        <v>2461</v>
      </c>
      <c r="E40" s="42" t="s">
        <v>2669</v>
      </c>
      <c r="F40" s="42" t="s">
        <v>2634</v>
      </c>
      <c r="G40" s="42" t="s">
        <v>817</v>
      </c>
      <c r="H40" s="42" t="s">
        <v>856</v>
      </c>
      <c r="I40" s="42" t="s">
        <v>923</v>
      </c>
      <c r="J40" s="42" t="s">
        <v>923</v>
      </c>
      <c r="K40" s="42" t="s">
        <v>963</v>
      </c>
      <c r="L40" s="42" t="s">
        <v>888</v>
      </c>
      <c r="M40" s="45" t="s">
        <v>889</v>
      </c>
    </row>
    <row r="41" spans="1:13" ht="20" customHeight="1" x14ac:dyDescent="0.2">
      <c r="A41" s="50" t="s">
        <v>2670</v>
      </c>
      <c r="B41" s="50" t="s">
        <v>2632</v>
      </c>
      <c r="C41" s="50" t="s">
        <v>2456</v>
      </c>
      <c r="D41" s="50" t="s">
        <v>1669</v>
      </c>
      <c r="E41" s="50" t="s">
        <v>2658</v>
      </c>
      <c r="F41" s="50" t="s">
        <v>2634</v>
      </c>
      <c r="G41" s="50" t="s">
        <v>817</v>
      </c>
      <c r="H41" s="50" t="s">
        <v>856</v>
      </c>
      <c r="I41" s="50" t="s">
        <v>923</v>
      </c>
      <c r="J41" s="50" t="s">
        <v>923</v>
      </c>
      <c r="K41" s="50" t="s">
        <v>2069</v>
      </c>
      <c r="L41" s="50" t="s">
        <v>2401</v>
      </c>
      <c r="M41" s="53" t="s">
        <v>2237</v>
      </c>
    </row>
    <row r="42" spans="1:13" ht="20" customHeight="1" x14ac:dyDescent="0.2">
      <c r="A42" s="42" t="s">
        <v>2671</v>
      </c>
      <c r="B42" s="42" t="s">
        <v>2632</v>
      </c>
      <c r="C42" s="42" t="s">
        <v>2471</v>
      </c>
      <c r="D42" s="42" t="s">
        <v>2446</v>
      </c>
      <c r="E42" s="42" t="s">
        <v>2666</v>
      </c>
      <c r="F42" s="42" t="s">
        <v>1069</v>
      </c>
      <c r="G42" s="42" t="s">
        <v>843</v>
      </c>
      <c r="H42" s="42" t="s">
        <v>844</v>
      </c>
      <c r="I42" s="42" t="s">
        <v>843</v>
      </c>
      <c r="J42" s="42" t="s">
        <v>923</v>
      </c>
      <c r="K42" s="42" t="s">
        <v>2069</v>
      </c>
      <c r="L42" s="42" t="s">
        <v>2320</v>
      </c>
      <c r="M42" s="53" t="s">
        <v>2237</v>
      </c>
    </row>
    <row r="43" spans="1:13" ht="20" customHeight="1" x14ac:dyDescent="0.2">
      <c r="A43" s="50" t="s">
        <v>2672</v>
      </c>
      <c r="B43" s="50" t="s">
        <v>2632</v>
      </c>
      <c r="C43" s="50" t="s">
        <v>2486</v>
      </c>
      <c r="D43" s="50" t="s">
        <v>2367</v>
      </c>
      <c r="E43" s="50" t="s">
        <v>2652</v>
      </c>
      <c r="F43" s="50" t="s">
        <v>1069</v>
      </c>
      <c r="G43" s="50" t="s">
        <v>843</v>
      </c>
      <c r="H43" s="50" t="s">
        <v>844</v>
      </c>
      <c r="I43" s="50" t="s">
        <v>843</v>
      </c>
      <c r="J43" s="50" t="s">
        <v>843</v>
      </c>
      <c r="K43" s="50" t="s">
        <v>2069</v>
      </c>
      <c r="L43" s="50" t="s">
        <v>2320</v>
      </c>
      <c r="M43" s="53" t="s">
        <v>2237</v>
      </c>
    </row>
    <row r="44" spans="1:13" ht="29" customHeight="1" x14ac:dyDescent="0.2">
      <c r="A44" s="42" t="s">
        <v>2673</v>
      </c>
      <c r="B44" s="42" t="s">
        <v>2632</v>
      </c>
      <c r="C44" s="42" t="s">
        <v>2419</v>
      </c>
      <c r="D44" s="42" t="s">
        <v>2330</v>
      </c>
      <c r="E44" s="42" t="s">
        <v>2520</v>
      </c>
      <c r="F44" s="42" t="s">
        <v>2634</v>
      </c>
      <c r="G44" s="42" t="s">
        <v>817</v>
      </c>
      <c r="H44" s="42" t="s">
        <v>818</v>
      </c>
      <c r="I44" s="42" t="s">
        <v>921</v>
      </c>
      <c r="J44" s="42" t="s">
        <v>921</v>
      </c>
      <c r="K44" s="42" t="s">
        <v>2054</v>
      </c>
      <c r="L44" s="42" t="s">
        <v>857</v>
      </c>
      <c r="M44" s="53" t="s">
        <v>858</v>
      </c>
    </row>
    <row r="45" spans="1:13" ht="29" customHeight="1" x14ac:dyDescent="0.2">
      <c r="A45" s="50" t="s">
        <v>2674</v>
      </c>
      <c r="B45" s="50" t="s">
        <v>2632</v>
      </c>
      <c r="C45" s="50" t="s">
        <v>1253</v>
      </c>
      <c r="D45" s="50" t="s">
        <v>2330</v>
      </c>
      <c r="E45" s="50" t="s">
        <v>2520</v>
      </c>
      <c r="F45" s="50" t="s">
        <v>2634</v>
      </c>
      <c r="G45" s="50" t="s">
        <v>817</v>
      </c>
      <c r="H45" s="50" t="s">
        <v>827</v>
      </c>
      <c r="I45" s="50" t="s">
        <v>921</v>
      </c>
      <c r="J45" s="50" t="s">
        <v>923</v>
      </c>
      <c r="K45" s="50" t="s">
        <v>963</v>
      </c>
      <c r="L45" s="50" t="s">
        <v>857</v>
      </c>
      <c r="M45" s="53" t="s">
        <v>858</v>
      </c>
    </row>
  </sheetData>
  <mergeCells count="2">
    <mergeCell ref="A2:M2"/>
    <mergeCell ref="A1:M1"/>
  </mergeCells>
  <pageMargins left="0.75" right="0.75" top="1" bottom="1" header="0.5" footer="0.5"/>
  <legacy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V95"/>
  <sheetViews>
    <sheetView showGridLines="0" rightToLeft="1" workbookViewId="0">
      <pane xSplit="3" ySplit="3" topLeftCell="D4" activePane="bottomRight" state="frozen"/>
      <selection pane="topRight"/>
      <selection pane="bottomLeft"/>
      <selection pane="bottomRight"/>
    </sheetView>
  </sheetViews>
  <sheetFormatPr baseColWidth="10" defaultColWidth="8.83203125" defaultRowHeight="15" x14ac:dyDescent="0.2"/>
  <cols>
    <col min="1" max="1" width="10" customWidth="1"/>
    <col min="2" max="2" width="14" customWidth="1"/>
    <col min="3" max="3" width="16" customWidth="1"/>
    <col min="4" max="4" width="26" customWidth="1"/>
    <col min="5" max="6" width="14" customWidth="1"/>
    <col min="7" max="7" width="12" customWidth="1"/>
    <col min="8" max="9" width="22" customWidth="1"/>
    <col min="10" max="10" width="28" customWidth="1"/>
    <col min="11" max="12" width="18" customWidth="1"/>
    <col min="13" max="13" width="26" customWidth="1"/>
    <col min="14" max="14" width="16" customWidth="1"/>
    <col min="15" max="15" width="36" customWidth="1"/>
    <col min="16" max="16" width="12" customWidth="1"/>
    <col min="17" max="17" width="10" customWidth="1"/>
    <col min="18" max="18" width="40" customWidth="1"/>
    <col min="19" max="20" width="44" customWidth="1"/>
    <col min="21" max="21" width="12" customWidth="1"/>
    <col min="22" max="22" width="40" customWidth="1"/>
  </cols>
  <sheetData>
    <row r="1" spans="1:22" ht="30" customHeight="1" x14ac:dyDescent="0.2">
      <c r="A1" s="87" t="s">
        <v>2675</v>
      </c>
      <c r="B1" s="76"/>
      <c r="C1" s="76"/>
      <c r="D1" s="76"/>
      <c r="E1" s="76"/>
      <c r="F1" s="76"/>
      <c r="G1" s="76"/>
      <c r="H1" s="76"/>
      <c r="I1" s="76"/>
      <c r="J1" s="76"/>
      <c r="K1" s="76"/>
      <c r="L1" s="76"/>
      <c r="M1" s="76"/>
      <c r="N1" s="76"/>
      <c r="O1" s="76"/>
      <c r="P1" s="76"/>
      <c r="Q1" s="76"/>
      <c r="R1" s="76"/>
      <c r="S1" s="76"/>
      <c r="T1" s="76"/>
      <c r="U1" s="76"/>
      <c r="V1" s="76"/>
    </row>
    <row r="2" spans="1:22" ht="22" customHeight="1" x14ac:dyDescent="0.2">
      <c r="A2" s="85" t="s">
        <v>2676</v>
      </c>
      <c r="B2" s="76"/>
      <c r="C2" s="76"/>
      <c r="D2" s="76"/>
      <c r="E2" s="76"/>
      <c r="F2" s="76"/>
      <c r="G2" s="76"/>
      <c r="H2" s="76"/>
      <c r="I2" s="76"/>
      <c r="J2" s="76"/>
      <c r="K2" s="76"/>
      <c r="L2" s="76"/>
      <c r="M2" s="76"/>
      <c r="N2" s="76"/>
      <c r="O2" s="76"/>
      <c r="P2" s="76"/>
      <c r="Q2" s="76"/>
      <c r="R2" s="76"/>
      <c r="S2" s="76"/>
      <c r="T2" s="76"/>
      <c r="U2" s="76"/>
      <c r="V2" s="76"/>
    </row>
    <row r="3" spans="1:22" ht="30" customHeight="1" x14ac:dyDescent="0.2">
      <c r="A3" s="24" t="s">
        <v>94</v>
      </c>
      <c r="B3" s="24" t="s">
        <v>2677</v>
      </c>
      <c r="C3" s="24" t="s">
        <v>2443</v>
      </c>
      <c r="D3" s="24" t="s">
        <v>2678</v>
      </c>
      <c r="E3" s="24" t="s">
        <v>2679</v>
      </c>
      <c r="F3" s="24" t="s">
        <v>2680</v>
      </c>
      <c r="G3" s="24" t="s">
        <v>376</v>
      </c>
      <c r="H3" s="24" t="s">
        <v>2681</v>
      </c>
      <c r="I3" s="24" t="s">
        <v>2682</v>
      </c>
      <c r="J3" s="24" t="s">
        <v>2683</v>
      </c>
      <c r="K3" s="24" t="s">
        <v>2684</v>
      </c>
      <c r="L3" s="24" t="s">
        <v>2685</v>
      </c>
      <c r="M3" s="24" t="s">
        <v>2686</v>
      </c>
      <c r="N3" s="24" t="s">
        <v>2687</v>
      </c>
      <c r="O3" s="24" t="s">
        <v>2688</v>
      </c>
      <c r="P3" s="24" t="s">
        <v>2689</v>
      </c>
      <c r="Q3" s="24" t="s">
        <v>2690</v>
      </c>
      <c r="R3" s="24" t="s">
        <v>2691</v>
      </c>
      <c r="S3" s="24" t="s">
        <v>2692</v>
      </c>
      <c r="T3" s="24" t="s">
        <v>2693</v>
      </c>
      <c r="U3" s="24" t="s">
        <v>2694</v>
      </c>
      <c r="V3" s="24" t="s">
        <v>107</v>
      </c>
    </row>
    <row r="4" spans="1:22" ht="58" customHeight="1" x14ac:dyDescent="0.2">
      <c r="A4" s="23" t="s">
        <v>117</v>
      </c>
      <c r="B4" s="23" t="s">
        <v>2695</v>
      </c>
      <c r="C4" s="23" t="s">
        <v>2696</v>
      </c>
      <c r="D4" s="23" t="s">
        <v>2697</v>
      </c>
      <c r="E4" s="23"/>
      <c r="F4" s="23"/>
      <c r="G4" s="23" t="s">
        <v>2698</v>
      </c>
      <c r="H4" s="23" t="s">
        <v>2699</v>
      </c>
      <c r="I4" s="23" t="s">
        <v>2700</v>
      </c>
      <c r="J4" s="23" t="s">
        <v>2701</v>
      </c>
      <c r="K4" s="23" t="s">
        <v>2699</v>
      </c>
      <c r="L4" s="23" t="s">
        <v>2700</v>
      </c>
      <c r="M4" s="23" t="s">
        <v>886</v>
      </c>
      <c r="N4" s="23" t="s">
        <v>2702</v>
      </c>
      <c r="O4" s="23" t="s">
        <v>2703</v>
      </c>
      <c r="P4" s="23" t="s">
        <v>2704</v>
      </c>
      <c r="Q4" s="23" t="s">
        <v>2705</v>
      </c>
      <c r="R4" s="23" t="s">
        <v>2706</v>
      </c>
      <c r="S4" s="23" t="s">
        <v>2707</v>
      </c>
      <c r="T4" s="23" t="s">
        <v>2708</v>
      </c>
      <c r="U4" s="23" t="s">
        <v>2709</v>
      </c>
      <c r="V4" s="23" t="s">
        <v>2710</v>
      </c>
    </row>
    <row r="5" spans="1:22" ht="43.5" customHeight="1" x14ac:dyDescent="0.2">
      <c r="A5" s="25" t="s">
        <v>117</v>
      </c>
      <c r="B5" s="25" t="s">
        <v>2695</v>
      </c>
      <c r="C5" s="25" t="s">
        <v>2696</v>
      </c>
      <c r="D5" s="25" t="s">
        <v>2697</v>
      </c>
      <c r="E5" s="25"/>
      <c r="F5" s="25"/>
      <c r="G5" s="25" t="s">
        <v>2698</v>
      </c>
      <c r="H5" s="25" t="s">
        <v>2711</v>
      </c>
      <c r="I5" s="25" t="s">
        <v>2712</v>
      </c>
      <c r="J5" s="25" t="s">
        <v>2713</v>
      </c>
      <c r="K5" s="25" t="s">
        <v>2711</v>
      </c>
      <c r="L5" s="25" t="s">
        <v>2712</v>
      </c>
      <c r="M5" s="25" t="s">
        <v>886</v>
      </c>
      <c r="N5" s="25" t="s">
        <v>2714</v>
      </c>
      <c r="O5" s="25" t="s">
        <v>2703</v>
      </c>
      <c r="P5" s="25" t="s">
        <v>2715</v>
      </c>
      <c r="Q5" s="25" t="s">
        <v>2716</v>
      </c>
      <c r="R5" s="25" t="s">
        <v>2717</v>
      </c>
      <c r="S5" s="25" t="s">
        <v>2707</v>
      </c>
      <c r="T5" s="25" t="s">
        <v>2718</v>
      </c>
      <c r="U5" s="25" t="s">
        <v>2709</v>
      </c>
      <c r="V5" s="25"/>
    </row>
    <row r="6" spans="1:22" ht="43.5" customHeight="1" x14ac:dyDescent="0.2">
      <c r="A6" s="23" t="s">
        <v>117</v>
      </c>
      <c r="B6" s="23" t="s">
        <v>2695</v>
      </c>
      <c r="C6" s="23" t="s">
        <v>2696</v>
      </c>
      <c r="D6" s="23" t="s">
        <v>2697</v>
      </c>
      <c r="E6" s="23"/>
      <c r="F6" s="23"/>
      <c r="G6" s="23" t="s">
        <v>2698</v>
      </c>
      <c r="H6" s="23" t="s">
        <v>121</v>
      </c>
      <c r="I6" s="23" t="s">
        <v>121</v>
      </c>
      <c r="J6" s="23" t="s">
        <v>2719</v>
      </c>
      <c r="K6" s="23" t="s">
        <v>121</v>
      </c>
      <c r="L6" s="23" t="s">
        <v>121</v>
      </c>
      <c r="M6" s="23" t="s">
        <v>2720</v>
      </c>
      <c r="N6" s="23" t="s">
        <v>2702</v>
      </c>
      <c r="O6" s="23" t="s">
        <v>2703</v>
      </c>
      <c r="P6" s="23" t="s">
        <v>2704</v>
      </c>
      <c r="Q6" s="23" t="s">
        <v>2705</v>
      </c>
      <c r="R6" s="23" t="s">
        <v>2706</v>
      </c>
      <c r="S6" s="23" t="s">
        <v>2707</v>
      </c>
      <c r="T6" s="23" t="s">
        <v>2721</v>
      </c>
      <c r="U6" s="23" t="s">
        <v>2709</v>
      </c>
      <c r="V6" s="23" t="s">
        <v>2722</v>
      </c>
    </row>
    <row r="7" spans="1:22" ht="58" customHeight="1" x14ac:dyDescent="0.2">
      <c r="A7" s="25" t="s">
        <v>117</v>
      </c>
      <c r="B7" s="25" t="s">
        <v>2695</v>
      </c>
      <c r="C7" s="25" t="s">
        <v>2696</v>
      </c>
      <c r="D7" s="25" t="s">
        <v>2697</v>
      </c>
      <c r="E7" s="25"/>
      <c r="F7" s="25"/>
      <c r="G7" s="25" t="s">
        <v>2698</v>
      </c>
      <c r="H7" s="25" t="s">
        <v>2723</v>
      </c>
      <c r="I7" s="25" t="s">
        <v>2723</v>
      </c>
      <c r="J7" s="25" t="s">
        <v>2724</v>
      </c>
      <c r="K7" s="25" t="s">
        <v>2723</v>
      </c>
      <c r="L7" s="25" t="s">
        <v>2723</v>
      </c>
      <c r="M7" s="25" t="s">
        <v>2725</v>
      </c>
      <c r="N7" s="25" t="s">
        <v>1236</v>
      </c>
      <c r="O7" s="25" t="s">
        <v>2726</v>
      </c>
      <c r="P7" s="25" t="s">
        <v>2727</v>
      </c>
      <c r="Q7" s="25" t="s">
        <v>2728</v>
      </c>
      <c r="R7" s="25" t="s">
        <v>2729</v>
      </c>
      <c r="S7" s="25" t="s">
        <v>2707</v>
      </c>
      <c r="T7" s="25" t="s">
        <v>2730</v>
      </c>
      <c r="U7" s="25" t="s">
        <v>2709</v>
      </c>
      <c r="V7" s="25" t="s">
        <v>2731</v>
      </c>
    </row>
    <row r="8" spans="1:22" ht="43.5" customHeight="1" x14ac:dyDescent="0.2">
      <c r="A8" s="23" t="s">
        <v>117</v>
      </c>
      <c r="B8" s="23" t="s">
        <v>2695</v>
      </c>
      <c r="C8" s="23" t="s">
        <v>2696</v>
      </c>
      <c r="D8" s="23" t="s">
        <v>2697</v>
      </c>
      <c r="E8" s="23"/>
      <c r="F8" s="23"/>
      <c r="G8" s="23" t="s">
        <v>2698</v>
      </c>
      <c r="H8" s="23" t="s">
        <v>120</v>
      </c>
      <c r="I8" s="23" t="s">
        <v>2732</v>
      </c>
      <c r="J8" s="23" t="s">
        <v>2733</v>
      </c>
      <c r="K8" s="23" t="s">
        <v>120</v>
      </c>
      <c r="L8" s="23" t="s">
        <v>2732</v>
      </c>
      <c r="M8" s="23" t="s">
        <v>886</v>
      </c>
      <c r="N8" s="23" t="s">
        <v>2702</v>
      </c>
      <c r="O8" s="23" t="s">
        <v>2703</v>
      </c>
      <c r="P8" s="23" t="s">
        <v>2704</v>
      </c>
      <c r="Q8" s="23" t="s">
        <v>2705</v>
      </c>
      <c r="R8" s="23" t="s">
        <v>2706</v>
      </c>
      <c r="S8" s="23" t="s">
        <v>2707</v>
      </c>
      <c r="T8" s="23" t="s">
        <v>2734</v>
      </c>
      <c r="U8" s="23" t="s">
        <v>2709</v>
      </c>
      <c r="V8" s="23" t="s">
        <v>2735</v>
      </c>
    </row>
    <row r="9" spans="1:22" ht="72.5" customHeight="1" x14ac:dyDescent="0.2">
      <c r="A9" s="25" t="s">
        <v>117</v>
      </c>
      <c r="B9" s="25" t="s">
        <v>2695</v>
      </c>
      <c r="C9" s="25" t="s">
        <v>1328</v>
      </c>
      <c r="D9" s="25" t="s">
        <v>2736</v>
      </c>
      <c r="E9" s="25" t="s">
        <v>2737</v>
      </c>
      <c r="F9" s="25" t="s">
        <v>2738</v>
      </c>
      <c r="G9" s="25" t="s">
        <v>2739</v>
      </c>
      <c r="H9" s="25"/>
      <c r="I9" s="25"/>
      <c r="J9" s="25"/>
      <c r="K9" s="25"/>
      <c r="L9" s="25"/>
      <c r="M9" s="25"/>
      <c r="N9" s="25"/>
      <c r="O9" s="25" t="s">
        <v>2740</v>
      </c>
      <c r="P9" s="25"/>
      <c r="Q9" s="25"/>
      <c r="R9" s="25"/>
      <c r="S9" s="25" t="s">
        <v>2741</v>
      </c>
      <c r="T9" s="25" t="s">
        <v>2742</v>
      </c>
      <c r="U9" s="25" t="s">
        <v>2709</v>
      </c>
      <c r="V9" s="25"/>
    </row>
    <row r="10" spans="1:22" ht="72.5" customHeight="1" x14ac:dyDescent="0.2">
      <c r="A10" s="23" t="s">
        <v>117</v>
      </c>
      <c r="B10" s="23" t="s">
        <v>2695</v>
      </c>
      <c r="C10" s="23" t="s">
        <v>1328</v>
      </c>
      <c r="D10" s="23" t="s">
        <v>2743</v>
      </c>
      <c r="E10" s="23" t="s">
        <v>2744</v>
      </c>
      <c r="F10" s="23" t="s">
        <v>2738</v>
      </c>
      <c r="G10" s="23" t="s">
        <v>2739</v>
      </c>
      <c r="H10" s="23"/>
      <c r="I10" s="23"/>
      <c r="J10" s="23"/>
      <c r="K10" s="23"/>
      <c r="L10" s="23"/>
      <c r="M10" s="23"/>
      <c r="N10" s="23"/>
      <c r="O10" s="23" t="s">
        <v>2740</v>
      </c>
      <c r="P10" s="23"/>
      <c r="Q10" s="23"/>
      <c r="R10" s="23"/>
      <c r="S10" s="23" t="s">
        <v>2741</v>
      </c>
      <c r="T10" s="23" t="s">
        <v>2742</v>
      </c>
      <c r="U10" s="23" t="s">
        <v>2709</v>
      </c>
      <c r="V10" s="23"/>
    </row>
    <row r="11" spans="1:22" ht="72.5" customHeight="1" x14ac:dyDescent="0.2">
      <c r="A11" s="25" t="s">
        <v>117</v>
      </c>
      <c r="B11" s="25" t="s">
        <v>2695</v>
      </c>
      <c r="C11" s="25" t="s">
        <v>1328</v>
      </c>
      <c r="D11" s="25" t="s">
        <v>2745</v>
      </c>
      <c r="E11" s="25" t="s">
        <v>2746</v>
      </c>
      <c r="F11" s="25" t="s">
        <v>2114</v>
      </c>
      <c r="G11" s="25" t="s">
        <v>2739</v>
      </c>
      <c r="H11" s="25"/>
      <c r="I11" s="25"/>
      <c r="J11" s="25"/>
      <c r="K11" s="25"/>
      <c r="L11" s="25"/>
      <c r="M11" s="25"/>
      <c r="N11" s="25"/>
      <c r="O11" s="25" t="s">
        <v>2740</v>
      </c>
      <c r="P11" s="25"/>
      <c r="Q11" s="25"/>
      <c r="R11" s="25"/>
      <c r="S11" s="25" t="s">
        <v>2741</v>
      </c>
      <c r="T11" s="25" t="s">
        <v>2742</v>
      </c>
      <c r="U11" s="25" t="s">
        <v>2709</v>
      </c>
      <c r="V11" s="25"/>
    </row>
    <row r="12" spans="1:22" ht="72.5" customHeight="1" x14ac:dyDescent="0.2">
      <c r="A12" s="23" t="s">
        <v>117</v>
      </c>
      <c r="B12" s="23" t="s">
        <v>2695</v>
      </c>
      <c r="C12" s="23" t="s">
        <v>1328</v>
      </c>
      <c r="D12" s="23" t="s">
        <v>2747</v>
      </c>
      <c r="E12" s="23" t="s">
        <v>2737</v>
      </c>
      <c r="F12" s="23" t="s">
        <v>2738</v>
      </c>
      <c r="G12" s="23" t="s">
        <v>2739</v>
      </c>
      <c r="H12" s="23"/>
      <c r="I12" s="23"/>
      <c r="J12" s="23"/>
      <c r="K12" s="23"/>
      <c r="L12" s="23"/>
      <c r="M12" s="23"/>
      <c r="N12" s="23"/>
      <c r="O12" s="23" t="s">
        <v>2740</v>
      </c>
      <c r="P12" s="23"/>
      <c r="Q12" s="23"/>
      <c r="R12" s="23"/>
      <c r="S12" s="23" t="s">
        <v>2741</v>
      </c>
      <c r="T12" s="23" t="s">
        <v>2742</v>
      </c>
      <c r="U12" s="23" t="s">
        <v>2709</v>
      </c>
      <c r="V12" s="23"/>
    </row>
    <row r="13" spans="1:22" ht="72.5" customHeight="1" x14ac:dyDescent="0.2">
      <c r="A13" s="25" t="s">
        <v>117</v>
      </c>
      <c r="B13" s="25" t="s">
        <v>2695</v>
      </c>
      <c r="C13" s="25" t="s">
        <v>1328</v>
      </c>
      <c r="D13" s="25" t="s">
        <v>2748</v>
      </c>
      <c r="E13" s="25" t="s">
        <v>2738</v>
      </c>
      <c r="F13" s="25" t="s">
        <v>2737</v>
      </c>
      <c r="G13" s="25" t="s">
        <v>2739</v>
      </c>
      <c r="H13" s="25"/>
      <c r="I13" s="25"/>
      <c r="J13" s="25"/>
      <c r="K13" s="25"/>
      <c r="L13" s="25"/>
      <c r="M13" s="25"/>
      <c r="N13" s="25"/>
      <c r="O13" s="25" t="s">
        <v>2740</v>
      </c>
      <c r="P13" s="25"/>
      <c r="Q13" s="25"/>
      <c r="R13" s="25"/>
      <c r="S13" s="25" t="s">
        <v>2741</v>
      </c>
      <c r="T13" s="25" t="s">
        <v>2742</v>
      </c>
      <c r="U13" s="25" t="s">
        <v>2709</v>
      </c>
      <c r="V13" s="25"/>
    </row>
    <row r="14" spans="1:22" ht="29" customHeight="1" x14ac:dyDescent="0.2">
      <c r="A14" s="23" t="s">
        <v>117</v>
      </c>
      <c r="B14" s="23" t="s">
        <v>2695</v>
      </c>
      <c r="C14" s="23" t="s">
        <v>1328</v>
      </c>
      <c r="D14" s="23" t="s">
        <v>2749</v>
      </c>
      <c r="E14" s="23" t="s">
        <v>111</v>
      </c>
      <c r="F14" s="23" t="s">
        <v>119</v>
      </c>
      <c r="G14" s="23" t="s">
        <v>2739</v>
      </c>
      <c r="H14" s="23"/>
      <c r="I14" s="23"/>
      <c r="J14" s="23"/>
      <c r="K14" s="23"/>
      <c r="L14" s="23"/>
      <c r="M14" s="23"/>
      <c r="N14" s="23"/>
      <c r="O14" s="23" t="s">
        <v>2750</v>
      </c>
      <c r="P14" s="23"/>
      <c r="Q14" s="23"/>
      <c r="R14" s="23"/>
      <c r="S14" s="23"/>
      <c r="T14" s="23"/>
      <c r="U14" s="23" t="s">
        <v>2709</v>
      </c>
      <c r="V14" s="23" t="s">
        <v>2751</v>
      </c>
    </row>
    <row r="15" spans="1:22" ht="43.5" customHeight="1" x14ac:dyDescent="0.2">
      <c r="A15" s="25" t="s">
        <v>174</v>
      </c>
      <c r="B15" s="25" t="s">
        <v>174</v>
      </c>
      <c r="C15" s="25" t="s">
        <v>2696</v>
      </c>
      <c r="D15" s="25" t="s">
        <v>2697</v>
      </c>
      <c r="E15" s="25"/>
      <c r="F15" s="25"/>
      <c r="G15" s="25" t="s">
        <v>2698</v>
      </c>
      <c r="H15" s="25" t="s">
        <v>175</v>
      </c>
      <c r="I15" s="25" t="s">
        <v>176</v>
      </c>
      <c r="J15" s="25" t="s">
        <v>2752</v>
      </c>
      <c r="K15" s="25" t="s">
        <v>175</v>
      </c>
      <c r="L15" s="25" t="s">
        <v>176</v>
      </c>
      <c r="M15" s="25" t="s">
        <v>886</v>
      </c>
      <c r="N15" s="25" t="s">
        <v>2753</v>
      </c>
      <c r="O15" s="25" t="s">
        <v>2703</v>
      </c>
      <c r="P15" s="25" t="s">
        <v>2753</v>
      </c>
      <c r="Q15" s="25" t="s">
        <v>2754</v>
      </c>
      <c r="R15" s="25" t="s">
        <v>2755</v>
      </c>
      <c r="S15" s="25" t="s">
        <v>2756</v>
      </c>
      <c r="T15" s="25" t="s">
        <v>2757</v>
      </c>
      <c r="U15" s="25" t="s">
        <v>2709</v>
      </c>
      <c r="V15" s="25" t="s">
        <v>2758</v>
      </c>
    </row>
    <row r="16" spans="1:22" ht="58" customHeight="1" x14ac:dyDescent="0.2">
      <c r="A16" s="23" t="s">
        <v>174</v>
      </c>
      <c r="B16" s="23" t="s">
        <v>174</v>
      </c>
      <c r="C16" s="23" t="s">
        <v>2696</v>
      </c>
      <c r="D16" s="23" t="s">
        <v>2697</v>
      </c>
      <c r="E16" s="23"/>
      <c r="F16" s="23"/>
      <c r="G16" s="23" t="s">
        <v>2698</v>
      </c>
      <c r="H16" s="23" t="s">
        <v>2759</v>
      </c>
      <c r="I16" s="23" t="s">
        <v>2759</v>
      </c>
      <c r="J16" s="23" t="s">
        <v>2760</v>
      </c>
      <c r="K16" s="23" t="s">
        <v>2759</v>
      </c>
      <c r="L16" s="23" t="s">
        <v>2759</v>
      </c>
      <c r="M16" s="23" t="s">
        <v>2725</v>
      </c>
      <c r="N16" s="23" t="s">
        <v>1236</v>
      </c>
      <c r="O16" s="23" t="s">
        <v>2703</v>
      </c>
      <c r="P16" s="23" t="s">
        <v>2761</v>
      </c>
      <c r="Q16" s="23" t="s">
        <v>2762</v>
      </c>
      <c r="R16" s="23" t="s">
        <v>1389</v>
      </c>
      <c r="S16" s="23" t="s">
        <v>2756</v>
      </c>
      <c r="T16" s="23" t="s">
        <v>2763</v>
      </c>
      <c r="U16" s="23" t="s">
        <v>2709</v>
      </c>
      <c r="V16" s="23" t="s">
        <v>2764</v>
      </c>
    </row>
    <row r="17" spans="1:22" ht="58" customHeight="1" x14ac:dyDescent="0.2">
      <c r="A17" s="25" t="s">
        <v>174</v>
      </c>
      <c r="B17" s="25" t="s">
        <v>174</v>
      </c>
      <c r="C17" s="25" t="s">
        <v>2696</v>
      </c>
      <c r="D17" s="25" t="s">
        <v>2697</v>
      </c>
      <c r="E17" s="25"/>
      <c r="F17" s="25"/>
      <c r="G17" s="25" t="s">
        <v>2698</v>
      </c>
      <c r="H17" s="25" t="s">
        <v>2765</v>
      </c>
      <c r="I17" s="25" t="s">
        <v>2766</v>
      </c>
      <c r="J17" s="25" t="s">
        <v>2767</v>
      </c>
      <c r="K17" s="25" t="s">
        <v>2765</v>
      </c>
      <c r="L17" s="25" t="s">
        <v>2766</v>
      </c>
      <c r="M17" s="25" t="s">
        <v>886</v>
      </c>
      <c r="N17" s="25" t="s">
        <v>2753</v>
      </c>
      <c r="O17" s="25" t="s">
        <v>2703</v>
      </c>
      <c r="P17" s="25" t="s">
        <v>2753</v>
      </c>
      <c r="Q17" s="25" t="s">
        <v>2754</v>
      </c>
      <c r="R17" s="25" t="s">
        <v>2755</v>
      </c>
      <c r="S17" s="25" t="s">
        <v>2756</v>
      </c>
      <c r="T17" s="25" t="s">
        <v>2768</v>
      </c>
      <c r="U17" s="25" t="s">
        <v>2709</v>
      </c>
      <c r="V17" s="25" t="s">
        <v>2769</v>
      </c>
    </row>
    <row r="18" spans="1:22" ht="58" customHeight="1" x14ac:dyDescent="0.2">
      <c r="A18" s="23" t="s">
        <v>174</v>
      </c>
      <c r="B18" s="23" t="s">
        <v>174</v>
      </c>
      <c r="C18" s="23" t="s">
        <v>2696</v>
      </c>
      <c r="D18" s="23" t="s">
        <v>2697</v>
      </c>
      <c r="E18" s="23"/>
      <c r="F18" s="23"/>
      <c r="G18" s="23" t="s">
        <v>2698</v>
      </c>
      <c r="H18" s="23" t="s">
        <v>2770</v>
      </c>
      <c r="I18" s="23" t="s">
        <v>2770</v>
      </c>
      <c r="J18" s="23" t="s">
        <v>2771</v>
      </c>
      <c r="K18" s="23" t="s">
        <v>2770</v>
      </c>
      <c r="L18" s="23" t="s">
        <v>2770</v>
      </c>
      <c r="M18" s="23" t="s">
        <v>2725</v>
      </c>
      <c r="N18" s="23" t="s">
        <v>1236</v>
      </c>
      <c r="O18" s="23" t="s">
        <v>2703</v>
      </c>
      <c r="P18" s="23" t="s">
        <v>2761</v>
      </c>
      <c r="Q18" s="23" t="s">
        <v>2762</v>
      </c>
      <c r="R18" s="23" t="s">
        <v>1389</v>
      </c>
      <c r="S18" s="23" t="s">
        <v>2756</v>
      </c>
      <c r="T18" s="23" t="s">
        <v>2763</v>
      </c>
      <c r="U18" s="23" t="s">
        <v>2709</v>
      </c>
      <c r="V18" s="23" t="s">
        <v>2772</v>
      </c>
    </row>
    <row r="19" spans="1:22" ht="58" customHeight="1" x14ac:dyDescent="0.2">
      <c r="A19" s="25" t="s">
        <v>174</v>
      </c>
      <c r="B19" s="25" t="s">
        <v>174</v>
      </c>
      <c r="C19" s="25" t="s">
        <v>2696</v>
      </c>
      <c r="D19" s="25" t="s">
        <v>2697</v>
      </c>
      <c r="E19" s="25"/>
      <c r="F19" s="25"/>
      <c r="G19" s="25" t="s">
        <v>2698</v>
      </c>
      <c r="H19" s="25" t="s">
        <v>2773</v>
      </c>
      <c r="I19" s="25" t="s">
        <v>2774</v>
      </c>
      <c r="J19" s="25" t="s">
        <v>2775</v>
      </c>
      <c r="K19" s="25" t="s">
        <v>2773</v>
      </c>
      <c r="L19" s="25" t="s">
        <v>2774</v>
      </c>
      <c r="M19" s="25" t="s">
        <v>2776</v>
      </c>
      <c r="N19" s="25" t="s">
        <v>2777</v>
      </c>
      <c r="O19" s="25" t="s">
        <v>2703</v>
      </c>
      <c r="P19" s="25" t="s">
        <v>2778</v>
      </c>
      <c r="Q19" s="25" t="s">
        <v>2779</v>
      </c>
      <c r="R19" s="25" t="s">
        <v>2780</v>
      </c>
      <c r="S19" s="25" t="s">
        <v>2756</v>
      </c>
      <c r="T19" s="25" t="s">
        <v>2781</v>
      </c>
      <c r="U19" s="25" t="s">
        <v>2709</v>
      </c>
      <c r="V19" s="25" t="s">
        <v>2782</v>
      </c>
    </row>
    <row r="20" spans="1:22" ht="72.5" customHeight="1" x14ac:dyDescent="0.2">
      <c r="A20" s="23" t="s">
        <v>174</v>
      </c>
      <c r="B20" s="23" t="s">
        <v>174</v>
      </c>
      <c r="C20" s="23" t="s">
        <v>1328</v>
      </c>
      <c r="D20" s="23" t="s">
        <v>2736</v>
      </c>
      <c r="E20" s="23" t="s">
        <v>2746</v>
      </c>
      <c r="F20" s="23" t="s">
        <v>2744</v>
      </c>
      <c r="G20" s="23" t="s">
        <v>2739</v>
      </c>
      <c r="H20" s="23"/>
      <c r="I20" s="23"/>
      <c r="J20" s="23"/>
      <c r="K20" s="23"/>
      <c r="L20" s="23"/>
      <c r="M20" s="23"/>
      <c r="N20" s="23"/>
      <c r="O20" s="23" t="s">
        <v>2740</v>
      </c>
      <c r="P20" s="23"/>
      <c r="Q20" s="23"/>
      <c r="R20" s="23"/>
      <c r="S20" s="23" t="s">
        <v>2783</v>
      </c>
      <c r="T20" s="23" t="s">
        <v>2784</v>
      </c>
      <c r="U20" s="23" t="s">
        <v>2709</v>
      </c>
      <c r="V20" s="23"/>
    </row>
    <row r="21" spans="1:22" ht="72.5" customHeight="1" x14ac:dyDescent="0.2">
      <c r="A21" s="25" t="s">
        <v>174</v>
      </c>
      <c r="B21" s="25" t="s">
        <v>174</v>
      </c>
      <c r="C21" s="25" t="s">
        <v>1328</v>
      </c>
      <c r="D21" s="25" t="s">
        <v>2743</v>
      </c>
      <c r="E21" s="25" t="s">
        <v>2746</v>
      </c>
      <c r="F21" s="25" t="s">
        <v>2744</v>
      </c>
      <c r="G21" s="25" t="s">
        <v>2739</v>
      </c>
      <c r="H21" s="25"/>
      <c r="I21" s="25"/>
      <c r="J21" s="25"/>
      <c r="K21" s="25"/>
      <c r="L21" s="25"/>
      <c r="M21" s="25"/>
      <c r="N21" s="25"/>
      <c r="O21" s="25" t="s">
        <v>2740</v>
      </c>
      <c r="P21" s="25"/>
      <c r="Q21" s="25"/>
      <c r="R21" s="25"/>
      <c r="S21" s="25" t="s">
        <v>2783</v>
      </c>
      <c r="T21" s="25" t="s">
        <v>2784</v>
      </c>
      <c r="U21" s="25" t="s">
        <v>2709</v>
      </c>
      <c r="V21" s="25"/>
    </row>
    <row r="22" spans="1:22" ht="72.5" customHeight="1" x14ac:dyDescent="0.2">
      <c r="A22" s="23" t="s">
        <v>174</v>
      </c>
      <c r="B22" s="23" t="s">
        <v>174</v>
      </c>
      <c r="C22" s="23" t="s">
        <v>1328</v>
      </c>
      <c r="D22" s="23" t="s">
        <v>2745</v>
      </c>
      <c r="E22" s="23" t="s">
        <v>2114</v>
      </c>
      <c r="F22" s="23" t="s">
        <v>2114</v>
      </c>
      <c r="G22" s="23" t="s">
        <v>2725</v>
      </c>
      <c r="H22" s="23"/>
      <c r="I22" s="23"/>
      <c r="J22" s="23"/>
      <c r="K22" s="23"/>
      <c r="L22" s="23"/>
      <c r="M22" s="23"/>
      <c r="N22" s="23"/>
      <c r="O22" s="23" t="s">
        <v>2740</v>
      </c>
      <c r="P22" s="23"/>
      <c r="Q22" s="23"/>
      <c r="R22" s="23"/>
      <c r="S22" s="23" t="s">
        <v>2783</v>
      </c>
      <c r="T22" s="23" t="s">
        <v>2784</v>
      </c>
      <c r="U22" s="23" t="s">
        <v>2709</v>
      </c>
      <c r="V22" s="23"/>
    </row>
    <row r="23" spans="1:22" ht="72.5" customHeight="1" x14ac:dyDescent="0.2">
      <c r="A23" s="25" t="s">
        <v>174</v>
      </c>
      <c r="B23" s="25" t="s">
        <v>174</v>
      </c>
      <c r="C23" s="25" t="s">
        <v>1328</v>
      </c>
      <c r="D23" s="25" t="s">
        <v>2747</v>
      </c>
      <c r="E23" s="25" t="s">
        <v>2115</v>
      </c>
      <c r="F23" s="25" t="s">
        <v>2738</v>
      </c>
      <c r="G23" s="25" t="s">
        <v>2739</v>
      </c>
      <c r="H23" s="25"/>
      <c r="I23" s="25"/>
      <c r="J23" s="25"/>
      <c r="K23" s="25"/>
      <c r="L23" s="25"/>
      <c r="M23" s="25"/>
      <c r="N23" s="25"/>
      <c r="O23" s="25" t="s">
        <v>2740</v>
      </c>
      <c r="P23" s="25"/>
      <c r="Q23" s="25"/>
      <c r="R23" s="25"/>
      <c r="S23" s="25" t="s">
        <v>2783</v>
      </c>
      <c r="T23" s="25" t="s">
        <v>2784</v>
      </c>
      <c r="U23" s="25" t="s">
        <v>2709</v>
      </c>
      <c r="V23" s="25"/>
    </row>
    <row r="24" spans="1:22" ht="72.5" customHeight="1" x14ac:dyDescent="0.2">
      <c r="A24" s="23" t="s">
        <v>174</v>
      </c>
      <c r="B24" s="23" t="s">
        <v>174</v>
      </c>
      <c r="C24" s="23" t="s">
        <v>1328</v>
      </c>
      <c r="D24" s="23" t="s">
        <v>2748</v>
      </c>
      <c r="E24" s="23" t="s">
        <v>2785</v>
      </c>
      <c r="F24" s="23" t="s">
        <v>2744</v>
      </c>
      <c r="G24" s="23" t="s">
        <v>2739</v>
      </c>
      <c r="H24" s="23"/>
      <c r="I24" s="23"/>
      <c r="J24" s="23"/>
      <c r="K24" s="23"/>
      <c r="L24" s="23"/>
      <c r="M24" s="23"/>
      <c r="N24" s="23"/>
      <c r="O24" s="23" t="s">
        <v>2740</v>
      </c>
      <c r="P24" s="23"/>
      <c r="Q24" s="23"/>
      <c r="R24" s="23"/>
      <c r="S24" s="23" t="s">
        <v>2783</v>
      </c>
      <c r="T24" s="23" t="s">
        <v>2784</v>
      </c>
      <c r="U24" s="23" t="s">
        <v>2709</v>
      </c>
      <c r="V24" s="23"/>
    </row>
    <row r="25" spans="1:22" ht="29" customHeight="1" x14ac:dyDescent="0.2">
      <c r="A25" s="25" t="s">
        <v>174</v>
      </c>
      <c r="B25" s="25" t="s">
        <v>174</v>
      </c>
      <c r="C25" s="25" t="s">
        <v>1328</v>
      </c>
      <c r="D25" s="25" t="s">
        <v>2749</v>
      </c>
      <c r="E25" s="25" t="s">
        <v>111</v>
      </c>
      <c r="F25" s="25" t="s">
        <v>119</v>
      </c>
      <c r="G25" s="25" t="s">
        <v>2739</v>
      </c>
      <c r="H25" s="25"/>
      <c r="I25" s="25"/>
      <c r="J25" s="25"/>
      <c r="K25" s="25"/>
      <c r="L25" s="25"/>
      <c r="M25" s="25"/>
      <c r="N25" s="25"/>
      <c r="O25" s="25" t="s">
        <v>2750</v>
      </c>
      <c r="P25" s="25"/>
      <c r="Q25" s="25"/>
      <c r="R25" s="25"/>
      <c r="S25" s="25"/>
      <c r="T25" s="25"/>
      <c r="U25" s="25" t="s">
        <v>2709</v>
      </c>
      <c r="V25" s="25" t="s">
        <v>2751</v>
      </c>
    </row>
    <row r="26" spans="1:22" ht="58" customHeight="1" x14ac:dyDescent="0.2">
      <c r="A26" s="23" t="s">
        <v>182</v>
      </c>
      <c r="B26" s="23" t="s">
        <v>182</v>
      </c>
      <c r="C26" s="23" t="s">
        <v>2696</v>
      </c>
      <c r="D26" s="23" t="s">
        <v>2697</v>
      </c>
      <c r="E26" s="23"/>
      <c r="F26" s="23"/>
      <c r="G26" s="23" t="s">
        <v>2698</v>
      </c>
      <c r="H26" s="23" t="s">
        <v>2786</v>
      </c>
      <c r="I26" s="23" t="s">
        <v>2786</v>
      </c>
      <c r="J26" s="23" t="s">
        <v>2787</v>
      </c>
      <c r="K26" s="23" t="s">
        <v>2786</v>
      </c>
      <c r="L26" s="23" t="s">
        <v>2786</v>
      </c>
      <c r="M26" s="23" t="s">
        <v>2725</v>
      </c>
      <c r="N26" s="23" t="s">
        <v>1236</v>
      </c>
      <c r="O26" s="23" t="s">
        <v>2726</v>
      </c>
      <c r="P26" s="23" t="s">
        <v>2788</v>
      </c>
      <c r="Q26" s="23" t="s">
        <v>2789</v>
      </c>
      <c r="R26" s="23" t="s">
        <v>2790</v>
      </c>
      <c r="S26" s="23" t="s">
        <v>2791</v>
      </c>
      <c r="T26" s="23" t="s">
        <v>2792</v>
      </c>
      <c r="U26" s="23" t="s">
        <v>2793</v>
      </c>
      <c r="V26" s="23" t="s">
        <v>2794</v>
      </c>
    </row>
    <row r="27" spans="1:22" ht="58" customHeight="1" x14ac:dyDescent="0.2">
      <c r="A27" s="25" t="s">
        <v>182</v>
      </c>
      <c r="B27" s="25" t="s">
        <v>182</v>
      </c>
      <c r="C27" s="25" t="s">
        <v>2696</v>
      </c>
      <c r="D27" s="25" t="s">
        <v>2697</v>
      </c>
      <c r="E27" s="25"/>
      <c r="F27" s="25"/>
      <c r="G27" s="25" t="s">
        <v>2698</v>
      </c>
      <c r="H27" s="25" t="s">
        <v>2795</v>
      </c>
      <c r="I27" s="25" t="s">
        <v>2795</v>
      </c>
      <c r="J27" s="25" t="s">
        <v>2796</v>
      </c>
      <c r="K27" s="25" t="s">
        <v>2795</v>
      </c>
      <c r="L27" s="25" t="s">
        <v>2795</v>
      </c>
      <c r="M27" s="25" t="s">
        <v>2725</v>
      </c>
      <c r="N27" s="25" t="s">
        <v>1236</v>
      </c>
      <c r="O27" s="25" t="s">
        <v>2726</v>
      </c>
      <c r="P27" s="25" t="s">
        <v>2788</v>
      </c>
      <c r="Q27" s="25" t="s">
        <v>2789</v>
      </c>
      <c r="R27" s="25" t="s">
        <v>2790</v>
      </c>
      <c r="S27" s="25" t="s">
        <v>2791</v>
      </c>
      <c r="T27" s="25" t="s">
        <v>2792</v>
      </c>
      <c r="U27" s="25" t="s">
        <v>2793</v>
      </c>
      <c r="V27" s="25"/>
    </row>
    <row r="28" spans="1:22" ht="43.5" customHeight="1" x14ac:dyDescent="0.2">
      <c r="A28" s="23" t="s">
        <v>182</v>
      </c>
      <c r="B28" s="23" t="s">
        <v>182</v>
      </c>
      <c r="C28" s="23" t="s">
        <v>2696</v>
      </c>
      <c r="D28" s="23" t="s">
        <v>2697</v>
      </c>
      <c r="E28" s="23"/>
      <c r="F28" s="23"/>
      <c r="G28" s="23" t="s">
        <v>2698</v>
      </c>
      <c r="H28" s="23" t="s">
        <v>2797</v>
      </c>
      <c r="I28" s="23" t="s">
        <v>2798</v>
      </c>
      <c r="J28" s="23" t="s">
        <v>2799</v>
      </c>
      <c r="K28" s="23" t="s">
        <v>2797</v>
      </c>
      <c r="L28" s="23" t="s">
        <v>2798</v>
      </c>
      <c r="M28" s="23" t="s">
        <v>886</v>
      </c>
      <c r="N28" s="23" t="s">
        <v>2753</v>
      </c>
      <c r="O28" s="23" t="s">
        <v>2703</v>
      </c>
      <c r="P28" s="23" t="s">
        <v>2800</v>
      </c>
      <c r="Q28" s="23" t="s">
        <v>2801</v>
      </c>
      <c r="R28" s="23" t="s">
        <v>2802</v>
      </c>
      <c r="S28" s="23" t="s">
        <v>2791</v>
      </c>
      <c r="T28" s="23" t="s">
        <v>2803</v>
      </c>
      <c r="U28" s="23" t="s">
        <v>2793</v>
      </c>
      <c r="V28" s="23"/>
    </row>
    <row r="29" spans="1:22" ht="43.5" customHeight="1" x14ac:dyDescent="0.2">
      <c r="A29" s="25" t="s">
        <v>182</v>
      </c>
      <c r="B29" s="25" t="s">
        <v>182</v>
      </c>
      <c r="C29" s="25" t="s">
        <v>2696</v>
      </c>
      <c r="D29" s="25" t="s">
        <v>2697</v>
      </c>
      <c r="E29" s="25"/>
      <c r="F29" s="25"/>
      <c r="G29" s="25" t="s">
        <v>2698</v>
      </c>
      <c r="H29" s="25" t="s">
        <v>191</v>
      </c>
      <c r="I29" s="25" t="s">
        <v>2804</v>
      </c>
      <c r="J29" s="25" t="s">
        <v>2805</v>
      </c>
      <c r="K29" s="25" t="s">
        <v>191</v>
      </c>
      <c r="L29" s="25" t="s">
        <v>2804</v>
      </c>
      <c r="M29" s="25" t="s">
        <v>886</v>
      </c>
      <c r="N29" s="25" t="s">
        <v>2753</v>
      </c>
      <c r="O29" s="25" t="s">
        <v>2703</v>
      </c>
      <c r="P29" s="25" t="s">
        <v>2800</v>
      </c>
      <c r="Q29" s="25" t="s">
        <v>2801</v>
      </c>
      <c r="R29" s="25" t="s">
        <v>2802</v>
      </c>
      <c r="S29" s="25" t="s">
        <v>2791</v>
      </c>
      <c r="T29" s="25" t="s">
        <v>2806</v>
      </c>
      <c r="U29" s="25" t="s">
        <v>2793</v>
      </c>
      <c r="V29" s="25"/>
    </row>
    <row r="30" spans="1:22" ht="72.5" customHeight="1" x14ac:dyDescent="0.2">
      <c r="A30" s="23" t="s">
        <v>182</v>
      </c>
      <c r="B30" s="23" t="s">
        <v>182</v>
      </c>
      <c r="C30" s="23" t="s">
        <v>2696</v>
      </c>
      <c r="D30" s="23" t="s">
        <v>2697</v>
      </c>
      <c r="E30" s="23"/>
      <c r="F30" s="23"/>
      <c r="G30" s="23" t="s">
        <v>2698</v>
      </c>
      <c r="H30" s="23" t="s">
        <v>184</v>
      </c>
      <c r="I30" s="23" t="s">
        <v>184</v>
      </c>
      <c r="J30" s="23" t="s">
        <v>2807</v>
      </c>
      <c r="K30" s="23" t="s">
        <v>184</v>
      </c>
      <c r="L30" s="23" t="s">
        <v>184</v>
      </c>
      <c r="M30" s="23" t="s">
        <v>2725</v>
      </c>
      <c r="N30" s="23" t="s">
        <v>1236</v>
      </c>
      <c r="O30" s="23" t="s">
        <v>2726</v>
      </c>
      <c r="P30" s="23" t="s">
        <v>2788</v>
      </c>
      <c r="Q30" s="23" t="s">
        <v>2789</v>
      </c>
      <c r="R30" s="23" t="s">
        <v>2790</v>
      </c>
      <c r="S30" s="23" t="s">
        <v>2791</v>
      </c>
      <c r="T30" s="23" t="s">
        <v>2792</v>
      </c>
      <c r="U30" s="23" t="s">
        <v>2793</v>
      </c>
      <c r="V30" s="23" t="s">
        <v>2808</v>
      </c>
    </row>
    <row r="31" spans="1:22" ht="72.5" customHeight="1" x14ac:dyDescent="0.2">
      <c r="A31" s="25" t="s">
        <v>182</v>
      </c>
      <c r="B31" s="25" t="s">
        <v>182</v>
      </c>
      <c r="C31" s="25" t="s">
        <v>1328</v>
      </c>
      <c r="D31" s="25" t="s">
        <v>2736</v>
      </c>
      <c r="E31" s="25" t="s">
        <v>2114</v>
      </c>
      <c r="F31" s="25" t="s">
        <v>2737</v>
      </c>
      <c r="G31" s="25" t="s">
        <v>2739</v>
      </c>
      <c r="H31" s="25"/>
      <c r="I31" s="25"/>
      <c r="J31" s="25"/>
      <c r="K31" s="25"/>
      <c r="L31" s="25"/>
      <c r="M31" s="25"/>
      <c r="N31" s="25"/>
      <c r="O31" s="25" t="s">
        <v>2740</v>
      </c>
      <c r="P31" s="25"/>
      <c r="Q31" s="25"/>
      <c r="R31" s="25"/>
      <c r="S31" s="25" t="s">
        <v>2809</v>
      </c>
      <c r="T31" s="25" t="s">
        <v>2810</v>
      </c>
      <c r="U31" s="25" t="s">
        <v>2793</v>
      </c>
      <c r="V31" s="25"/>
    </row>
    <row r="32" spans="1:22" ht="72.5" customHeight="1" x14ac:dyDescent="0.2">
      <c r="A32" s="23" t="s">
        <v>182</v>
      </c>
      <c r="B32" s="23" t="s">
        <v>182</v>
      </c>
      <c r="C32" s="23" t="s">
        <v>1328</v>
      </c>
      <c r="D32" s="23" t="s">
        <v>2743</v>
      </c>
      <c r="E32" s="23" t="s">
        <v>2811</v>
      </c>
      <c r="F32" s="23" t="s">
        <v>2737</v>
      </c>
      <c r="G32" s="23" t="s">
        <v>2739</v>
      </c>
      <c r="H32" s="23"/>
      <c r="I32" s="23"/>
      <c r="J32" s="23"/>
      <c r="K32" s="23"/>
      <c r="L32" s="23"/>
      <c r="M32" s="23"/>
      <c r="N32" s="23"/>
      <c r="O32" s="23" t="s">
        <v>2740</v>
      </c>
      <c r="P32" s="23"/>
      <c r="Q32" s="23"/>
      <c r="R32" s="23"/>
      <c r="S32" s="23" t="s">
        <v>2809</v>
      </c>
      <c r="T32" s="23" t="s">
        <v>2810</v>
      </c>
      <c r="U32" s="23" t="s">
        <v>2793</v>
      </c>
      <c r="V32" s="23"/>
    </row>
    <row r="33" spans="1:22" ht="72.5" customHeight="1" x14ac:dyDescent="0.2">
      <c r="A33" s="25" t="s">
        <v>182</v>
      </c>
      <c r="B33" s="25" t="s">
        <v>182</v>
      </c>
      <c r="C33" s="25" t="s">
        <v>1328</v>
      </c>
      <c r="D33" s="25" t="s">
        <v>2745</v>
      </c>
      <c r="E33" s="25" t="s">
        <v>2811</v>
      </c>
      <c r="F33" s="25" t="s">
        <v>2114</v>
      </c>
      <c r="G33" s="25" t="s">
        <v>2739</v>
      </c>
      <c r="H33" s="25"/>
      <c r="I33" s="25"/>
      <c r="J33" s="25"/>
      <c r="K33" s="25"/>
      <c r="L33" s="25"/>
      <c r="M33" s="25"/>
      <c r="N33" s="25"/>
      <c r="O33" s="25" t="s">
        <v>2740</v>
      </c>
      <c r="P33" s="25"/>
      <c r="Q33" s="25"/>
      <c r="R33" s="25"/>
      <c r="S33" s="25" t="s">
        <v>2809</v>
      </c>
      <c r="T33" s="25" t="s">
        <v>2810</v>
      </c>
      <c r="U33" s="25" t="s">
        <v>2793</v>
      </c>
      <c r="V33" s="25"/>
    </row>
    <row r="34" spans="1:22" ht="72.5" customHeight="1" x14ac:dyDescent="0.2">
      <c r="A34" s="23" t="s">
        <v>182</v>
      </c>
      <c r="B34" s="23" t="s">
        <v>182</v>
      </c>
      <c r="C34" s="23" t="s">
        <v>1328</v>
      </c>
      <c r="D34" s="23" t="s">
        <v>2747</v>
      </c>
      <c r="E34" s="23" t="s">
        <v>2812</v>
      </c>
      <c r="F34" s="23" t="s">
        <v>2737</v>
      </c>
      <c r="G34" s="23" t="s">
        <v>2739</v>
      </c>
      <c r="H34" s="23"/>
      <c r="I34" s="23"/>
      <c r="J34" s="23"/>
      <c r="K34" s="23"/>
      <c r="L34" s="23"/>
      <c r="M34" s="23"/>
      <c r="N34" s="23"/>
      <c r="O34" s="23" t="s">
        <v>2740</v>
      </c>
      <c r="P34" s="23"/>
      <c r="Q34" s="23"/>
      <c r="R34" s="23"/>
      <c r="S34" s="23" t="s">
        <v>2809</v>
      </c>
      <c r="T34" s="23" t="s">
        <v>2810</v>
      </c>
      <c r="U34" s="23" t="s">
        <v>2793</v>
      </c>
      <c r="V34" s="23"/>
    </row>
    <row r="35" spans="1:22" ht="72.5" customHeight="1" x14ac:dyDescent="0.2">
      <c r="A35" s="25" t="s">
        <v>182</v>
      </c>
      <c r="B35" s="25" t="s">
        <v>182</v>
      </c>
      <c r="C35" s="25" t="s">
        <v>1328</v>
      </c>
      <c r="D35" s="25" t="s">
        <v>2748</v>
      </c>
      <c r="E35" s="25" t="s">
        <v>2813</v>
      </c>
      <c r="F35" s="25" t="s">
        <v>2738</v>
      </c>
      <c r="G35" s="25" t="s">
        <v>2739</v>
      </c>
      <c r="H35" s="25"/>
      <c r="I35" s="25"/>
      <c r="J35" s="25"/>
      <c r="K35" s="25"/>
      <c r="L35" s="25"/>
      <c r="M35" s="25"/>
      <c r="N35" s="25"/>
      <c r="O35" s="25" t="s">
        <v>2740</v>
      </c>
      <c r="P35" s="25"/>
      <c r="Q35" s="25"/>
      <c r="R35" s="25"/>
      <c r="S35" s="25" t="s">
        <v>2809</v>
      </c>
      <c r="T35" s="25" t="s">
        <v>2810</v>
      </c>
      <c r="U35" s="25" t="s">
        <v>2793</v>
      </c>
      <c r="V35" s="25"/>
    </row>
    <row r="36" spans="1:22" ht="29" customHeight="1" x14ac:dyDescent="0.2">
      <c r="A36" s="23" t="s">
        <v>182</v>
      </c>
      <c r="B36" s="23" t="s">
        <v>182</v>
      </c>
      <c r="C36" s="23" t="s">
        <v>1328</v>
      </c>
      <c r="D36" s="23" t="s">
        <v>2749</v>
      </c>
      <c r="E36" s="23" t="s">
        <v>111</v>
      </c>
      <c r="F36" s="23" t="s">
        <v>111</v>
      </c>
      <c r="G36" s="23" t="s">
        <v>2725</v>
      </c>
      <c r="H36" s="23"/>
      <c r="I36" s="23"/>
      <c r="J36" s="23"/>
      <c r="K36" s="23"/>
      <c r="L36" s="23"/>
      <c r="M36" s="23"/>
      <c r="N36" s="23"/>
      <c r="O36" s="23" t="s">
        <v>2750</v>
      </c>
      <c r="P36" s="23"/>
      <c r="Q36" s="23"/>
      <c r="R36" s="23"/>
      <c r="S36" s="23"/>
      <c r="T36" s="23"/>
      <c r="U36" s="23" t="s">
        <v>2793</v>
      </c>
      <c r="V36" s="23" t="s">
        <v>2751</v>
      </c>
    </row>
    <row r="37" spans="1:22" ht="72.5" customHeight="1" x14ac:dyDescent="0.2">
      <c r="A37" s="25" t="s">
        <v>182</v>
      </c>
      <c r="B37" s="25" t="s">
        <v>182</v>
      </c>
      <c r="C37" s="25" t="s">
        <v>1328</v>
      </c>
      <c r="D37" s="25" t="s">
        <v>2814</v>
      </c>
      <c r="E37" s="25" t="s">
        <v>2815</v>
      </c>
      <c r="F37" s="25" t="s">
        <v>2816</v>
      </c>
      <c r="G37" s="25" t="s">
        <v>2739</v>
      </c>
      <c r="H37" s="25"/>
      <c r="I37" s="25"/>
      <c r="J37" s="25"/>
      <c r="K37" s="25"/>
      <c r="L37" s="25"/>
      <c r="M37" s="25"/>
      <c r="N37" s="25"/>
      <c r="O37" s="25"/>
      <c r="P37" s="25"/>
      <c r="Q37" s="25"/>
      <c r="R37" s="25"/>
      <c r="S37" s="25" t="s">
        <v>2809</v>
      </c>
      <c r="T37" s="25"/>
      <c r="U37" s="25" t="s">
        <v>2793</v>
      </c>
      <c r="V37" s="25"/>
    </row>
    <row r="38" spans="1:22" ht="43.5" customHeight="1" x14ac:dyDescent="0.2">
      <c r="A38" s="23" t="s">
        <v>190</v>
      </c>
      <c r="B38" s="23" t="s">
        <v>190</v>
      </c>
      <c r="C38" s="23" t="s">
        <v>2696</v>
      </c>
      <c r="D38" s="23" t="s">
        <v>2697</v>
      </c>
      <c r="E38" s="23"/>
      <c r="F38" s="23"/>
      <c r="G38" s="23" t="s">
        <v>2698</v>
      </c>
      <c r="H38" s="23" t="s">
        <v>191</v>
      </c>
      <c r="I38" s="23" t="s">
        <v>191</v>
      </c>
      <c r="J38" s="23" t="s">
        <v>2817</v>
      </c>
      <c r="K38" s="23" t="s">
        <v>191</v>
      </c>
      <c r="L38" s="23" t="s">
        <v>191</v>
      </c>
      <c r="M38" s="23" t="s">
        <v>2818</v>
      </c>
      <c r="N38" s="23" t="s">
        <v>2819</v>
      </c>
      <c r="O38" s="23" t="s">
        <v>2703</v>
      </c>
      <c r="P38" s="23" t="s">
        <v>2820</v>
      </c>
      <c r="Q38" s="23" t="s">
        <v>2821</v>
      </c>
      <c r="R38" s="23" t="s">
        <v>2822</v>
      </c>
      <c r="S38" s="23" t="s">
        <v>2823</v>
      </c>
      <c r="T38" s="23" t="s">
        <v>2824</v>
      </c>
      <c r="U38" s="23" t="s">
        <v>2793</v>
      </c>
      <c r="V38" s="23" t="s">
        <v>2825</v>
      </c>
    </row>
    <row r="39" spans="1:22" ht="43.5" customHeight="1" x14ac:dyDescent="0.2">
      <c r="A39" s="25" t="s">
        <v>190</v>
      </c>
      <c r="B39" s="25" t="s">
        <v>190</v>
      </c>
      <c r="C39" s="25" t="s">
        <v>2696</v>
      </c>
      <c r="D39" s="25" t="s">
        <v>2697</v>
      </c>
      <c r="E39" s="25"/>
      <c r="F39" s="25"/>
      <c r="G39" s="25" t="s">
        <v>2698</v>
      </c>
      <c r="H39" s="25" t="s">
        <v>2826</v>
      </c>
      <c r="I39" s="25" t="s">
        <v>2827</v>
      </c>
      <c r="J39" s="25" t="s">
        <v>2828</v>
      </c>
      <c r="K39" s="25" t="s">
        <v>2826</v>
      </c>
      <c r="L39" s="25" t="s">
        <v>2827</v>
      </c>
      <c r="M39" s="25" t="s">
        <v>886</v>
      </c>
      <c r="N39" s="25" t="s">
        <v>2819</v>
      </c>
      <c r="O39" s="25" t="s">
        <v>2703</v>
      </c>
      <c r="P39" s="25" t="s">
        <v>2820</v>
      </c>
      <c r="Q39" s="25" t="s">
        <v>2821</v>
      </c>
      <c r="R39" s="25" t="s">
        <v>2822</v>
      </c>
      <c r="S39" s="25" t="s">
        <v>2823</v>
      </c>
      <c r="T39" s="25" t="s">
        <v>2829</v>
      </c>
      <c r="U39" s="25" t="s">
        <v>2793</v>
      </c>
      <c r="V39" s="25" t="s">
        <v>2830</v>
      </c>
    </row>
    <row r="40" spans="1:22" ht="43.5" customHeight="1" x14ac:dyDescent="0.2">
      <c r="A40" s="23" t="s">
        <v>190</v>
      </c>
      <c r="B40" s="23" t="s">
        <v>190</v>
      </c>
      <c r="C40" s="23" t="s">
        <v>2696</v>
      </c>
      <c r="D40" s="23" t="s">
        <v>2697</v>
      </c>
      <c r="E40" s="23"/>
      <c r="F40" s="23"/>
      <c r="G40" s="23" t="s">
        <v>2698</v>
      </c>
      <c r="H40" s="23" t="s">
        <v>192</v>
      </c>
      <c r="I40" s="23" t="s">
        <v>192</v>
      </c>
      <c r="J40" s="23" t="s">
        <v>2831</v>
      </c>
      <c r="K40" s="23" t="s">
        <v>192</v>
      </c>
      <c r="L40" s="23" t="s">
        <v>192</v>
      </c>
      <c r="M40" s="23" t="s">
        <v>2720</v>
      </c>
      <c r="N40" s="23" t="s">
        <v>2832</v>
      </c>
      <c r="O40" s="23" t="s">
        <v>2703</v>
      </c>
      <c r="P40" s="23" t="s">
        <v>2833</v>
      </c>
      <c r="Q40" s="23" t="s">
        <v>2834</v>
      </c>
      <c r="R40" s="23" t="s">
        <v>2835</v>
      </c>
      <c r="S40" s="23" t="s">
        <v>2823</v>
      </c>
      <c r="T40" s="23" t="s">
        <v>2836</v>
      </c>
      <c r="U40" s="23" t="s">
        <v>2793</v>
      </c>
      <c r="V40" s="23" t="s">
        <v>2837</v>
      </c>
    </row>
    <row r="41" spans="1:22" ht="58" customHeight="1" x14ac:dyDescent="0.2">
      <c r="A41" s="25" t="s">
        <v>190</v>
      </c>
      <c r="B41" s="25" t="s">
        <v>190</v>
      </c>
      <c r="C41" s="25" t="s">
        <v>2696</v>
      </c>
      <c r="D41" s="25" t="s">
        <v>2697</v>
      </c>
      <c r="E41" s="25"/>
      <c r="F41" s="25"/>
      <c r="G41" s="25" t="s">
        <v>2698</v>
      </c>
      <c r="H41" s="25" t="s">
        <v>2838</v>
      </c>
      <c r="I41" s="25" t="s">
        <v>2838</v>
      </c>
      <c r="J41" s="25" t="s">
        <v>2839</v>
      </c>
      <c r="K41" s="25" t="s">
        <v>2838</v>
      </c>
      <c r="L41" s="25" t="s">
        <v>2838</v>
      </c>
      <c r="M41" s="25" t="s">
        <v>2725</v>
      </c>
      <c r="N41" s="25" t="s">
        <v>1236</v>
      </c>
      <c r="O41" s="25" t="s">
        <v>2703</v>
      </c>
      <c r="P41" s="25" t="s">
        <v>2833</v>
      </c>
      <c r="Q41" s="25" t="s">
        <v>2834</v>
      </c>
      <c r="R41" s="25" t="s">
        <v>2835</v>
      </c>
      <c r="S41" s="25" t="s">
        <v>2823</v>
      </c>
      <c r="T41" s="25" t="s">
        <v>2840</v>
      </c>
      <c r="U41" s="25" t="s">
        <v>2793</v>
      </c>
      <c r="V41" s="25"/>
    </row>
    <row r="42" spans="1:22" ht="43.5" customHeight="1" x14ac:dyDescent="0.2">
      <c r="A42" s="23" t="s">
        <v>190</v>
      </c>
      <c r="B42" s="23" t="s">
        <v>190</v>
      </c>
      <c r="C42" s="23" t="s">
        <v>2696</v>
      </c>
      <c r="D42" s="23" t="s">
        <v>2697</v>
      </c>
      <c r="E42" s="23"/>
      <c r="F42" s="23"/>
      <c r="G42" s="23" t="s">
        <v>2698</v>
      </c>
      <c r="H42" s="23" t="s">
        <v>2827</v>
      </c>
      <c r="I42" s="23" t="s">
        <v>2841</v>
      </c>
      <c r="J42" s="23" t="s">
        <v>2842</v>
      </c>
      <c r="K42" s="23" t="s">
        <v>2827</v>
      </c>
      <c r="L42" s="23" t="s">
        <v>2841</v>
      </c>
      <c r="M42" s="23" t="s">
        <v>886</v>
      </c>
      <c r="N42" s="23" t="s">
        <v>2832</v>
      </c>
      <c r="O42" s="23" t="s">
        <v>2703</v>
      </c>
      <c r="P42" s="23" t="s">
        <v>2833</v>
      </c>
      <c r="Q42" s="23" t="s">
        <v>2834</v>
      </c>
      <c r="R42" s="23" t="s">
        <v>2835</v>
      </c>
      <c r="S42" s="23" t="s">
        <v>2823</v>
      </c>
      <c r="T42" s="23" t="s">
        <v>2843</v>
      </c>
      <c r="U42" s="23" t="s">
        <v>2793</v>
      </c>
      <c r="V42" s="23" t="s">
        <v>2844</v>
      </c>
    </row>
    <row r="43" spans="1:22" ht="72.5" customHeight="1" x14ac:dyDescent="0.2">
      <c r="A43" s="25" t="s">
        <v>190</v>
      </c>
      <c r="B43" s="25" t="s">
        <v>190</v>
      </c>
      <c r="C43" s="25" t="s">
        <v>1328</v>
      </c>
      <c r="D43" s="25" t="s">
        <v>2736</v>
      </c>
      <c r="E43" s="25" t="s">
        <v>2737</v>
      </c>
      <c r="F43" s="25" t="s">
        <v>2737</v>
      </c>
      <c r="G43" s="25" t="s">
        <v>2725</v>
      </c>
      <c r="H43" s="25"/>
      <c r="I43" s="25"/>
      <c r="J43" s="25"/>
      <c r="K43" s="25"/>
      <c r="L43" s="25"/>
      <c r="M43" s="25"/>
      <c r="N43" s="25"/>
      <c r="O43" s="25" t="s">
        <v>2740</v>
      </c>
      <c r="P43" s="25"/>
      <c r="Q43" s="25"/>
      <c r="R43" s="25"/>
      <c r="S43" s="25" t="s">
        <v>2845</v>
      </c>
      <c r="T43" s="25" t="s">
        <v>2846</v>
      </c>
      <c r="U43" s="25" t="s">
        <v>2793</v>
      </c>
      <c r="V43" s="25"/>
    </row>
    <row r="44" spans="1:22" ht="72.5" customHeight="1" x14ac:dyDescent="0.2">
      <c r="A44" s="23" t="s">
        <v>190</v>
      </c>
      <c r="B44" s="23" t="s">
        <v>190</v>
      </c>
      <c r="C44" s="23" t="s">
        <v>1328</v>
      </c>
      <c r="D44" s="23" t="s">
        <v>2743</v>
      </c>
      <c r="E44" s="23" t="s">
        <v>2744</v>
      </c>
      <c r="F44" s="23" t="s">
        <v>2744</v>
      </c>
      <c r="G44" s="23" t="s">
        <v>2725</v>
      </c>
      <c r="H44" s="23"/>
      <c r="I44" s="23"/>
      <c r="J44" s="23"/>
      <c r="K44" s="23"/>
      <c r="L44" s="23"/>
      <c r="M44" s="23"/>
      <c r="N44" s="23"/>
      <c r="O44" s="23" t="s">
        <v>2740</v>
      </c>
      <c r="P44" s="23"/>
      <c r="Q44" s="23"/>
      <c r="R44" s="23"/>
      <c r="S44" s="23" t="s">
        <v>2845</v>
      </c>
      <c r="T44" s="23" t="s">
        <v>2846</v>
      </c>
      <c r="U44" s="23" t="s">
        <v>2793</v>
      </c>
      <c r="V44" s="23"/>
    </row>
    <row r="45" spans="1:22" ht="72.5" customHeight="1" x14ac:dyDescent="0.2">
      <c r="A45" s="25" t="s">
        <v>190</v>
      </c>
      <c r="B45" s="25" t="s">
        <v>190</v>
      </c>
      <c r="C45" s="25" t="s">
        <v>1328</v>
      </c>
      <c r="D45" s="25" t="s">
        <v>2745</v>
      </c>
      <c r="E45" s="25" t="s">
        <v>2115</v>
      </c>
      <c r="F45" s="25" t="s">
        <v>2115</v>
      </c>
      <c r="G45" s="25" t="s">
        <v>2725</v>
      </c>
      <c r="H45" s="25"/>
      <c r="I45" s="25"/>
      <c r="J45" s="25"/>
      <c r="K45" s="25"/>
      <c r="L45" s="25"/>
      <c r="M45" s="25"/>
      <c r="N45" s="25"/>
      <c r="O45" s="25" t="s">
        <v>2740</v>
      </c>
      <c r="P45" s="25"/>
      <c r="Q45" s="25"/>
      <c r="R45" s="25"/>
      <c r="S45" s="25" t="s">
        <v>2845</v>
      </c>
      <c r="T45" s="25" t="s">
        <v>2846</v>
      </c>
      <c r="U45" s="25" t="s">
        <v>2793</v>
      </c>
      <c r="V45" s="25"/>
    </row>
    <row r="46" spans="1:22" ht="72.5" customHeight="1" x14ac:dyDescent="0.2">
      <c r="A46" s="23" t="s">
        <v>190</v>
      </c>
      <c r="B46" s="23" t="s">
        <v>190</v>
      </c>
      <c r="C46" s="23" t="s">
        <v>1328</v>
      </c>
      <c r="D46" s="23" t="s">
        <v>2747</v>
      </c>
      <c r="E46" s="23" t="s">
        <v>2114</v>
      </c>
      <c r="F46" s="23" t="s">
        <v>2115</v>
      </c>
      <c r="G46" s="23" t="s">
        <v>2739</v>
      </c>
      <c r="H46" s="23"/>
      <c r="I46" s="23"/>
      <c r="J46" s="23"/>
      <c r="K46" s="23"/>
      <c r="L46" s="23"/>
      <c r="M46" s="23"/>
      <c r="N46" s="23"/>
      <c r="O46" s="23" t="s">
        <v>2740</v>
      </c>
      <c r="P46" s="23"/>
      <c r="Q46" s="23"/>
      <c r="R46" s="23"/>
      <c r="S46" s="23" t="s">
        <v>2845</v>
      </c>
      <c r="T46" s="23" t="s">
        <v>2846</v>
      </c>
      <c r="U46" s="23" t="s">
        <v>2793</v>
      </c>
      <c r="V46" s="23"/>
    </row>
    <row r="47" spans="1:22" ht="72.5" customHeight="1" x14ac:dyDescent="0.2">
      <c r="A47" s="25" t="s">
        <v>190</v>
      </c>
      <c r="B47" s="25" t="s">
        <v>190</v>
      </c>
      <c r="C47" s="25" t="s">
        <v>1328</v>
      </c>
      <c r="D47" s="25" t="s">
        <v>2748</v>
      </c>
      <c r="E47" s="25" t="s">
        <v>2738</v>
      </c>
      <c r="F47" s="25" t="s">
        <v>2738</v>
      </c>
      <c r="G47" s="25" t="s">
        <v>2725</v>
      </c>
      <c r="H47" s="25"/>
      <c r="I47" s="25"/>
      <c r="J47" s="25"/>
      <c r="K47" s="25"/>
      <c r="L47" s="25"/>
      <c r="M47" s="25"/>
      <c r="N47" s="25"/>
      <c r="O47" s="25" t="s">
        <v>2740</v>
      </c>
      <c r="P47" s="25"/>
      <c r="Q47" s="25"/>
      <c r="R47" s="25"/>
      <c r="S47" s="25" t="s">
        <v>2845</v>
      </c>
      <c r="T47" s="25" t="s">
        <v>2846</v>
      </c>
      <c r="U47" s="25" t="s">
        <v>2793</v>
      </c>
      <c r="V47" s="25"/>
    </row>
    <row r="48" spans="1:22" ht="29" customHeight="1" x14ac:dyDescent="0.2">
      <c r="A48" s="23" t="s">
        <v>190</v>
      </c>
      <c r="B48" s="23" t="s">
        <v>190</v>
      </c>
      <c r="C48" s="23" t="s">
        <v>1328</v>
      </c>
      <c r="D48" s="23" t="s">
        <v>2749</v>
      </c>
      <c r="E48" s="23" t="s">
        <v>111</v>
      </c>
      <c r="F48" s="23" t="s">
        <v>119</v>
      </c>
      <c r="G48" s="23" t="s">
        <v>2739</v>
      </c>
      <c r="H48" s="23"/>
      <c r="I48" s="23"/>
      <c r="J48" s="23"/>
      <c r="K48" s="23"/>
      <c r="L48" s="23"/>
      <c r="M48" s="23"/>
      <c r="N48" s="23"/>
      <c r="O48" s="23" t="s">
        <v>2750</v>
      </c>
      <c r="P48" s="23"/>
      <c r="Q48" s="23"/>
      <c r="R48" s="23"/>
      <c r="S48" s="23"/>
      <c r="T48" s="23"/>
      <c r="U48" s="23" t="s">
        <v>2793</v>
      </c>
      <c r="V48" s="23" t="s">
        <v>2751</v>
      </c>
    </row>
    <row r="49" spans="1:22" ht="43.5" customHeight="1" x14ac:dyDescent="0.2">
      <c r="A49" s="25" t="s">
        <v>202</v>
      </c>
      <c r="B49" s="25" t="s">
        <v>202</v>
      </c>
      <c r="C49" s="25" t="s">
        <v>2696</v>
      </c>
      <c r="D49" s="25" t="s">
        <v>2697</v>
      </c>
      <c r="E49" s="25"/>
      <c r="F49" s="25"/>
      <c r="G49" s="25" t="s">
        <v>2698</v>
      </c>
      <c r="H49" s="25" t="s">
        <v>203</v>
      </c>
      <c r="I49" s="25" t="s">
        <v>2847</v>
      </c>
      <c r="J49" s="25" t="s">
        <v>2848</v>
      </c>
      <c r="K49" s="25" t="s">
        <v>203</v>
      </c>
      <c r="L49" s="25" t="s">
        <v>2847</v>
      </c>
      <c r="M49" s="25" t="s">
        <v>886</v>
      </c>
      <c r="N49" s="25" t="s">
        <v>2849</v>
      </c>
      <c r="O49" s="25" t="s">
        <v>2703</v>
      </c>
      <c r="P49" s="25" t="s">
        <v>2850</v>
      </c>
      <c r="Q49" s="25" t="s">
        <v>2851</v>
      </c>
      <c r="R49" s="25" t="s">
        <v>2852</v>
      </c>
      <c r="S49" s="25" t="s">
        <v>2853</v>
      </c>
      <c r="T49" s="25" t="s">
        <v>2854</v>
      </c>
      <c r="U49" s="25" t="s">
        <v>2709</v>
      </c>
      <c r="V49" s="25"/>
    </row>
    <row r="50" spans="1:22" ht="43.5" customHeight="1" x14ac:dyDescent="0.2">
      <c r="A50" s="23" t="s">
        <v>202</v>
      </c>
      <c r="B50" s="23" t="s">
        <v>202</v>
      </c>
      <c r="C50" s="23" t="s">
        <v>2696</v>
      </c>
      <c r="D50" s="23" t="s">
        <v>2697</v>
      </c>
      <c r="E50" s="23"/>
      <c r="F50" s="23"/>
      <c r="G50" s="23" t="s">
        <v>2698</v>
      </c>
      <c r="H50" s="23" t="s">
        <v>2855</v>
      </c>
      <c r="I50" s="23" t="s">
        <v>2855</v>
      </c>
      <c r="J50" s="23" t="s">
        <v>2856</v>
      </c>
      <c r="K50" s="23" t="s">
        <v>2855</v>
      </c>
      <c r="L50" s="23" t="s">
        <v>2855</v>
      </c>
      <c r="M50" s="23" t="s">
        <v>2720</v>
      </c>
      <c r="N50" s="23" t="s">
        <v>2849</v>
      </c>
      <c r="O50" s="23" t="s">
        <v>2703</v>
      </c>
      <c r="P50" s="23" t="s">
        <v>2850</v>
      </c>
      <c r="Q50" s="23" t="s">
        <v>2851</v>
      </c>
      <c r="R50" s="23" t="s">
        <v>2852</v>
      </c>
      <c r="S50" s="23" t="s">
        <v>2853</v>
      </c>
      <c r="T50" s="23" t="s">
        <v>2857</v>
      </c>
      <c r="U50" s="23" t="s">
        <v>2709</v>
      </c>
      <c r="V50" s="23"/>
    </row>
    <row r="51" spans="1:22" ht="58" customHeight="1" x14ac:dyDescent="0.2">
      <c r="A51" s="25" t="s">
        <v>202</v>
      </c>
      <c r="B51" s="25" t="s">
        <v>202</v>
      </c>
      <c r="C51" s="25" t="s">
        <v>2696</v>
      </c>
      <c r="D51" s="25" t="s">
        <v>2697</v>
      </c>
      <c r="E51" s="25"/>
      <c r="F51" s="25"/>
      <c r="G51" s="25" t="s">
        <v>2698</v>
      </c>
      <c r="H51" s="25" t="s">
        <v>2858</v>
      </c>
      <c r="I51" s="25" t="s">
        <v>2858</v>
      </c>
      <c r="J51" s="25" t="s">
        <v>2859</v>
      </c>
      <c r="K51" s="25" t="s">
        <v>2858</v>
      </c>
      <c r="L51" s="25" t="s">
        <v>2858</v>
      </c>
      <c r="M51" s="25" t="s">
        <v>2725</v>
      </c>
      <c r="N51" s="25" t="s">
        <v>1236</v>
      </c>
      <c r="O51" s="25" t="s">
        <v>2703</v>
      </c>
      <c r="P51" s="25" t="s">
        <v>2860</v>
      </c>
      <c r="Q51" s="25" t="s">
        <v>2861</v>
      </c>
      <c r="R51" s="25" t="s">
        <v>1450</v>
      </c>
      <c r="S51" s="25" t="s">
        <v>2853</v>
      </c>
      <c r="T51" s="25" t="s">
        <v>2862</v>
      </c>
      <c r="U51" s="25" t="s">
        <v>2709</v>
      </c>
      <c r="V51" s="25" t="s">
        <v>2863</v>
      </c>
    </row>
    <row r="52" spans="1:22" ht="43.5" customHeight="1" x14ac:dyDescent="0.2">
      <c r="A52" s="23" t="s">
        <v>202</v>
      </c>
      <c r="B52" s="23" t="s">
        <v>202</v>
      </c>
      <c r="C52" s="23" t="s">
        <v>2696</v>
      </c>
      <c r="D52" s="23" t="s">
        <v>2697</v>
      </c>
      <c r="E52" s="23"/>
      <c r="F52" s="23"/>
      <c r="G52" s="23" t="s">
        <v>2698</v>
      </c>
      <c r="H52" s="23" t="s">
        <v>2864</v>
      </c>
      <c r="I52" s="23" t="s">
        <v>2865</v>
      </c>
      <c r="J52" s="23" t="s">
        <v>2866</v>
      </c>
      <c r="K52" s="23" t="s">
        <v>2864</v>
      </c>
      <c r="L52" s="23" t="s">
        <v>2865</v>
      </c>
      <c r="M52" s="23" t="s">
        <v>886</v>
      </c>
      <c r="N52" s="23" t="s">
        <v>2849</v>
      </c>
      <c r="O52" s="23" t="s">
        <v>2703</v>
      </c>
      <c r="P52" s="23" t="s">
        <v>2850</v>
      </c>
      <c r="Q52" s="23" t="s">
        <v>2851</v>
      </c>
      <c r="R52" s="23" t="s">
        <v>2852</v>
      </c>
      <c r="S52" s="23" t="s">
        <v>2853</v>
      </c>
      <c r="T52" s="23" t="s">
        <v>2867</v>
      </c>
      <c r="U52" s="23" t="s">
        <v>2709</v>
      </c>
      <c r="V52" s="23"/>
    </row>
    <row r="53" spans="1:22" ht="43.5" customHeight="1" x14ac:dyDescent="0.2">
      <c r="A53" s="25" t="s">
        <v>202</v>
      </c>
      <c r="B53" s="25" t="s">
        <v>202</v>
      </c>
      <c r="C53" s="25" t="s">
        <v>2696</v>
      </c>
      <c r="D53" s="25" t="s">
        <v>2697</v>
      </c>
      <c r="E53" s="25"/>
      <c r="F53" s="25"/>
      <c r="G53" s="25" t="s">
        <v>2698</v>
      </c>
      <c r="H53" s="25" t="s">
        <v>2868</v>
      </c>
      <c r="I53" s="25" t="s">
        <v>203</v>
      </c>
      <c r="J53" s="25" t="s">
        <v>2869</v>
      </c>
      <c r="K53" s="25" t="s">
        <v>2868</v>
      </c>
      <c r="L53" s="25" t="s">
        <v>203</v>
      </c>
      <c r="M53" s="25" t="s">
        <v>886</v>
      </c>
      <c r="N53" s="25" t="s">
        <v>2849</v>
      </c>
      <c r="O53" s="25" t="s">
        <v>2703</v>
      </c>
      <c r="P53" s="25" t="s">
        <v>2850</v>
      </c>
      <c r="Q53" s="25" t="s">
        <v>2851</v>
      </c>
      <c r="R53" s="25" t="s">
        <v>2852</v>
      </c>
      <c r="S53" s="25" t="s">
        <v>2853</v>
      </c>
      <c r="T53" s="25" t="s">
        <v>2867</v>
      </c>
      <c r="U53" s="25" t="s">
        <v>2709</v>
      </c>
      <c r="V53" s="25" t="s">
        <v>2870</v>
      </c>
    </row>
    <row r="54" spans="1:22" ht="58" customHeight="1" x14ac:dyDescent="0.2">
      <c r="A54" s="23" t="s">
        <v>202</v>
      </c>
      <c r="B54" s="23" t="s">
        <v>202</v>
      </c>
      <c r="C54" s="23" t="s">
        <v>1328</v>
      </c>
      <c r="D54" s="23" t="s">
        <v>2736</v>
      </c>
      <c r="E54" s="23" t="s">
        <v>2738</v>
      </c>
      <c r="F54" s="23" t="s">
        <v>2738</v>
      </c>
      <c r="G54" s="23" t="s">
        <v>2725</v>
      </c>
      <c r="H54" s="23"/>
      <c r="I54" s="23"/>
      <c r="J54" s="23"/>
      <c r="K54" s="23"/>
      <c r="L54" s="23"/>
      <c r="M54" s="23"/>
      <c r="N54" s="23"/>
      <c r="O54" s="23" t="s">
        <v>2740</v>
      </c>
      <c r="P54" s="23"/>
      <c r="Q54" s="23"/>
      <c r="R54" s="23"/>
      <c r="S54" s="23" t="s">
        <v>2871</v>
      </c>
      <c r="T54" s="23" t="s">
        <v>2872</v>
      </c>
      <c r="U54" s="23" t="s">
        <v>2709</v>
      </c>
      <c r="V54" s="23"/>
    </row>
    <row r="55" spans="1:22" ht="58" customHeight="1" x14ac:dyDescent="0.2">
      <c r="A55" s="25" t="s">
        <v>202</v>
      </c>
      <c r="B55" s="25" t="s">
        <v>202</v>
      </c>
      <c r="C55" s="25" t="s">
        <v>1328</v>
      </c>
      <c r="D55" s="25" t="s">
        <v>2743</v>
      </c>
      <c r="E55" s="25" t="s">
        <v>2738</v>
      </c>
      <c r="F55" s="25" t="s">
        <v>2738</v>
      </c>
      <c r="G55" s="25" t="s">
        <v>2725</v>
      </c>
      <c r="H55" s="25"/>
      <c r="I55" s="25"/>
      <c r="J55" s="25"/>
      <c r="K55" s="25"/>
      <c r="L55" s="25"/>
      <c r="M55" s="25"/>
      <c r="N55" s="25"/>
      <c r="O55" s="25" t="s">
        <v>2740</v>
      </c>
      <c r="P55" s="25"/>
      <c r="Q55" s="25"/>
      <c r="R55" s="25"/>
      <c r="S55" s="25" t="s">
        <v>2871</v>
      </c>
      <c r="T55" s="25" t="s">
        <v>2872</v>
      </c>
      <c r="U55" s="25" t="s">
        <v>2709</v>
      </c>
      <c r="V55" s="25"/>
    </row>
    <row r="56" spans="1:22" ht="58" customHeight="1" x14ac:dyDescent="0.2">
      <c r="A56" s="23" t="s">
        <v>202</v>
      </c>
      <c r="B56" s="23" t="s">
        <v>202</v>
      </c>
      <c r="C56" s="23" t="s">
        <v>1328</v>
      </c>
      <c r="D56" s="23" t="s">
        <v>2745</v>
      </c>
      <c r="E56" s="23" t="s">
        <v>2114</v>
      </c>
      <c r="F56" s="23" t="s">
        <v>2114</v>
      </c>
      <c r="G56" s="23" t="s">
        <v>2725</v>
      </c>
      <c r="H56" s="23"/>
      <c r="I56" s="23"/>
      <c r="J56" s="23"/>
      <c r="K56" s="23"/>
      <c r="L56" s="23"/>
      <c r="M56" s="23"/>
      <c r="N56" s="23"/>
      <c r="O56" s="23" t="s">
        <v>2740</v>
      </c>
      <c r="P56" s="23"/>
      <c r="Q56" s="23"/>
      <c r="R56" s="23"/>
      <c r="S56" s="23" t="s">
        <v>2871</v>
      </c>
      <c r="T56" s="23" t="s">
        <v>2872</v>
      </c>
      <c r="U56" s="23" t="s">
        <v>2709</v>
      </c>
      <c r="V56" s="23"/>
    </row>
    <row r="57" spans="1:22" ht="58" customHeight="1" x14ac:dyDescent="0.2">
      <c r="A57" s="25" t="s">
        <v>202</v>
      </c>
      <c r="B57" s="25" t="s">
        <v>202</v>
      </c>
      <c r="C57" s="25" t="s">
        <v>1328</v>
      </c>
      <c r="D57" s="25" t="s">
        <v>2747</v>
      </c>
      <c r="E57" s="25" t="s">
        <v>2737</v>
      </c>
      <c r="F57" s="25" t="s">
        <v>2737</v>
      </c>
      <c r="G57" s="25" t="s">
        <v>2725</v>
      </c>
      <c r="H57" s="25"/>
      <c r="I57" s="25"/>
      <c r="J57" s="25"/>
      <c r="K57" s="25"/>
      <c r="L57" s="25"/>
      <c r="M57" s="25"/>
      <c r="N57" s="25"/>
      <c r="O57" s="25" t="s">
        <v>2740</v>
      </c>
      <c r="P57" s="25"/>
      <c r="Q57" s="25"/>
      <c r="R57" s="25"/>
      <c r="S57" s="25" t="s">
        <v>2871</v>
      </c>
      <c r="T57" s="25" t="s">
        <v>2872</v>
      </c>
      <c r="U57" s="25" t="s">
        <v>2709</v>
      </c>
      <c r="V57" s="25"/>
    </row>
    <row r="58" spans="1:22" ht="58" customHeight="1" x14ac:dyDescent="0.2">
      <c r="A58" s="23" t="s">
        <v>202</v>
      </c>
      <c r="B58" s="23" t="s">
        <v>202</v>
      </c>
      <c r="C58" s="23" t="s">
        <v>1328</v>
      </c>
      <c r="D58" s="23" t="s">
        <v>2748</v>
      </c>
      <c r="E58" s="23" t="s">
        <v>2737</v>
      </c>
      <c r="F58" s="23" t="s">
        <v>2737</v>
      </c>
      <c r="G58" s="23" t="s">
        <v>2725</v>
      </c>
      <c r="H58" s="23"/>
      <c r="I58" s="23"/>
      <c r="J58" s="23"/>
      <c r="K58" s="23"/>
      <c r="L58" s="23"/>
      <c r="M58" s="23"/>
      <c r="N58" s="23"/>
      <c r="O58" s="23" t="s">
        <v>2740</v>
      </c>
      <c r="P58" s="23"/>
      <c r="Q58" s="23"/>
      <c r="R58" s="23"/>
      <c r="S58" s="23" t="s">
        <v>2871</v>
      </c>
      <c r="T58" s="23" t="s">
        <v>2872</v>
      </c>
      <c r="U58" s="23" t="s">
        <v>2709</v>
      </c>
      <c r="V58" s="23"/>
    </row>
    <row r="59" spans="1:22" ht="29" customHeight="1" x14ac:dyDescent="0.2">
      <c r="A59" s="25" t="s">
        <v>202</v>
      </c>
      <c r="B59" s="25" t="s">
        <v>202</v>
      </c>
      <c r="C59" s="25" t="s">
        <v>1328</v>
      </c>
      <c r="D59" s="25" t="s">
        <v>2749</v>
      </c>
      <c r="E59" s="25" t="s">
        <v>111</v>
      </c>
      <c r="F59" s="25" t="s">
        <v>111</v>
      </c>
      <c r="G59" s="25" t="s">
        <v>2725</v>
      </c>
      <c r="H59" s="25"/>
      <c r="I59" s="25"/>
      <c r="J59" s="25"/>
      <c r="K59" s="25"/>
      <c r="L59" s="25"/>
      <c r="M59" s="25"/>
      <c r="N59" s="25"/>
      <c r="O59" s="25" t="s">
        <v>2750</v>
      </c>
      <c r="P59" s="25"/>
      <c r="Q59" s="25"/>
      <c r="R59" s="25"/>
      <c r="S59" s="25"/>
      <c r="T59" s="25"/>
      <c r="U59" s="25" t="s">
        <v>2709</v>
      </c>
      <c r="V59" s="25" t="s">
        <v>2751</v>
      </c>
    </row>
    <row r="60" spans="1:22" ht="58" customHeight="1" x14ac:dyDescent="0.2">
      <c r="A60" s="23" t="s">
        <v>131</v>
      </c>
      <c r="B60" s="23" t="s">
        <v>131</v>
      </c>
      <c r="C60" s="23" t="s">
        <v>2696</v>
      </c>
      <c r="D60" s="23" t="s">
        <v>2697</v>
      </c>
      <c r="E60" s="23"/>
      <c r="F60" s="23"/>
      <c r="G60" s="23" t="s">
        <v>2698</v>
      </c>
      <c r="H60" s="23" t="s">
        <v>2873</v>
      </c>
      <c r="I60" s="23" t="s">
        <v>2873</v>
      </c>
      <c r="J60" s="23" t="s">
        <v>2842</v>
      </c>
      <c r="K60" s="23" t="s">
        <v>2873</v>
      </c>
      <c r="L60" s="23" t="s">
        <v>2873</v>
      </c>
      <c r="M60" s="23" t="s">
        <v>2725</v>
      </c>
      <c r="N60" s="23" t="s">
        <v>1236</v>
      </c>
      <c r="O60" s="23" t="s">
        <v>2703</v>
      </c>
      <c r="P60" s="23" t="s">
        <v>2874</v>
      </c>
      <c r="Q60" s="23" t="s">
        <v>2875</v>
      </c>
      <c r="R60" s="23" t="s">
        <v>2876</v>
      </c>
      <c r="S60" s="23" t="s">
        <v>2877</v>
      </c>
      <c r="T60" s="23" t="s">
        <v>2878</v>
      </c>
      <c r="U60" s="23" t="s">
        <v>2709</v>
      </c>
      <c r="V60" s="23"/>
    </row>
    <row r="61" spans="1:22" ht="58" customHeight="1" x14ac:dyDescent="0.2">
      <c r="A61" s="25" t="s">
        <v>131</v>
      </c>
      <c r="B61" s="25" t="s">
        <v>131</v>
      </c>
      <c r="C61" s="25" t="s">
        <v>2696</v>
      </c>
      <c r="D61" s="25" t="s">
        <v>2697</v>
      </c>
      <c r="E61" s="25"/>
      <c r="F61" s="25"/>
      <c r="G61" s="25" t="s">
        <v>2698</v>
      </c>
      <c r="H61" s="25" t="s">
        <v>2879</v>
      </c>
      <c r="I61" s="25" t="s">
        <v>2879</v>
      </c>
      <c r="J61" s="25" t="s">
        <v>2880</v>
      </c>
      <c r="K61" s="25" t="s">
        <v>2879</v>
      </c>
      <c r="L61" s="25" t="s">
        <v>2879</v>
      </c>
      <c r="M61" s="25" t="s">
        <v>2725</v>
      </c>
      <c r="N61" s="25" t="s">
        <v>1236</v>
      </c>
      <c r="O61" s="25" t="s">
        <v>2703</v>
      </c>
      <c r="P61" s="25" t="s">
        <v>2874</v>
      </c>
      <c r="Q61" s="25" t="s">
        <v>2875</v>
      </c>
      <c r="R61" s="25" t="s">
        <v>2876</v>
      </c>
      <c r="S61" s="25" t="s">
        <v>2877</v>
      </c>
      <c r="T61" s="25" t="s">
        <v>2878</v>
      </c>
      <c r="U61" s="25" t="s">
        <v>2709</v>
      </c>
      <c r="V61" s="25" t="s">
        <v>2881</v>
      </c>
    </row>
    <row r="62" spans="1:22" ht="43.5" customHeight="1" x14ac:dyDescent="0.2">
      <c r="A62" s="23" t="s">
        <v>131</v>
      </c>
      <c r="B62" s="23" t="s">
        <v>131</v>
      </c>
      <c r="C62" s="23" t="s">
        <v>2696</v>
      </c>
      <c r="D62" s="23" t="s">
        <v>2697</v>
      </c>
      <c r="E62" s="23"/>
      <c r="F62" s="23"/>
      <c r="G62" s="23" t="s">
        <v>2698</v>
      </c>
      <c r="H62" s="23" t="s">
        <v>2882</v>
      </c>
      <c r="I62" s="23" t="s">
        <v>2883</v>
      </c>
      <c r="J62" s="23" t="s">
        <v>2884</v>
      </c>
      <c r="K62" s="23" t="s">
        <v>2882</v>
      </c>
      <c r="L62" s="23" t="s">
        <v>2883</v>
      </c>
      <c r="M62" s="23" t="s">
        <v>886</v>
      </c>
      <c r="N62" s="23" t="s">
        <v>2885</v>
      </c>
      <c r="O62" s="23" t="s">
        <v>2703</v>
      </c>
      <c r="P62" s="23" t="s">
        <v>2874</v>
      </c>
      <c r="Q62" s="23" t="s">
        <v>2875</v>
      </c>
      <c r="R62" s="23" t="s">
        <v>2876</v>
      </c>
      <c r="S62" s="23" t="s">
        <v>2877</v>
      </c>
      <c r="T62" s="23" t="s">
        <v>2886</v>
      </c>
      <c r="U62" s="23" t="s">
        <v>2709</v>
      </c>
      <c r="V62" s="23" t="s">
        <v>2887</v>
      </c>
    </row>
    <row r="63" spans="1:22" ht="58" customHeight="1" x14ac:dyDescent="0.2">
      <c r="A63" s="25" t="s">
        <v>131</v>
      </c>
      <c r="B63" s="25" t="s">
        <v>131</v>
      </c>
      <c r="C63" s="25" t="s">
        <v>2696</v>
      </c>
      <c r="D63" s="25" t="s">
        <v>2697</v>
      </c>
      <c r="E63" s="25"/>
      <c r="F63" s="25"/>
      <c r="G63" s="25" t="s">
        <v>2698</v>
      </c>
      <c r="H63" s="25" t="s">
        <v>132</v>
      </c>
      <c r="I63" s="25" t="s">
        <v>132</v>
      </c>
      <c r="J63" s="25" t="s">
        <v>2888</v>
      </c>
      <c r="K63" s="25" t="s">
        <v>132</v>
      </c>
      <c r="L63" s="25" t="s">
        <v>132</v>
      </c>
      <c r="M63" s="25" t="s">
        <v>2725</v>
      </c>
      <c r="N63" s="25" t="s">
        <v>1236</v>
      </c>
      <c r="O63" s="25" t="s">
        <v>2703</v>
      </c>
      <c r="P63" s="25" t="s">
        <v>2874</v>
      </c>
      <c r="Q63" s="25" t="s">
        <v>2875</v>
      </c>
      <c r="R63" s="25" t="s">
        <v>2876</v>
      </c>
      <c r="S63" s="25" t="s">
        <v>2877</v>
      </c>
      <c r="T63" s="25" t="s">
        <v>2878</v>
      </c>
      <c r="U63" s="25" t="s">
        <v>2709</v>
      </c>
      <c r="V63" s="25"/>
    </row>
    <row r="64" spans="1:22" ht="58" customHeight="1" x14ac:dyDescent="0.2">
      <c r="A64" s="23" t="s">
        <v>131</v>
      </c>
      <c r="B64" s="23" t="s">
        <v>131</v>
      </c>
      <c r="C64" s="23" t="s">
        <v>2696</v>
      </c>
      <c r="D64" s="23" t="s">
        <v>2697</v>
      </c>
      <c r="E64" s="23"/>
      <c r="F64" s="23"/>
      <c r="G64" s="23" t="s">
        <v>2698</v>
      </c>
      <c r="H64" s="23" t="s">
        <v>2889</v>
      </c>
      <c r="I64" s="23" t="s">
        <v>2889</v>
      </c>
      <c r="J64" s="23" t="s">
        <v>2890</v>
      </c>
      <c r="K64" s="23" t="s">
        <v>2889</v>
      </c>
      <c r="L64" s="23" t="s">
        <v>2889</v>
      </c>
      <c r="M64" s="23" t="s">
        <v>2725</v>
      </c>
      <c r="N64" s="23" t="s">
        <v>1236</v>
      </c>
      <c r="O64" s="23" t="s">
        <v>2703</v>
      </c>
      <c r="P64" s="23" t="s">
        <v>2874</v>
      </c>
      <c r="Q64" s="23" t="s">
        <v>2875</v>
      </c>
      <c r="R64" s="23" t="s">
        <v>2876</v>
      </c>
      <c r="S64" s="23" t="s">
        <v>2877</v>
      </c>
      <c r="T64" s="23" t="s">
        <v>2878</v>
      </c>
      <c r="U64" s="23" t="s">
        <v>2709</v>
      </c>
      <c r="V64" s="23"/>
    </row>
    <row r="65" spans="1:22" ht="58" customHeight="1" x14ac:dyDescent="0.2">
      <c r="A65" s="25" t="s">
        <v>131</v>
      </c>
      <c r="B65" s="25" t="s">
        <v>131</v>
      </c>
      <c r="C65" s="25" t="s">
        <v>1328</v>
      </c>
      <c r="D65" s="25" t="s">
        <v>2736</v>
      </c>
      <c r="E65" s="25" t="s">
        <v>2115</v>
      </c>
      <c r="F65" s="25" t="s">
        <v>2115</v>
      </c>
      <c r="G65" s="25" t="s">
        <v>2725</v>
      </c>
      <c r="H65" s="25"/>
      <c r="I65" s="25"/>
      <c r="J65" s="25"/>
      <c r="K65" s="25"/>
      <c r="L65" s="25"/>
      <c r="M65" s="25"/>
      <c r="N65" s="25"/>
      <c r="O65" s="25" t="s">
        <v>2740</v>
      </c>
      <c r="P65" s="25"/>
      <c r="Q65" s="25"/>
      <c r="R65" s="25"/>
      <c r="S65" s="25" t="s">
        <v>2891</v>
      </c>
      <c r="T65" s="25" t="s">
        <v>2892</v>
      </c>
      <c r="U65" s="25" t="s">
        <v>2709</v>
      </c>
      <c r="V65" s="25"/>
    </row>
    <row r="66" spans="1:22" ht="58" customHeight="1" x14ac:dyDescent="0.2">
      <c r="A66" s="23" t="s">
        <v>131</v>
      </c>
      <c r="B66" s="23" t="s">
        <v>131</v>
      </c>
      <c r="C66" s="23" t="s">
        <v>1328</v>
      </c>
      <c r="D66" s="23" t="s">
        <v>2743</v>
      </c>
      <c r="E66" s="23" t="s">
        <v>2811</v>
      </c>
      <c r="F66" s="23" t="s">
        <v>2115</v>
      </c>
      <c r="G66" s="23" t="s">
        <v>2739</v>
      </c>
      <c r="H66" s="23"/>
      <c r="I66" s="23"/>
      <c r="J66" s="23"/>
      <c r="K66" s="23"/>
      <c r="L66" s="23"/>
      <c r="M66" s="23"/>
      <c r="N66" s="23"/>
      <c r="O66" s="23" t="s">
        <v>2740</v>
      </c>
      <c r="P66" s="23"/>
      <c r="Q66" s="23"/>
      <c r="R66" s="23"/>
      <c r="S66" s="23" t="s">
        <v>2891</v>
      </c>
      <c r="T66" s="23" t="s">
        <v>2892</v>
      </c>
      <c r="U66" s="23" t="s">
        <v>2709</v>
      </c>
      <c r="V66" s="23"/>
    </row>
    <row r="67" spans="1:22" ht="58" customHeight="1" x14ac:dyDescent="0.2">
      <c r="A67" s="25" t="s">
        <v>131</v>
      </c>
      <c r="B67" s="25" t="s">
        <v>131</v>
      </c>
      <c r="C67" s="25" t="s">
        <v>1328</v>
      </c>
      <c r="D67" s="25" t="s">
        <v>2745</v>
      </c>
      <c r="E67" s="25" t="s">
        <v>2811</v>
      </c>
      <c r="F67" s="25" t="s">
        <v>2114</v>
      </c>
      <c r="G67" s="25" t="s">
        <v>2739</v>
      </c>
      <c r="H67" s="25"/>
      <c r="I67" s="25"/>
      <c r="J67" s="25"/>
      <c r="K67" s="25"/>
      <c r="L67" s="25"/>
      <c r="M67" s="25"/>
      <c r="N67" s="25"/>
      <c r="O67" s="25" t="s">
        <v>2740</v>
      </c>
      <c r="P67" s="25"/>
      <c r="Q67" s="25"/>
      <c r="R67" s="25"/>
      <c r="S67" s="25" t="s">
        <v>2891</v>
      </c>
      <c r="T67" s="25" t="s">
        <v>2892</v>
      </c>
      <c r="U67" s="25" t="s">
        <v>2709</v>
      </c>
      <c r="V67" s="25"/>
    </row>
    <row r="68" spans="1:22" ht="58" customHeight="1" x14ac:dyDescent="0.2">
      <c r="A68" s="23" t="s">
        <v>131</v>
      </c>
      <c r="B68" s="23" t="s">
        <v>131</v>
      </c>
      <c r="C68" s="23" t="s">
        <v>1328</v>
      </c>
      <c r="D68" s="23" t="s">
        <v>2747</v>
      </c>
      <c r="E68" s="23" t="s">
        <v>2115</v>
      </c>
      <c r="F68" s="23" t="s">
        <v>2115</v>
      </c>
      <c r="G68" s="23" t="s">
        <v>2725</v>
      </c>
      <c r="H68" s="23"/>
      <c r="I68" s="23"/>
      <c r="J68" s="23"/>
      <c r="K68" s="23"/>
      <c r="L68" s="23"/>
      <c r="M68" s="23"/>
      <c r="N68" s="23"/>
      <c r="O68" s="23" t="s">
        <v>2740</v>
      </c>
      <c r="P68" s="23"/>
      <c r="Q68" s="23"/>
      <c r="R68" s="23"/>
      <c r="S68" s="23" t="s">
        <v>2891</v>
      </c>
      <c r="T68" s="23" t="s">
        <v>2892</v>
      </c>
      <c r="U68" s="23" t="s">
        <v>2709</v>
      </c>
      <c r="V68" s="23"/>
    </row>
    <row r="69" spans="1:22" ht="58" customHeight="1" x14ac:dyDescent="0.2">
      <c r="A69" s="25" t="s">
        <v>131</v>
      </c>
      <c r="B69" s="25" t="s">
        <v>131</v>
      </c>
      <c r="C69" s="25" t="s">
        <v>1328</v>
      </c>
      <c r="D69" s="25" t="s">
        <v>2748</v>
      </c>
      <c r="E69" s="25" t="s">
        <v>2893</v>
      </c>
      <c r="F69" s="25" t="s">
        <v>2893</v>
      </c>
      <c r="G69" s="25" t="s">
        <v>2725</v>
      </c>
      <c r="H69" s="25"/>
      <c r="I69" s="25"/>
      <c r="J69" s="25"/>
      <c r="K69" s="25"/>
      <c r="L69" s="25"/>
      <c r="M69" s="25"/>
      <c r="N69" s="25"/>
      <c r="O69" s="25" t="s">
        <v>2740</v>
      </c>
      <c r="P69" s="25"/>
      <c r="Q69" s="25"/>
      <c r="R69" s="25"/>
      <c r="S69" s="25" t="s">
        <v>2891</v>
      </c>
      <c r="T69" s="25" t="s">
        <v>2892</v>
      </c>
      <c r="U69" s="25" t="s">
        <v>2709</v>
      </c>
      <c r="V69" s="25"/>
    </row>
    <row r="70" spans="1:22" ht="29" customHeight="1" x14ac:dyDescent="0.2">
      <c r="A70" s="23" t="s">
        <v>131</v>
      </c>
      <c r="B70" s="23" t="s">
        <v>131</v>
      </c>
      <c r="C70" s="23" t="s">
        <v>1328</v>
      </c>
      <c r="D70" s="23" t="s">
        <v>2749</v>
      </c>
      <c r="E70" s="23" t="s">
        <v>111</v>
      </c>
      <c r="F70" s="23" t="s">
        <v>111</v>
      </c>
      <c r="G70" s="23" t="s">
        <v>2725</v>
      </c>
      <c r="H70" s="23"/>
      <c r="I70" s="23"/>
      <c r="J70" s="23"/>
      <c r="K70" s="23"/>
      <c r="L70" s="23"/>
      <c r="M70" s="23"/>
      <c r="N70" s="23"/>
      <c r="O70" s="23" t="s">
        <v>2750</v>
      </c>
      <c r="P70" s="23"/>
      <c r="Q70" s="23"/>
      <c r="R70" s="23"/>
      <c r="S70" s="23"/>
      <c r="T70" s="23"/>
      <c r="U70" s="23" t="s">
        <v>2709</v>
      </c>
      <c r="V70" s="23" t="s">
        <v>2751</v>
      </c>
    </row>
    <row r="71" spans="1:22" ht="43.5" customHeight="1" x14ac:dyDescent="0.2">
      <c r="A71" s="25" t="s">
        <v>222</v>
      </c>
      <c r="B71" s="25" t="s">
        <v>222</v>
      </c>
      <c r="C71" s="25" t="s">
        <v>2696</v>
      </c>
      <c r="D71" s="25" t="s">
        <v>2697</v>
      </c>
      <c r="E71" s="25"/>
      <c r="F71" s="25"/>
      <c r="G71" s="25" t="s">
        <v>2698</v>
      </c>
      <c r="H71" s="25" t="s">
        <v>2894</v>
      </c>
      <c r="I71" s="25" t="s">
        <v>2894</v>
      </c>
      <c r="J71" s="25" t="s">
        <v>2895</v>
      </c>
      <c r="K71" s="25" t="s">
        <v>2894</v>
      </c>
      <c r="L71" s="25" t="s">
        <v>2894</v>
      </c>
      <c r="M71" s="25" t="s">
        <v>2725</v>
      </c>
      <c r="N71" s="25" t="s">
        <v>1236</v>
      </c>
      <c r="O71" s="25" t="s">
        <v>2703</v>
      </c>
      <c r="P71" s="25" t="s">
        <v>2896</v>
      </c>
      <c r="Q71" s="25" t="s">
        <v>2897</v>
      </c>
      <c r="R71" s="25" t="s">
        <v>2898</v>
      </c>
      <c r="S71" s="25" t="s">
        <v>2899</v>
      </c>
      <c r="T71" s="25" t="s">
        <v>2900</v>
      </c>
      <c r="U71" s="25" t="s">
        <v>2709</v>
      </c>
      <c r="V71" s="25" t="s">
        <v>2901</v>
      </c>
    </row>
    <row r="72" spans="1:22" ht="43.5" customHeight="1" x14ac:dyDescent="0.2">
      <c r="A72" s="23" t="s">
        <v>222</v>
      </c>
      <c r="B72" s="23" t="s">
        <v>222</v>
      </c>
      <c r="C72" s="23" t="s">
        <v>2696</v>
      </c>
      <c r="D72" s="23" t="s">
        <v>2697</v>
      </c>
      <c r="E72" s="23"/>
      <c r="F72" s="23"/>
      <c r="G72" s="23" t="s">
        <v>2698</v>
      </c>
      <c r="H72" s="23" t="s">
        <v>2902</v>
      </c>
      <c r="I72" s="23" t="s">
        <v>2903</v>
      </c>
      <c r="J72" s="23" t="s">
        <v>2904</v>
      </c>
      <c r="K72" s="23" t="s">
        <v>2902</v>
      </c>
      <c r="L72" s="23" t="s">
        <v>2903</v>
      </c>
      <c r="M72" s="23" t="s">
        <v>886</v>
      </c>
      <c r="N72" s="23" t="s">
        <v>2896</v>
      </c>
      <c r="O72" s="23" t="s">
        <v>2703</v>
      </c>
      <c r="P72" s="23" t="s">
        <v>2896</v>
      </c>
      <c r="Q72" s="23" t="s">
        <v>2897</v>
      </c>
      <c r="R72" s="23" t="s">
        <v>2898</v>
      </c>
      <c r="S72" s="23" t="s">
        <v>2899</v>
      </c>
      <c r="T72" s="23" t="s">
        <v>2905</v>
      </c>
      <c r="U72" s="23" t="s">
        <v>2709</v>
      </c>
      <c r="V72" s="23" t="s">
        <v>2906</v>
      </c>
    </row>
    <row r="73" spans="1:22" ht="43.5" customHeight="1" x14ac:dyDescent="0.2">
      <c r="A73" s="25" t="s">
        <v>222</v>
      </c>
      <c r="B73" s="25" t="s">
        <v>222</v>
      </c>
      <c r="C73" s="25" t="s">
        <v>2696</v>
      </c>
      <c r="D73" s="25" t="s">
        <v>2697</v>
      </c>
      <c r="E73" s="25"/>
      <c r="F73" s="25"/>
      <c r="G73" s="25" t="s">
        <v>2698</v>
      </c>
      <c r="H73" s="25" t="s">
        <v>223</v>
      </c>
      <c r="I73" s="25" t="s">
        <v>223</v>
      </c>
      <c r="J73" s="25" t="s">
        <v>2907</v>
      </c>
      <c r="K73" s="25" t="s">
        <v>223</v>
      </c>
      <c r="L73" s="25" t="s">
        <v>223</v>
      </c>
      <c r="M73" s="25" t="s">
        <v>2720</v>
      </c>
      <c r="N73" s="25" t="s">
        <v>2908</v>
      </c>
      <c r="O73" s="25" t="s">
        <v>2703</v>
      </c>
      <c r="P73" s="25" t="s">
        <v>2908</v>
      </c>
      <c r="Q73" s="25" t="s">
        <v>2909</v>
      </c>
      <c r="R73" s="25" t="s">
        <v>2910</v>
      </c>
      <c r="S73" s="25" t="s">
        <v>2899</v>
      </c>
      <c r="T73" s="25" t="s">
        <v>2911</v>
      </c>
      <c r="U73" s="25" t="s">
        <v>2709</v>
      </c>
      <c r="V73" s="25"/>
    </row>
    <row r="74" spans="1:22" ht="43.5" customHeight="1" x14ac:dyDescent="0.2">
      <c r="A74" s="23" t="s">
        <v>222</v>
      </c>
      <c r="B74" s="23" t="s">
        <v>222</v>
      </c>
      <c r="C74" s="23" t="s">
        <v>2696</v>
      </c>
      <c r="D74" s="23" t="s">
        <v>2697</v>
      </c>
      <c r="E74" s="23"/>
      <c r="F74" s="23"/>
      <c r="G74" s="23" t="s">
        <v>2698</v>
      </c>
      <c r="H74" s="23" t="s">
        <v>2773</v>
      </c>
      <c r="I74" s="23" t="s">
        <v>224</v>
      </c>
      <c r="J74" s="23" t="s">
        <v>2912</v>
      </c>
      <c r="K74" s="23" t="s">
        <v>2773</v>
      </c>
      <c r="L74" s="23" t="s">
        <v>224</v>
      </c>
      <c r="M74" s="23" t="s">
        <v>2776</v>
      </c>
      <c r="N74" s="23" t="s">
        <v>2908</v>
      </c>
      <c r="O74" s="23" t="s">
        <v>2703</v>
      </c>
      <c r="P74" s="23" t="s">
        <v>2908</v>
      </c>
      <c r="Q74" s="23" t="s">
        <v>2909</v>
      </c>
      <c r="R74" s="23" t="s">
        <v>2910</v>
      </c>
      <c r="S74" s="23" t="s">
        <v>2899</v>
      </c>
      <c r="T74" s="23" t="s">
        <v>2913</v>
      </c>
      <c r="U74" s="23" t="s">
        <v>2709</v>
      </c>
      <c r="V74" s="23" t="s">
        <v>2914</v>
      </c>
    </row>
    <row r="75" spans="1:22" ht="43.5" customHeight="1" x14ac:dyDescent="0.2">
      <c r="A75" s="25" t="s">
        <v>222</v>
      </c>
      <c r="B75" s="25" t="s">
        <v>222</v>
      </c>
      <c r="C75" s="25" t="s">
        <v>2696</v>
      </c>
      <c r="D75" s="25" t="s">
        <v>2697</v>
      </c>
      <c r="E75" s="25"/>
      <c r="F75" s="25"/>
      <c r="G75" s="25" t="s">
        <v>2698</v>
      </c>
      <c r="H75" s="25" t="s">
        <v>2915</v>
      </c>
      <c r="I75" s="25" t="s">
        <v>2915</v>
      </c>
      <c r="J75" s="25" t="s">
        <v>2916</v>
      </c>
      <c r="K75" s="25" t="s">
        <v>2915</v>
      </c>
      <c r="L75" s="25" t="s">
        <v>2915</v>
      </c>
      <c r="M75" s="25" t="s">
        <v>2725</v>
      </c>
      <c r="N75" s="25" t="s">
        <v>1236</v>
      </c>
      <c r="O75" s="25" t="s">
        <v>2703</v>
      </c>
      <c r="P75" s="25" t="s">
        <v>2896</v>
      </c>
      <c r="Q75" s="25" t="s">
        <v>2897</v>
      </c>
      <c r="R75" s="25" t="s">
        <v>2898</v>
      </c>
      <c r="S75" s="25" t="s">
        <v>2899</v>
      </c>
      <c r="T75" s="25" t="s">
        <v>2900</v>
      </c>
      <c r="U75" s="25" t="s">
        <v>2709</v>
      </c>
      <c r="V75" s="25" t="s">
        <v>2917</v>
      </c>
    </row>
    <row r="76" spans="1:22" ht="43.5" customHeight="1" x14ac:dyDescent="0.2">
      <c r="A76" s="23" t="s">
        <v>222</v>
      </c>
      <c r="B76" s="23" t="s">
        <v>222</v>
      </c>
      <c r="C76" s="23" t="s">
        <v>1328</v>
      </c>
      <c r="D76" s="23" t="s">
        <v>2736</v>
      </c>
      <c r="E76" s="23" t="s">
        <v>2811</v>
      </c>
      <c r="F76" s="23" t="s">
        <v>2918</v>
      </c>
      <c r="G76" s="23" t="s">
        <v>2739</v>
      </c>
      <c r="H76" s="23"/>
      <c r="I76" s="23"/>
      <c r="J76" s="23"/>
      <c r="K76" s="23"/>
      <c r="L76" s="23"/>
      <c r="M76" s="23"/>
      <c r="N76" s="23"/>
      <c r="O76" s="23" t="s">
        <v>2740</v>
      </c>
      <c r="P76" s="23"/>
      <c r="Q76" s="23"/>
      <c r="R76" s="23"/>
      <c r="S76" s="23" t="s">
        <v>2900</v>
      </c>
      <c r="T76" s="23" t="s">
        <v>2919</v>
      </c>
      <c r="U76" s="23" t="s">
        <v>2709</v>
      </c>
      <c r="V76" s="23"/>
    </row>
    <row r="77" spans="1:22" ht="43.5" customHeight="1" x14ac:dyDescent="0.2">
      <c r="A77" s="25" t="s">
        <v>222</v>
      </c>
      <c r="B77" s="25" t="s">
        <v>222</v>
      </c>
      <c r="C77" s="25" t="s">
        <v>1328</v>
      </c>
      <c r="D77" s="25" t="s">
        <v>2743</v>
      </c>
      <c r="E77" s="25" t="s">
        <v>2811</v>
      </c>
      <c r="F77" s="25" t="s">
        <v>2918</v>
      </c>
      <c r="G77" s="25" t="s">
        <v>2739</v>
      </c>
      <c r="H77" s="25"/>
      <c r="I77" s="25"/>
      <c r="J77" s="25"/>
      <c r="K77" s="25"/>
      <c r="L77" s="25"/>
      <c r="M77" s="25"/>
      <c r="N77" s="25"/>
      <c r="O77" s="25" t="s">
        <v>2740</v>
      </c>
      <c r="P77" s="25"/>
      <c r="Q77" s="25"/>
      <c r="R77" s="25"/>
      <c r="S77" s="25" t="s">
        <v>2900</v>
      </c>
      <c r="T77" s="25" t="s">
        <v>2919</v>
      </c>
      <c r="U77" s="25" t="s">
        <v>2709</v>
      </c>
      <c r="V77" s="25"/>
    </row>
    <row r="78" spans="1:22" ht="43.5" customHeight="1" x14ac:dyDescent="0.2">
      <c r="A78" s="23" t="s">
        <v>222</v>
      </c>
      <c r="B78" s="23" t="s">
        <v>222</v>
      </c>
      <c r="C78" s="23" t="s">
        <v>1328</v>
      </c>
      <c r="D78" s="23" t="s">
        <v>2745</v>
      </c>
      <c r="E78" s="23" t="s">
        <v>2811</v>
      </c>
      <c r="F78" s="23" t="s">
        <v>2114</v>
      </c>
      <c r="G78" s="23" t="s">
        <v>2739</v>
      </c>
      <c r="H78" s="23"/>
      <c r="I78" s="23"/>
      <c r="J78" s="23"/>
      <c r="K78" s="23"/>
      <c r="L78" s="23"/>
      <c r="M78" s="23"/>
      <c r="N78" s="23"/>
      <c r="O78" s="23" t="s">
        <v>2740</v>
      </c>
      <c r="P78" s="23"/>
      <c r="Q78" s="23"/>
      <c r="R78" s="23"/>
      <c r="S78" s="23" t="s">
        <v>2900</v>
      </c>
      <c r="T78" s="23" t="s">
        <v>2919</v>
      </c>
      <c r="U78" s="23" t="s">
        <v>2709</v>
      </c>
      <c r="V78" s="23"/>
    </row>
    <row r="79" spans="1:22" ht="43.5" customHeight="1" x14ac:dyDescent="0.2">
      <c r="A79" s="25" t="s">
        <v>222</v>
      </c>
      <c r="B79" s="25" t="s">
        <v>222</v>
      </c>
      <c r="C79" s="25" t="s">
        <v>1328</v>
      </c>
      <c r="D79" s="25" t="s">
        <v>2747</v>
      </c>
      <c r="E79" s="25" t="s">
        <v>2811</v>
      </c>
      <c r="F79" s="25" t="s">
        <v>2737</v>
      </c>
      <c r="G79" s="25" t="s">
        <v>2739</v>
      </c>
      <c r="H79" s="25"/>
      <c r="I79" s="25"/>
      <c r="J79" s="25"/>
      <c r="K79" s="25"/>
      <c r="L79" s="25"/>
      <c r="M79" s="25"/>
      <c r="N79" s="25"/>
      <c r="O79" s="25" t="s">
        <v>2740</v>
      </c>
      <c r="P79" s="25"/>
      <c r="Q79" s="25"/>
      <c r="R79" s="25"/>
      <c r="S79" s="25" t="s">
        <v>2900</v>
      </c>
      <c r="T79" s="25" t="s">
        <v>2919</v>
      </c>
      <c r="U79" s="25" t="s">
        <v>2709</v>
      </c>
      <c r="V79" s="25"/>
    </row>
    <row r="80" spans="1:22" ht="43.5" customHeight="1" x14ac:dyDescent="0.2">
      <c r="A80" s="23" t="s">
        <v>222</v>
      </c>
      <c r="B80" s="23" t="s">
        <v>222</v>
      </c>
      <c r="C80" s="23" t="s">
        <v>1328</v>
      </c>
      <c r="D80" s="23" t="s">
        <v>2748</v>
      </c>
      <c r="E80" s="23" t="s">
        <v>2811</v>
      </c>
      <c r="F80" s="23" t="s">
        <v>2920</v>
      </c>
      <c r="G80" s="23" t="s">
        <v>2739</v>
      </c>
      <c r="H80" s="23"/>
      <c r="I80" s="23"/>
      <c r="J80" s="23"/>
      <c r="K80" s="23"/>
      <c r="L80" s="23"/>
      <c r="M80" s="23"/>
      <c r="N80" s="23"/>
      <c r="O80" s="23" t="s">
        <v>2740</v>
      </c>
      <c r="P80" s="23"/>
      <c r="Q80" s="23"/>
      <c r="R80" s="23"/>
      <c r="S80" s="23" t="s">
        <v>2900</v>
      </c>
      <c r="T80" s="23" t="s">
        <v>2919</v>
      </c>
      <c r="U80" s="23" t="s">
        <v>2709</v>
      </c>
      <c r="V80" s="23"/>
    </row>
    <row r="81" spans="1:22" ht="29" customHeight="1" x14ac:dyDescent="0.2">
      <c r="A81" s="25" t="s">
        <v>222</v>
      </c>
      <c r="B81" s="25" t="s">
        <v>222</v>
      </c>
      <c r="C81" s="25" t="s">
        <v>1328</v>
      </c>
      <c r="D81" s="25" t="s">
        <v>2749</v>
      </c>
      <c r="E81" s="25" t="s">
        <v>1069</v>
      </c>
      <c r="F81" s="25" t="s">
        <v>119</v>
      </c>
      <c r="G81" s="25" t="s">
        <v>2739</v>
      </c>
      <c r="H81" s="25"/>
      <c r="I81" s="25"/>
      <c r="J81" s="25"/>
      <c r="K81" s="25"/>
      <c r="L81" s="25"/>
      <c r="M81" s="25"/>
      <c r="N81" s="25"/>
      <c r="O81" s="25" t="s">
        <v>2750</v>
      </c>
      <c r="P81" s="25"/>
      <c r="Q81" s="25"/>
      <c r="R81" s="25"/>
      <c r="S81" s="25"/>
      <c r="T81" s="25"/>
      <c r="U81" s="25" t="s">
        <v>2709</v>
      </c>
      <c r="V81" s="25" t="s">
        <v>2751</v>
      </c>
    </row>
    <row r="82" spans="1:22" ht="43.5" customHeight="1" x14ac:dyDescent="0.2">
      <c r="A82" s="23" t="s">
        <v>222</v>
      </c>
      <c r="B82" s="23" t="s">
        <v>222</v>
      </c>
      <c r="C82" s="23" t="s">
        <v>1328</v>
      </c>
      <c r="D82" s="23" t="s">
        <v>2814</v>
      </c>
      <c r="E82" s="23" t="s">
        <v>2921</v>
      </c>
      <c r="F82" s="23" t="s">
        <v>2816</v>
      </c>
      <c r="G82" s="23" t="s">
        <v>2739</v>
      </c>
      <c r="H82" s="23"/>
      <c r="I82" s="23"/>
      <c r="J82" s="23"/>
      <c r="K82" s="23"/>
      <c r="L82" s="23"/>
      <c r="M82" s="23"/>
      <c r="N82" s="23"/>
      <c r="O82" s="23"/>
      <c r="P82" s="23"/>
      <c r="Q82" s="23"/>
      <c r="R82" s="23"/>
      <c r="S82" s="23" t="s">
        <v>2900</v>
      </c>
      <c r="T82" s="23"/>
      <c r="U82" s="23" t="s">
        <v>2709</v>
      </c>
      <c r="V82" s="23"/>
    </row>
    <row r="83" spans="1:22" ht="43.5" customHeight="1" x14ac:dyDescent="0.2">
      <c r="A83" s="25" t="s">
        <v>20</v>
      </c>
      <c r="B83" s="25" t="s">
        <v>20</v>
      </c>
      <c r="C83" s="25" t="s">
        <v>2696</v>
      </c>
      <c r="D83" s="25" t="s">
        <v>2697</v>
      </c>
      <c r="E83" s="25"/>
      <c r="F83" s="25"/>
      <c r="G83" s="25" t="s">
        <v>2698</v>
      </c>
      <c r="H83" s="25" t="s">
        <v>2922</v>
      </c>
      <c r="I83" s="25" t="s">
        <v>2922</v>
      </c>
      <c r="J83" s="25" t="s">
        <v>2923</v>
      </c>
      <c r="K83" s="25"/>
      <c r="L83" s="25"/>
      <c r="M83" s="25" t="s">
        <v>2725</v>
      </c>
      <c r="N83" s="25" t="s">
        <v>1236</v>
      </c>
      <c r="O83" s="25" t="s">
        <v>2726</v>
      </c>
      <c r="P83" s="25" t="s">
        <v>2924</v>
      </c>
      <c r="Q83" s="25" t="s">
        <v>2925</v>
      </c>
      <c r="R83" s="25" t="s">
        <v>303</v>
      </c>
      <c r="S83" s="25" t="s">
        <v>2926</v>
      </c>
      <c r="T83" s="25" t="s">
        <v>2927</v>
      </c>
      <c r="U83" s="25" t="s">
        <v>2928</v>
      </c>
      <c r="V83" s="25" t="s">
        <v>2929</v>
      </c>
    </row>
    <row r="84" spans="1:22" ht="58" customHeight="1" x14ac:dyDescent="0.2">
      <c r="A84" s="23" t="s">
        <v>20</v>
      </c>
      <c r="B84" s="23" t="s">
        <v>20</v>
      </c>
      <c r="C84" s="23" t="s">
        <v>2696</v>
      </c>
      <c r="D84" s="23" t="s">
        <v>2697</v>
      </c>
      <c r="E84" s="23"/>
      <c r="F84" s="23"/>
      <c r="G84" s="23" t="s">
        <v>2698</v>
      </c>
      <c r="H84" s="23" t="s">
        <v>147</v>
      </c>
      <c r="I84" s="23" t="s">
        <v>147</v>
      </c>
      <c r="J84" s="23" t="s">
        <v>2923</v>
      </c>
      <c r="K84" s="23"/>
      <c r="L84" s="23"/>
      <c r="M84" s="23" t="s">
        <v>2725</v>
      </c>
      <c r="N84" s="23" t="s">
        <v>1236</v>
      </c>
      <c r="O84" s="23" t="s">
        <v>2726</v>
      </c>
      <c r="P84" s="23" t="s">
        <v>2924</v>
      </c>
      <c r="Q84" s="23" t="s">
        <v>2925</v>
      </c>
      <c r="R84" s="23" t="s">
        <v>303</v>
      </c>
      <c r="S84" s="23" t="s">
        <v>2926</v>
      </c>
      <c r="T84" s="23" t="s">
        <v>2927</v>
      </c>
      <c r="U84" s="23" t="s">
        <v>2928</v>
      </c>
      <c r="V84" s="23" t="s">
        <v>2930</v>
      </c>
    </row>
    <row r="85" spans="1:22" ht="43.5" customHeight="1" x14ac:dyDescent="0.2">
      <c r="A85" s="25" t="s">
        <v>20</v>
      </c>
      <c r="B85" s="25" t="s">
        <v>20</v>
      </c>
      <c r="C85" s="25" t="s">
        <v>2696</v>
      </c>
      <c r="D85" s="25" t="s">
        <v>2697</v>
      </c>
      <c r="E85" s="25"/>
      <c r="F85" s="25"/>
      <c r="G85" s="25" t="s">
        <v>2698</v>
      </c>
      <c r="H85" s="25" t="s">
        <v>2931</v>
      </c>
      <c r="I85" s="25" t="s">
        <v>2931</v>
      </c>
      <c r="J85" s="25" t="s">
        <v>2923</v>
      </c>
      <c r="K85" s="25"/>
      <c r="L85" s="25"/>
      <c r="M85" s="25" t="s">
        <v>2725</v>
      </c>
      <c r="N85" s="25" t="s">
        <v>1236</v>
      </c>
      <c r="O85" s="25" t="s">
        <v>2726</v>
      </c>
      <c r="P85" s="25" t="s">
        <v>2924</v>
      </c>
      <c r="Q85" s="25" t="s">
        <v>2925</v>
      </c>
      <c r="R85" s="25" t="s">
        <v>303</v>
      </c>
      <c r="S85" s="25" t="s">
        <v>2926</v>
      </c>
      <c r="T85" s="25" t="s">
        <v>2927</v>
      </c>
      <c r="U85" s="25" t="s">
        <v>2928</v>
      </c>
      <c r="V85" s="25"/>
    </row>
    <row r="86" spans="1:22" ht="58" customHeight="1" x14ac:dyDescent="0.2">
      <c r="A86" s="23" t="s">
        <v>20</v>
      </c>
      <c r="B86" s="23" t="s">
        <v>20</v>
      </c>
      <c r="C86" s="23" t="s">
        <v>2696</v>
      </c>
      <c r="D86" s="23" t="s">
        <v>2697</v>
      </c>
      <c r="E86" s="23"/>
      <c r="F86" s="23"/>
      <c r="G86" s="23" t="s">
        <v>2698</v>
      </c>
      <c r="H86" s="23" t="s">
        <v>2932</v>
      </c>
      <c r="I86" s="23" t="s">
        <v>2933</v>
      </c>
      <c r="J86" s="23" t="s">
        <v>2923</v>
      </c>
      <c r="K86" s="23"/>
      <c r="L86" s="23"/>
      <c r="M86" s="23" t="s">
        <v>2934</v>
      </c>
      <c r="N86" s="23" t="s">
        <v>2935</v>
      </c>
      <c r="O86" s="23" t="s">
        <v>2726</v>
      </c>
      <c r="P86" s="23" t="s">
        <v>2924</v>
      </c>
      <c r="Q86" s="23" t="s">
        <v>2925</v>
      </c>
      <c r="R86" s="23" t="s">
        <v>303</v>
      </c>
      <c r="S86" s="23" t="s">
        <v>2926</v>
      </c>
      <c r="T86" s="23" t="s">
        <v>2936</v>
      </c>
      <c r="U86" s="23" t="s">
        <v>2928</v>
      </c>
      <c r="V86" s="23" t="s">
        <v>2937</v>
      </c>
    </row>
    <row r="87" spans="1:22" ht="43.5" customHeight="1" x14ac:dyDescent="0.2">
      <c r="A87" s="25" t="s">
        <v>20</v>
      </c>
      <c r="B87" s="25" t="s">
        <v>20</v>
      </c>
      <c r="C87" s="25" t="s">
        <v>2696</v>
      </c>
      <c r="D87" s="25" t="s">
        <v>2697</v>
      </c>
      <c r="E87" s="25"/>
      <c r="F87" s="25"/>
      <c r="G87" s="25" t="s">
        <v>2698</v>
      </c>
      <c r="H87" s="25" t="s">
        <v>2938</v>
      </c>
      <c r="I87" s="25" t="s">
        <v>2938</v>
      </c>
      <c r="J87" s="25" t="s">
        <v>2923</v>
      </c>
      <c r="K87" s="25"/>
      <c r="L87" s="25"/>
      <c r="M87" s="25" t="s">
        <v>2725</v>
      </c>
      <c r="N87" s="25" t="s">
        <v>1236</v>
      </c>
      <c r="O87" s="25" t="s">
        <v>2726</v>
      </c>
      <c r="P87" s="25" t="s">
        <v>2924</v>
      </c>
      <c r="Q87" s="25" t="s">
        <v>2925</v>
      </c>
      <c r="R87" s="25" t="s">
        <v>303</v>
      </c>
      <c r="S87" s="25" t="s">
        <v>2926</v>
      </c>
      <c r="T87" s="25" t="s">
        <v>2927</v>
      </c>
      <c r="U87" s="25" t="s">
        <v>2928</v>
      </c>
      <c r="V87" s="25" t="s">
        <v>2939</v>
      </c>
    </row>
    <row r="88" spans="1:22" ht="43.5" customHeight="1" x14ac:dyDescent="0.2">
      <c r="A88" s="23" t="s">
        <v>20</v>
      </c>
      <c r="B88" s="23" t="s">
        <v>20</v>
      </c>
      <c r="C88" s="23" t="s">
        <v>1328</v>
      </c>
      <c r="D88" s="23" t="s">
        <v>2736</v>
      </c>
      <c r="E88" s="23" t="s">
        <v>2115</v>
      </c>
      <c r="F88" s="23" t="s">
        <v>2115</v>
      </c>
      <c r="G88" s="23" t="s">
        <v>2725</v>
      </c>
      <c r="H88" s="23"/>
      <c r="I88" s="23"/>
      <c r="J88" s="23"/>
      <c r="K88" s="23"/>
      <c r="L88" s="23"/>
      <c r="M88" s="23"/>
      <c r="N88" s="23"/>
      <c r="O88" s="23" t="s">
        <v>2740</v>
      </c>
      <c r="P88" s="23"/>
      <c r="Q88" s="23"/>
      <c r="R88" s="23"/>
      <c r="S88" s="23" t="s">
        <v>2927</v>
      </c>
      <c r="T88" s="23" t="s">
        <v>2940</v>
      </c>
      <c r="U88" s="23" t="s">
        <v>2928</v>
      </c>
      <c r="V88" s="23"/>
    </row>
    <row r="89" spans="1:22" ht="43.5" customHeight="1" x14ac:dyDescent="0.2">
      <c r="A89" s="25" t="s">
        <v>20</v>
      </c>
      <c r="B89" s="25" t="s">
        <v>20</v>
      </c>
      <c r="C89" s="25" t="s">
        <v>1328</v>
      </c>
      <c r="D89" s="25" t="s">
        <v>2743</v>
      </c>
      <c r="E89" s="25" t="s">
        <v>2811</v>
      </c>
      <c r="F89" s="25" t="s">
        <v>1869</v>
      </c>
      <c r="G89" s="25" t="s">
        <v>2941</v>
      </c>
      <c r="H89" s="25"/>
      <c r="I89" s="25"/>
      <c r="J89" s="25"/>
      <c r="K89" s="25"/>
      <c r="L89" s="25"/>
      <c r="M89" s="25"/>
      <c r="N89" s="25"/>
      <c r="O89" s="25" t="s">
        <v>2740</v>
      </c>
      <c r="P89" s="25"/>
      <c r="Q89" s="25"/>
      <c r="R89" s="25"/>
      <c r="S89" s="25" t="s">
        <v>2927</v>
      </c>
      <c r="T89" s="25" t="s">
        <v>2940</v>
      </c>
      <c r="U89" s="25" t="s">
        <v>2793</v>
      </c>
      <c r="V89" s="25"/>
    </row>
    <row r="90" spans="1:22" ht="43.5" customHeight="1" x14ac:dyDescent="0.2">
      <c r="A90" s="23" t="s">
        <v>20</v>
      </c>
      <c r="B90" s="23" t="s">
        <v>20</v>
      </c>
      <c r="C90" s="23" t="s">
        <v>1328</v>
      </c>
      <c r="D90" s="23" t="s">
        <v>2745</v>
      </c>
      <c r="E90" s="23" t="s">
        <v>2811</v>
      </c>
      <c r="F90" s="23" t="s">
        <v>1869</v>
      </c>
      <c r="G90" s="23" t="s">
        <v>2941</v>
      </c>
      <c r="H90" s="23"/>
      <c r="I90" s="23"/>
      <c r="J90" s="23"/>
      <c r="K90" s="23"/>
      <c r="L90" s="23"/>
      <c r="M90" s="23"/>
      <c r="N90" s="23"/>
      <c r="O90" s="23" t="s">
        <v>2740</v>
      </c>
      <c r="P90" s="23"/>
      <c r="Q90" s="23"/>
      <c r="R90" s="23"/>
      <c r="S90" s="23" t="s">
        <v>2927</v>
      </c>
      <c r="T90" s="23" t="s">
        <v>2940</v>
      </c>
      <c r="U90" s="23" t="s">
        <v>2793</v>
      </c>
      <c r="V90" s="23"/>
    </row>
    <row r="91" spans="1:22" ht="43.5" customHeight="1" x14ac:dyDescent="0.2">
      <c r="A91" s="25" t="s">
        <v>20</v>
      </c>
      <c r="B91" s="25" t="s">
        <v>20</v>
      </c>
      <c r="C91" s="25" t="s">
        <v>1328</v>
      </c>
      <c r="D91" s="25" t="s">
        <v>2747</v>
      </c>
      <c r="E91" s="25" t="s">
        <v>2746</v>
      </c>
      <c r="F91" s="25" t="s">
        <v>2746</v>
      </c>
      <c r="G91" s="25" t="s">
        <v>2725</v>
      </c>
      <c r="H91" s="25"/>
      <c r="I91" s="25"/>
      <c r="J91" s="25"/>
      <c r="K91" s="25"/>
      <c r="L91" s="25"/>
      <c r="M91" s="25"/>
      <c r="N91" s="25"/>
      <c r="O91" s="25" t="s">
        <v>2740</v>
      </c>
      <c r="P91" s="25"/>
      <c r="Q91" s="25"/>
      <c r="R91" s="25"/>
      <c r="S91" s="25" t="s">
        <v>2927</v>
      </c>
      <c r="T91" s="25" t="s">
        <v>2940</v>
      </c>
      <c r="U91" s="25" t="s">
        <v>2928</v>
      </c>
      <c r="V91" s="25"/>
    </row>
    <row r="92" spans="1:22" ht="43.5" customHeight="1" x14ac:dyDescent="0.2">
      <c r="A92" s="23" t="s">
        <v>20</v>
      </c>
      <c r="B92" s="23" t="s">
        <v>20</v>
      </c>
      <c r="C92" s="23" t="s">
        <v>1328</v>
      </c>
      <c r="D92" s="23" t="s">
        <v>2748</v>
      </c>
      <c r="E92" s="23" t="s">
        <v>2893</v>
      </c>
      <c r="F92" s="23" t="s">
        <v>2893</v>
      </c>
      <c r="G92" s="23" t="s">
        <v>2725</v>
      </c>
      <c r="H92" s="23"/>
      <c r="I92" s="23"/>
      <c r="J92" s="23"/>
      <c r="K92" s="23"/>
      <c r="L92" s="23"/>
      <c r="M92" s="23"/>
      <c r="N92" s="23"/>
      <c r="O92" s="23" t="s">
        <v>2740</v>
      </c>
      <c r="P92" s="23"/>
      <c r="Q92" s="23"/>
      <c r="R92" s="23"/>
      <c r="S92" s="23" t="s">
        <v>2927</v>
      </c>
      <c r="T92" s="23" t="s">
        <v>2940</v>
      </c>
      <c r="U92" s="23" t="s">
        <v>2928</v>
      </c>
      <c r="V92" s="23"/>
    </row>
    <row r="93" spans="1:22" ht="29" customHeight="1" x14ac:dyDescent="0.2">
      <c r="A93" s="25" t="s">
        <v>20</v>
      </c>
      <c r="B93" s="25" t="s">
        <v>20</v>
      </c>
      <c r="C93" s="25" t="s">
        <v>1328</v>
      </c>
      <c r="D93" s="25" t="s">
        <v>2749</v>
      </c>
      <c r="E93" s="25" t="s">
        <v>111</v>
      </c>
      <c r="F93" s="25" t="s">
        <v>111</v>
      </c>
      <c r="G93" s="25" t="s">
        <v>2725</v>
      </c>
      <c r="H93" s="25"/>
      <c r="I93" s="25"/>
      <c r="J93" s="25"/>
      <c r="K93" s="25"/>
      <c r="L93" s="25"/>
      <c r="M93" s="25"/>
      <c r="N93" s="25"/>
      <c r="O93" s="25" t="s">
        <v>2750</v>
      </c>
      <c r="P93" s="25"/>
      <c r="Q93" s="25"/>
      <c r="R93" s="25"/>
      <c r="S93" s="25"/>
      <c r="T93" s="25"/>
      <c r="U93" s="25" t="s">
        <v>2928</v>
      </c>
      <c r="V93" s="25" t="s">
        <v>2751</v>
      </c>
    </row>
    <row r="94" spans="1:22" ht="72.5" customHeight="1" x14ac:dyDescent="0.2">
      <c r="A94" s="23" t="s">
        <v>28</v>
      </c>
      <c r="B94" s="23" t="s">
        <v>28</v>
      </c>
      <c r="C94" s="23" t="s">
        <v>1328</v>
      </c>
      <c r="D94" s="23" t="s">
        <v>2942</v>
      </c>
      <c r="E94" s="23" t="s">
        <v>2943</v>
      </c>
      <c r="F94" s="23" t="s">
        <v>2944</v>
      </c>
      <c r="G94" s="23" t="s">
        <v>1243</v>
      </c>
      <c r="H94" s="23"/>
      <c r="I94" s="23"/>
      <c r="J94" s="23" t="s">
        <v>2945</v>
      </c>
      <c r="K94" s="23" t="s">
        <v>2946</v>
      </c>
      <c r="L94" s="23" t="s">
        <v>2946</v>
      </c>
      <c r="M94" s="23" t="s">
        <v>2947</v>
      </c>
      <c r="N94" s="23" t="s">
        <v>2948</v>
      </c>
      <c r="O94" s="23" t="s">
        <v>2703</v>
      </c>
      <c r="P94" s="23" t="s">
        <v>2949</v>
      </c>
      <c r="Q94" s="23" t="s">
        <v>2950</v>
      </c>
      <c r="R94" s="23" t="s">
        <v>310</v>
      </c>
      <c r="S94" s="23" t="s">
        <v>2951</v>
      </c>
      <c r="T94" s="23" t="s">
        <v>2952</v>
      </c>
      <c r="U94" s="23" t="s">
        <v>2953</v>
      </c>
      <c r="V94" s="23" t="s">
        <v>2954</v>
      </c>
    </row>
    <row r="95" spans="1:22" ht="72.5" customHeight="1" x14ac:dyDescent="0.2">
      <c r="A95" s="25" t="s">
        <v>24</v>
      </c>
      <c r="B95" s="25" t="s">
        <v>24</v>
      </c>
      <c r="C95" s="25" t="s">
        <v>1328</v>
      </c>
      <c r="D95" s="25" t="s">
        <v>2955</v>
      </c>
      <c r="E95" s="25" t="s">
        <v>1070</v>
      </c>
      <c r="F95" s="25" t="s">
        <v>2944</v>
      </c>
      <c r="G95" s="25" t="s">
        <v>1243</v>
      </c>
      <c r="H95" s="25"/>
      <c r="I95" s="25"/>
      <c r="J95" s="25" t="s">
        <v>2956</v>
      </c>
      <c r="K95" s="25"/>
      <c r="L95" s="25"/>
      <c r="M95" s="25" t="s">
        <v>2957</v>
      </c>
      <c r="N95" s="25"/>
      <c r="O95" s="25" t="s">
        <v>2958</v>
      </c>
      <c r="P95" s="25" t="s">
        <v>2959</v>
      </c>
      <c r="Q95" s="25" t="s">
        <v>2960</v>
      </c>
      <c r="R95" s="25" t="s">
        <v>216</v>
      </c>
      <c r="S95" s="25" t="s">
        <v>2961</v>
      </c>
      <c r="T95" s="25" t="s">
        <v>2962</v>
      </c>
      <c r="U95" s="25" t="s">
        <v>2953</v>
      </c>
      <c r="V95" s="25" t="s">
        <v>2963</v>
      </c>
    </row>
  </sheetData>
  <mergeCells count="2">
    <mergeCell ref="A2:V2"/>
    <mergeCell ref="A1:V1"/>
  </mergeCells>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I13"/>
  <sheetViews>
    <sheetView showGridLines="0" rightToLeft="1" workbookViewId="0">
      <pane xSplit="1" ySplit="3" topLeftCell="B4" activePane="bottomRight" state="frozen"/>
      <selection pane="topRight"/>
      <selection pane="bottomLeft"/>
      <selection pane="bottomRight"/>
    </sheetView>
  </sheetViews>
  <sheetFormatPr baseColWidth="10" defaultColWidth="8.83203125" defaultRowHeight="15" x14ac:dyDescent="0.2"/>
  <cols>
    <col min="1" max="1" width="11" customWidth="1"/>
    <col min="2" max="2" width="32" customWidth="1"/>
    <col min="3" max="3" width="30" customWidth="1"/>
    <col min="4" max="4" width="32" customWidth="1"/>
    <col min="5" max="6" width="40" customWidth="1"/>
    <col min="7" max="7" width="30" customWidth="1"/>
    <col min="8" max="8" width="52" customWidth="1"/>
    <col min="9" max="9" width="26" customWidth="1"/>
  </cols>
  <sheetData>
    <row r="1" spans="1:9" ht="30" customHeight="1" x14ac:dyDescent="0.2">
      <c r="A1" s="87" t="s">
        <v>2964</v>
      </c>
      <c r="B1" s="76"/>
      <c r="C1" s="76"/>
      <c r="D1" s="76"/>
      <c r="E1" s="76"/>
      <c r="F1" s="76"/>
      <c r="G1" s="76"/>
      <c r="H1" s="76"/>
      <c r="I1" s="76"/>
    </row>
    <row r="2" spans="1:9" ht="22" customHeight="1" x14ac:dyDescent="0.2">
      <c r="A2" s="85" t="s">
        <v>2965</v>
      </c>
      <c r="B2" s="76"/>
      <c r="C2" s="76"/>
      <c r="D2" s="76"/>
      <c r="E2" s="76"/>
      <c r="F2" s="76"/>
      <c r="G2" s="76"/>
      <c r="H2" s="76"/>
      <c r="I2" s="76"/>
    </row>
    <row r="3" spans="1:9" ht="30" customHeight="1" x14ac:dyDescent="0.2">
      <c r="A3" s="24" t="s">
        <v>94</v>
      </c>
      <c r="B3" s="24" t="s">
        <v>2966</v>
      </c>
      <c r="C3" s="24" t="s">
        <v>702</v>
      </c>
      <c r="D3" s="24" t="s">
        <v>2967</v>
      </c>
      <c r="E3" s="24" t="s">
        <v>2679</v>
      </c>
      <c r="F3" s="24" t="s">
        <v>2968</v>
      </c>
      <c r="G3" s="24" t="s">
        <v>814</v>
      </c>
      <c r="H3" s="24" t="s">
        <v>2969</v>
      </c>
      <c r="I3" s="24" t="s">
        <v>2970</v>
      </c>
    </row>
    <row r="4" spans="1:9" ht="43.5" customHeight="1" x14ac:dyDescent="0.2">
      <c r="A4" s="23" t="s">
        <v>117</v>
      </c>
      <c r="B4" s="23" t="s">
        <v>2971</v>
      </c>
      <c r="C4" s="23" t="s">
        <v>2972</v>
      </c>
      <c r="D4" s="23" t="s">
        <v>2973</v>
      </c>
      <c r="E4" s="23" t="s">
        <v>2974</v>
      </c>
      <c r="F4" s="23" t="s">
        <v>2975</v>
      </c>
      <c r="G4" s="23" t="s">
        <v>2976</v>
      </c>
      <c r="H4" s="23" t="s">
        <v>2977</v>
      </c>
      <c r="I4" s="23" t="s">
        <v>111</v>
      </c>
    </row>
    <row r="5" spans="1:9" ht="43.5" customHeight="1" x14ac:dyDescent="0.2">
      <c r="A5" s="25" t="s">
        <v>174</v>
      </c>
      <c r="B5" s="25" t="s">
        <v>2978</v>
      </c>
      <c r="C5" s="25" t="s">
        <v>2972</v>
      </c>
      <c r="D5" s="25" t="s">
        <v>2973</v>
      </c>
      <c r="E5" s="25" t="s">
        <v>2979</v>
      </c>
      <c r="F5" s="25" t="s">
        <v>2980</v>
      </c>
      <c r="G5" s="25" t="s">
        <v>2981</v>
      </c>
      <c r="H5" s="25" t="s">
        <v>2982</v>
      </c>
      <c r="I5" s="25" t="s">
        <v>111</v>
      </c>
    </row>
    <row r="6" spans="1:9" ht="29" customHeight="1" x14ac:dyDescent="0.2">
      <c r="A6" s="23" t="s">
        <v>182</v>
      </c>
      <c r="B6" s="23" t="s">
        <v>2983</v>
      </c>
      <c r="C6" s="23" t="s">
        <v>2984</v>
      </c>
      <c r="D6" s="23" t="s">
        <v>2973</v>
      </c>
      <c r="E6" s="23" t="s">
        <v>2985</v>
      </c>
      <c r="F6" s="23" t="s">
        <v>2986</v>
      </c>
      <c r="G6" s="23" t="s">
        <v>2987</v>
      </c>
      <c r="H6" s="23" t="s">
        <v>2988</v>
      </c>
      <c r="I6" s="23" t="s">
        <v>2989</v>
      </c>
    </row>
    <row r="7" spans="1:9" ht="29" customHeight="1" x14ac:dyDescent="0.2">
      <c r="A7" s="25" t="s">
        <v>20</v>
      </c>
      <c r="B7" s="25" t="s">
        <v>2990</v>
      </c>
      <c r="C7" s="25" t="s">
        <v>2991</v>
      </c>
      <c r="D7" s="25" t="s">
        <v>2973</v>
      </c>
      <c r="E7" s="25" t="s">
        <v>2992</v>
      </c>
      <c r="F7" s="25" t="s">
        <v>2993</v>
      </c>
      <c r="G7" s="25" t="s">
        <v>2994</v>
      </c>
      <c r="H7" s="25" t="s">
        <v>2995</v>
      </c>
      <c r="I7" s="25" t="s">
        <v>2996</v>
      </c>
    </row>
    <row r="8" spans="1:9" ht="29" customHeight="1" x14ac:dyDescent="0.2">
      <c r="A8" s="23" t="s">
        <v>190</v>
      </c>
      <c r="B8" s="23" t="s">
        <v>2997</v>
      </c>
      <c r="C8" s="23" t="s">
        <v>2984</v>
      </c>
      <c r="D8" s="23" t="s">
        <v>2973</v>
      </c>
      <c r="E8" s="23" t="s">
        <v>2998</v>
      </c>
      <c r="F8" s="23" t="s">
        <v>2999</v>
      </c>
      <c r="G8" s="23" t="s">
        <v>3000</v>
      </c>
      <c r="H8" s="23" t="s">
        <v>3001</v>
      </c>
      <c r="I8" s="23" t="s">
        <v>3002</v>
      </c>
    </row>
    <row r="9" spans="1:9" ht="29" customHeight="1" x14ac:dyDescent="0.2">
      <c r="A9" s="25" t="s">
        <v>202</v>
      </c>
      <c r="B9" s="25" t="s">
        <v>3003</v>
      </c>
      <c r="C9" s="25" t="s">
        <v>3004</v>
      </c>
      <c r="D9" s="25" t="s">
        <v>2973</v>
      </c>
      <c r="E9" s="25" t="s">
        <v>3005</v>
      </c>
      <c r="F9" s="25" t="s">
        <v>3005</v>
      </c>
      <c r="G9" s="25" t="s">
        <v>3006</v>
      </c>
      <c r="H9" s="25" t="s">
        <v>3007</v>
      </c>
      <c r="I9" s="25" t="s">
        <v>111</v>
      </c>
    </row>
    <row r="10" spans="1:9" ht="29" customHeight="1" x14ac:dyDescent="0.2">
      <c r="A10" s="23" t="s">
        <v>131</v>
      </c>
      <c r="B10" s="23" t="s">
        <v>3008</v>
      </c>
      <c r="C10" s="23" t="s">
        <v>2972</v>
      </c>
      <c r="D10" s="23" t="s">
        <v>2973</v>
      </c>
      <c r="E10" s="23" t="s">
        <v>3009</v>
      </c>
      <c r="F10" s="23" t="s">
        <v>3010</v>
      </c>
      <c r="G10" s="23" t="s">
        <v>3011</v>
      </c>
      <c r="H10" s="23" t="s">
        <v>3012</v>
      </c>
      <c r="I10" s="23" t="s">
        <v>111</v>
      </c>
    </row>
    <row r="11" spans="1:9" ht="29" customHeight="1" x14ac:dyDescent="0.2">
      <c r="A11" s="25" t="s">
        <v>24</v>
      </c>
      <c r="B11" s="25" t="s">
        <v>3013</v>
      </c>
      <c r="C11" s="25" t="s">
        <v>3014</v>
      </c>
      <c r="D11" s="25" t="s">
        <v>2973</v>
      </c>
      <c r="E11" s="25" t="s">
        <v>3015</v>
      </c>
      <c r="F11" s="25" t="s">
        <v>3016</v>
      </c>
      <c r="G11" s="25" t="s">
        <v>3017</v>
      </c>
      <c r="H11" s="25" t="s">
        <v>3018</v>
      </c>
      <c r="I11" s="25" t="s">
        <v>3019</v>
      </c>
    </row>
    <row r="12" spans="1:9" ht="29" customHeight="1" x14ac:dyDescent="0.2">
      <c r="A12" s="23" t="s">
        <v>28</v>
      </c>
      <c r="B12" s="23" t="s">
        <v>3020</v>
      </c>
      <c r="C12" s="23" t="s">
        <v>3014</v>
      </c>
      <c r="D12" s="23" t="s">
        <v>2973</v>
      </c>
      <c r="E12" s="23" t="s">
        <v>3015</v>
      </c>
      <c r="F12" s="23" t="s">
        <v>3016</v>
      </c>
      <c r="G12" s="23" t="s">
        <v>3021</v>
      </c>
      <c r="H12" s="23" t="s">
        <v>3022</v>
      </c>
      <c r="I12" s="23" t="s">
        <v>3023</v>
      </c>
    </row>
    <row r="13" spans="1:9" ht="29" customHeight="1" x14ac:dyDescent="0.2">
      <c r="A13" s="25" t="s">
        <v>222</v>
      </c>
      <c r="B13" s="25" t="s">
        <v>3024</v>
      </c>
      <c r="C13" s="25" t="s">
        <v>2972</v>
      </c>
      <c r="D13" s="25" t="s">
        <v>2973</v>
      </c>
      <c r="E13" s="25" t="s">
        <v>3025</v>
      </c>
      <c r="F13" s="25" t="s">
        <v>3026</v>
      </c>
      <c r="G13" s="25" t="s">
        <v>3027</v>
      </c>
      <c r="H13" s="25" t="s">
        <v>3028</v>
      </c>
      <c r="I13" s="25" t="s">
        <v>111</v>
      </c>
    </row>
  </sheetData>
  <mergeCells count="2">
    <mergeCell ref="A1:I1"/>
    <mergeCell ref="A2:I2"/>
  </mergeCells>
  <pageMargins left="0.75" right="0.75" top="1" bottom="1" header="0.5" footer="0.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S85"/>
  <sheetViews>
    <sheetView showGridLines="0" rightToLeft="1" workbookViewId="0">
      <pane xSplit="2" ySplit="3" topLeftCell="C4" activePane="bottomRight" state="frozen"/>
      <selection pane="topRight"/>
      <selection pane="bottomLeft"/>
      <selection pane="bottomRight"/>
    </sheetView>
  </sheetViews>
  <sheetFormatPr baseColWidth="10" defaultColWidth="8.83203125" defaultRowHeight="15" x14ac:dyDescent="0.2"/>
  <cols>
    <col min="1" max="1" width="10" customWidth="1"/>
    <col min="2" max="2" width="12" customWidth="1"/>
    <col min="3" max="3" width="16" customWidth="1"/>
    <col min="4" max="4" width="30" customWidth="1"/>
    <col min="5" max="6" width="24" customWidth="1"/>
    <col min="7" max="7" width="20" customWidth="1"/>
    <col min="8" max="8" width="14" customWidth="1"/>
    <col min="9" max="10" width="16" customWidth="1"/>
    <col min="11" max="11" width="18" customWidth="1"/>
    <col min="12" max="13" width="20" customWidth="1"/>
    <col min="14" max="14" width="30" customWidth="1"/>
    <col min="15" max="15" width="34" customWidth="1"/>
    <col min="16" max="16" width="12" customWidth="1"/>
    <col min="17" max="17" width="10" customWidth="1"/>
    <col min="18" max="19" width="40" customWidth="1"/>
  </cols>
  <sheetData>
    <row r="1" spans="1:19" ht="30" customHeight="1" x14ac:dyDescent="0.2">
      <c r="A1" s="87" t="s">
        <v>3029</v>
      </c>
      <c r="B1" s="76"/>
      <c r="C1" s="76"/>
      <c r="D1" s="76"/>
      <c r="E1" s="76"/>
      <c r="F1" s="76"/>
      <c r="G1" s="76"/>
      <c r="H1" s="76"/>
      <c r="I1" s="76"/>
      <c r="J1" s="76"/>
      <c r="K1" s="76"/>
      <c r="L1" s="76"/>
      <c r="M1" s="76"/>
      <c r="N1" s="76"/>
      <c r="O1" s="76"/>
      <c r="P1" s="76"/>
      <c r="Q1" s="76"/>
      <c r="R1" s="76"/>
      <c r="S1" s="76"/>
    </row>
    <row r="2" spans="1:19" ht="22" customHeight="1" x14ac:dyDescent="0.2">
      <c r="A2" s="85" t="s">
        <v>3030</v>
      </c>
      <c r="B2" s="76"/>
      <c r="C2" s="76"/>
      <c r="D2" s="76"/>
      <c r="E2" s="76"/>
      <c r="F2" s="76"/>
      <c r="G2" s="76"/>
      <c r="H2" s="76"/>
      <c r="I2" s="76"/>
      <c r="J2" s="76"/>
      <c r="K2" s="76"/>
      <c r="L2" s="76"/>
      <c r="M2" s="76"/>
      <c r="N2" s="76"/>
      <c r="O2" s="76"/>
      <c r="P2" s="76"/>
      <c r="Q2" s="76"/>
      <c r="R2" s="76"/>
      <c r="S2" s="76"/>
    </row>
    <row r="3" spans="1:19" ht="30" customHeight="1" x14ac:dyDescent="0.2">
      <c r="A3" s="24" t="s">
        <v>94</v>
      </c>
      <c r="B3" s="24" t="s">
        <v>2677</v>
      </c>
      <c r="C3" s="24" t="s">
        <v>3031</v>
      </c>
      <c r="D3" s="24" t="s">
        <v>3032</v>
      </c>
      <c r="E3" s="24" t="s">
        <v>3033</v>
      </c>
      <c r="F3" s="24" t="s">
        <v>3034</v>
      </c>
      <c r="G3" s="24" t="s">
        <v>3035</v>
      </c>
      <c r="H3" s="24" t="s">
        <v>3036</v>
      </c>
      <c r="I3" s="24" t="s">
        <v>3037</v>
      </c>
      <c r="J3" s="24" t="s">
        <v>3038</v>
      </c>
      <c r="K3" s="24" t="s">
        <v>3039</v>
      </c>
      <c r="L3" s="24" t="s">
        <v>3040</v>
      </c>
      <c r="M3" s="24" t="s">
        <v>3041</v>
      </c>
      <c r="N3" s="24" t="s">
        <v>2686</v>
      </c>
      <c r="O3" s="24" t="s">
        <v>2688</v>
      </c>
      <c r="P3" s="24" t="s">
        <v>3042</v>
      </c>
      <c r="Q3" s="24" t="s">
        <v>2690</v>
      </c>
      <c r="R3" s="24" t="s">
        <v>3043</v>
      </c>
      <c r="S3" s="24" t="s">
        <v>3044</v>
      </c>
    </row>
    <row r="4" spans="1:19" ht="72.5" customHeight="1" x14ac:dyDescent="0.2">
      <c r="A4" s="23" t="s">
        <v>117</v>
      </c>
      <c r="B4" s="23" t="s">
        <v>2695</v>
      </c>
      <c r="C4" s="23" t="s">
        <v>3045</v>
      </c>
      <c r="D4" s="23" t="s">
        <v>2701</v>
      </c>
      <c r="E4" s="23" t="s">
        <v>2699</v>
      </c>
      <c r="F4" s="23" t="s">
        <v>3046</v>
      </c>
      <c r="G4" s="23" t="s">
        <v>3047</v>
      </c>
      <c r="H4" s="23" t="s">
        <v>3048</v>
      </c>
      <c r="I4" s="23" t="s">
        <v>3049</v>
      </c>
      <c r="J4" s="23" t="s">
        <v>3049</v>
      </c>
      <c r="K4" s="23"/>
      <c r="L4" s="23" t="s">
        <v>3050</v>
      </c>
      <c r="M4" s="23"/>
      <c r="N4" s="23" t="s">
        <v>886</v>
      </c>
      <c r="O4" s="23" t="s">
        <v>2703</v>
      </c>
      <c r="P4" s="23" t="s">
        <v>3048</v>
      </c>
      <c r="Q4" s="23" t="s">
        <v>3051</v>
      </c>
      <c r="R4" s="23" t="s">
        <v>3052</v>
      </c>
      <c r="S4" s="23" t="s">
        <v>3053</v>
      </c>
    </row>
    <row r="5" spans="1:19" ht="72.5" customHeight="1" x14ac:dyDescent="0.2">
      <c r="A5" s="25" t="s">
        <v>117</v>
      </c>
      <c r="B5" s="25" t="s">
        <v>2695</v>
      </c>
      <c r="C5" s="25" t="s">
        <v>3054</v>
      </c>
      <c r="D5" s="25" t="s">
        <v>2701</v>
      </c>
      <c r="E5" s="25" t="s">
        <v>2700</v>
      </c>
      <c r="F5" s="25" t="s">
        <v>3055</v>
      </c>
      <c r="G5" s="25" t="s">
        <v>2702</v>
      </c>
      <c r="H5" s="25" t="s">
        <v>2727</v>
      </c>
      <c r="I5" s="25" t="s">
        <v>3049</v>
      </c>
      <c r="J5" s="25" t="s">
        <v>3049</v>
      </c>
      <c r="K5" s="25"/>
      <c r="L5" s="25"/>
      <c r="M5" s="25" t="s">
        <v>3056</v>
      </c>
      <c r="N5" s="25" t="s">
        <v>886</v>
      </c>
      <c r="O5" s="25" t="s">
        <v>2726</v>
      </c>
      <c r="P5" s="25" t="s">
        <v>2727</v>
      </c>
      <c r="Q5" s="25" t="s">
        <v>2728</v>
      </c>
      <c r="R5" s="25" t="s">
        <v>2729</v>
      </c>
      <c r="S5" s="25" t="s">
        <v>3053</v>
      </c>
    </row>
    <row r="6" spans="1:19" ht="43.5" customHeight="1" x14ac:dyDescent="0.2">
      <c r="A6" s="23" t="s">
        <v>117</v>
      </c>
      <c r="B6" s="23" t="s">
        <v>2695</v>
      </c>
      <c r="C6" s="23" t="s">
        <v>3045</v>
      </c>
      <c r="D6" s="23" t="s">
        <v>2713</v>
      </c>
      <c r="E6" s="23" t="s">
        <v>2711</v>
      </c>
      <c r="F6" s="23" t="s">
        <v>3057</v>
      </c>
      <c r="G6" s="23" t="s">
        <v>3047</v>
      </c>
      <c r="H6" s="23" t="s">
        <v>3048</v>
      </c>
      <c r="I6" s="23" t="s">
        <v>3049</v>
      </c>
      <c r="J6" s="23" t="s">
        <v>3049</v>
      </c>
      <c r="K6" s="23"/>
      <c r="L6" s="23" t="s">
        <v>3058</v>
      </c>
      <c r="M6" s="23"/>
      <c r="N6" s="23" t="s">
        <v>886</v>
      </c>
      <c r="O6" s="23" t="s">
        <v>2703</v>
      </c>
      <c r="P6" s="23" t="s">
        <v>3048</v>
      </c>
      <c r="Q6" s="23" t="s">
        <v>3051</v>
      </c>
      <c r="R6" s="23" t="s">
        <v>3052</v>
      </c>
      <c r="S6" s="23" t="s">
        <v>3059</v>
      </c>
    </row>
    <row r="7" spans="1:19" ht="43.5" customHeight="1" x14ac:dyDescent="0.2">
      <c r="A7" s="25" t="s">
        <v>117</v>
      </c>
      <c r="B7" s="25" t="s">
        <v>2695</v>
      </c>
      <c r="C7" s="25" t="s">
        <v>3054</v>
      </c>
      <c r="D7" s="25" t="s">
        <v>2713</v>
      </c>
      <c r="E7" s="25" t="s">
        <v>2712</v>
      </c>
      <c r="F7" s="25" t="s">
        <v>3057</v>
      </c>
      <c r="G7" s="25" t="s">
        <v>2714</v>
      </c>
      <c r="H7" s="25" t="s">
        <v>2727</v>
      </c>
      <c r="I7" s="25" t="s">
        <v>3049</v>
      </c>
      <c r="J7" s="25" t="s">
        <v>3049</v>
      </c>
      <c r="K7" s="25"/>
      <c r="L7" s="25"/>
      <c r="M7" s="25" t="s">
        <v>3060</v>
      </c>
      <c r="N7" s="25" t="s">
        <v>886</v>
      </c>
      <c r="O7" s="25" t="s">
        <v>2726</v>
      </c>
      <c r="P7" s="25" t="s">
        <v>2727</v>
      </c>
      <c r="Q7" s="25" t="s">
        <v>2728</v>
      </c>
      <c r="R7" s="25" t="s">
        <v>2729</v>
      </c>
      <c r="S7" s="25" t="s">
        <v>3059</v>
      </c>
    </row>
    <row r="8" spans="1:19" ht="58" customHeight="1" x14ac:dyDescent="0.2">
      <c r="A8" s="23" t="s">
        <v>117</v>
      </c>
      <c r="B8" s="23" t="s">
        <v>2695</v>
      </c>
      <c r="C8" s="23" t="s">
        <v>3045</v>
      </c>
      <c r="D8" s="23" t="s">
        <v>2719</v>
      </c>
      <c r="E8" s="23" t="s">
        <v>121</v>
      </c>
      <c r="F8" s="23" t="s">
        <v>3057</v>
      </c>
      <c r="G8" s="23" t="s">
        <v>3047</v>
      </c>
      <c r="H8" s="23" t="s">
        <v>3048</v>
      </c>
      <c r="I8" s="23" t="s">
        <v>3049</v>
      </c>
      <c r="J8" s="23" t="s">
        <v>3049</v>
      </c>
      <c r="K8" s="23" t="s">
        <v>3061</v>
      </c>
      <c r="L8" s="23"/>
      <c r="M8" s="23"/>
      <c r="N8" s="23" t="s">
        <v>2720</v>
      </c>
      <c r="O8" s="23" t="s">
        <v>2703</v>
      </c>
      <c r="P8" s="23" t="s">
        <v>3048</v>
      </c>
      <c r="Q8" s="23" t="s">
        <v>3051</v>
      </c>
      <c r="R8" s="23" t="s">
        <v>3052</v>
      </c>
      <c r="S8" s="23" t="s">
        <v>3062</v>
      </c>
    </row>
    <row r="9" spans="1:19" ht="58" customHeight="1" x14ac:dyDescent="0.2">
      <c r="A9" s="25" t="s">
        <v>117</v>
      </c>
      <c r="B9" s="25" t="s">
        <v>2695</v>
      </c>
      <c r="C9" s="25" t="s">
        <v>3054</v>
      </c>
      <c r="D9" s="25" t="s">
        <v>2719</v>
      </c>
      <c r="E9" s="25" t="s">
        <v>121</v>
      </c>
      <c r="F9" s="25" t="s">
        <v>3063</v>
      </c>
      <c r="G9" s="25" t="s">
        <v>3047</v>
      </c>
      <c r="H9" s="25" t="s">
        <v>2727</v>
      </c>
      <c r="I9" s="25" t="s">
        <v>3049</v>
      </c>
      <c r="J9" s="25" t="s">
        <v>3049</v>
      </c>
      <c r="K9" s="25" t="s">
        <v>3064</v>
      </c>
      <c r="L9" s="25"/>
      <c r="M9" s="25"/>
      <c r="N9" s="25" t="s">
        <v>2720</v>
      </c>
      <c r="O9" s="25" t="s">
        <v>2726</v>
      </c>
      <c r="P9" s="25" t="s">
        <v>2727</v>
      </c>
      <c r="Q9" s="25" t="s">
        <v>2728</v>
      </c>
      <c r="R9" s="25" t="s">
        <v>2729</v>
      </c>
      <c r="S9" s="25" t="s">
        <v>3062</v>
      </c>
    </row>
    <row r="10" spans="1:19" ht="43.5" customHeight="1" x14ac:dyDescent="0.2">
      <c r="A10" s="23" t="s">
        <v>117</v>
      </c>
      <c r="B10" s="23" t="s">
        <v>2695</v>
      </c>
      <c r="C10" s="23" t="s">
        <v>3045</v>
      </c>
      <c r="D10" s="23" t="s">
        <v>2724</v>
      </c>
      <c r="E10" s="23" t="s">
        <v>2723</v>
      </c>
      <c r="F10" s="23" t="s">
        <v>3057</v>
      </c>
      <c r="G10" s="23" t="s">
        <v>3047</v>
      </c>
      <c r="H10" s="23" t="s">
        <v>3048</v>
      </c>
      <c r="I10" s="23" t="s">
        <v>3049</v>
      </c>
      <c r="J10" s="23" t="s">
        <v>3049</v>
      </c>
      <c r="K10" s="23" t="s">
        <v>3061</v>
      </c>
      <c r="L10" s="23"/>
      <c r="M10" s="23"/>
      <c r="N10" s="23" t="s">
        <v>2725</v>
      </c>
      <c r="O10" s="23" t="s">
        <v>2703</v>
      </c>
      <c r="P10" s="23" t="s">
        <v>3048</v>
      </c>
      <c r="Q10" s="23" t="s">
        <v>3051</v>
      </c>
      <c r="R10" s="23" t="s">
        <v>3052</v>
      </c>
      <c r="S10" s="23" t="s">
        <v>3065</v>
      </c>
    </row>
    <row r="11" spans="1:19" ht="43.5" customHeight="1" x14ac:dyDescent="0.2">
      <c r="A11" s="25" t="s">
        <v>117</v>
      </c>
      <c r="B11" s="25" t="s">
        <v>2695</v>
      </c>
      <c r="C11" s="25" t="s">
        <v>3054</v>
      </c>
      <c r="D11" s="25" t="s">
        <v>2724</v>
      </c>
      <c r="E11" s="25" t="s">
        <v>2723</v>
      </c>
      <c r="F11" s="25" t="s">
        <v>3057</v>
      </c>
      <c r="G11" s="25" t="s">
        <v>3047</v>
      </c>
      <c r="H11" s="25" t="s">
        <v>2727</v>
      </c>
      <c r="I11" s="25" t="s">
        <v>3049</v>
      </c>
      <c r="J11" s="25" t="s">
        <v>3049</v>
      </c>
      <c r="K11" s="25" t="s">
        <v>3064</v>
      </c>
      <c r="L11" s="25"/>
      <c r="M11" s="25"/>
      <c r="N11" s="25" t="s">
        <v>2725</v>
      </c>
      <c r="O11" s="25" t="s">
        <v>2726</v>
      </c>
      <c r="P11" s="25" t="s">
        <v>2727</v>
      </c>
      <c r="Q11" s="25" t="s">
        <v>2728</v>
      </c>
      <c r="R11" s="25" t="s">
        <v>2729</v>
      </c>
      <c r="S11" s="25" t="s">
        <v>3065</v>
      </c>
    </row>
    <row r="12" spans="1:19" ht="43.5" customHeight="1" x14ac:dyDescent="0.2">
      <c r="A12" s="23" t="s">
        <v>117</v>
      </c>
      <c r="B12" s="23" t="s">
        <v>2695</v>
      </c>
      <c r="C12" s="23" t="s">
        <v>3045</v>
      </c>
      <c r="D12" s="23" t="s">
        <v>2733</v>
      </c>
      <c r="E12" s="23" t="s">
        <v>120</v>
      </c>
      <c r="F12" s="23" t="s">
        <v>3063</v>
      </c>
      <c r="G12" s="23" t="s">
        <v>3047</v>
      </c>
      <c r="H12" s="23" t="s">
        <v>3048</v>
      </c>
      <c r="I12" s="23" t="s">
        <v>3049</v>
      </c>
      <c r="J12" s="23" t="s">
        <v>3049</v>
      </c>
      <c r="K12" s="23"/>
      <c r="L12" s="23" t="s">
        <v>3050</v>
      </c>
      <c r="M12" s="23"/>
      <c r="N12" s="23" t="s">
        <v>886</v>
      </c>
      <c r="O12" s="23" t="s">
        <v>2703</v>
      </c>
      <c r="P12" s="23" t="s">
        <v>3048</v>
      </c>
      <c r="Q12" s="23" t="s">
        <v>3051</v>
      </c>
      <c r="R12" s="23" t="s">
        <v>3052</v>
      </c>
      <c r="S12" s="23" t="s">
        <v>3066</v>
      </c>
    </row>
    <row r="13" spans="1:19" ht="43.5" customHeight="1" x14ac:dyDescent="0.2">
      <c r="A13" s="25" t="s">
        <v>117</v>
      </c>
      <c r="B13" s="25" t="s">
        <v>2695</v>
      </c>
      <c r="C13" s="25" t="s">
        <v>3054</v>
      </c>
      <c r="D13" s="25" t="s">
        <v>2733</v>
      </c>
      <c r="E13" s="25" t="s">
        <v>2732</v>
      </c>
      <c r="F13" s="25" t="s">
        <v>3057</v>
      </c>
      <c r="G13" s="25" t="s">
        <v>2702</v>
      </c>
      <c r="H13" s="25" t="s">
        <v>2727</v>
      </c>
      <c r="I13" s="25" t="s">
        <v>3049</v>
      </c>
      <c r="J13" s="25" t="s">
        <v>3049</v>
      </c>
      <c r="K13" s="25"/>
      <c r="L13" s="25"/>
      <c r="M13" s="25" t="s">
        <v>3056</v>
      </c>
      <c r="N13" s="25" t="s">
        <v>886</v>
      </c>
      <c r="O13" s="25" t="s">
        <v>2726</v>
      </c>
      <c r="P13" s="25" t="s">
        <v>2727</v>
      </c>
      <c r="Q13" s="25" t="s">
        <v>2728</v>
      </c>
      <c r="R13" s="25" t="s">
        <v>2729</v>
      </c>
      <c r="S13" s="25" t="s">
        <v>3066</v>
      </c>
    </row>
    <row r="14" spans="1:19" ht="43.5" customHeight="1" x14ac:dyDescent="0.2">
      <c r="A14" s="23" t="s">
        <v>174</v>
      </c>
      <c r="B14" s="23" t="s">
        <v>174</v>
      </c>
      <c r="C14" s="23" t="s">
        <v>3045</v>
      </c>
      <c r="D14" s="23" t="s">
        <v>2752</v>
      </c>
      <c r="E14" s="23" t="s">
        <v>175</v>
      </c>
      <c r="F14" s="23" t="s">
        <v>3063</v>
      </c>
      <c r="G14" s="23" t="s">
        <v>3047</v>
      </c>
      <c r="H14" s="23" t="s">
        <v>3067</v>
      </c>
      <c r="I14" s="23" t="s">
        <v>3049</v>
      </c>
      <c r="J14" s="23" t="s">
        <v>3049</v>
      </c>
      <c r="K14" s="23"/>
      <c r="L14" s="23" t="s">
        <v>3068</v>
      </c>
      <c r="M14" s="23"/>
      <c r="N14" s="23" t="s">
        <v>886</v>
      </c>
      <c r="O14" s="23" t="s">
        <v>2703</v>
      </c>
      <c r="P14" s="23" t="s">
        <v>3067</v>
      </c>
      <c r="Q14" s="23" t="s">
        <v>3069</v>
      </c>
      <c r="R14" s="23" t="s">
        <v>3070</v>
      </c>
      <c r="S14" s="23" t="s">
        <v>3071</v>
      </c>
    </row>
    <row r="15" spans="1:19" ht="43.5" customHeight="1" x14ac:dyDescent="0.2">
      <c r="A15" s="25" t="s">
        <v>174</v>
      </c>
      <c r="B15" s="25" t="s">
        <v>174</v>
      </c>
      <c r="C15" s="25" t="s">
        <v>3054</v>
      </c>
      <c r="D15" s="25" t="s">
        <v>2752</v>
      </c>
      <c r="E15" s="25" t="s">
        <v>176</v>
      </c>
      <c r="F15" s="25" t="s">
        <v>3063</v>
      </c>
      <c r="G15" s="25" t="s">
        <v>2753</v>
      </c>
      <c r="H15" s="25" t="s">
        <v>2761</v>
      </c>
      <c r="I15" s="25" t="s">
        <v>3049</v>
      </c>
      <c r="J15" s="25" t="s">
        <v>3049</v>
      </c>
      <c r="K15" s="25"/>
      <c r="L15" s="25"/>
      <c r="M15" s="25" t="s">
        <v>3072</v>
      </c>
      <c r="N15" s="25" t="s">
        <v>886</v>
      </c>
      <c r="O15" s="25" t="s">
        <v>2703</v>
      </c>
      <c r="P15" s="25" t="s">
        <v>2761</v>
      </c>
      <c r="Q15" s="25" t="s">
        <v>2762</v>
      </c>
      <c r="R15" s="25" t="s">
        <v>1389</v>
      </c>
      <c r="S15" s="25" t="s">
        <v>3071</v>
      </c>
    </row>
    <row r="16" spans="1:19" ht="58" customHeight="1" x14ac:dyDescent="0.2">
      <c r="A16" s="23" t="s">
        <v>174</v>
      </c>
      <c r="B16" s="23" t="s">
        <v>174</v>
      </c>
      <c r="C16" s="23" t="s">
        <v>3045</v>
      </c>
      <c r="D16" s="23" t="s">
        <v>2760</v>
      </c>
      <c r="E16" s="23" t="s">
        <v>2759</v>
      </c>
      <c r="F16" s="23" t="s">
        <v>3073</v>
      </c>
      <c r="G16" s="23" t="s">
        <v>3047</v>
      </c>
      <c r="H16" s="23" t="s">
        <v>3067</v>
      </c>
      <c r="I16" s="23" t="s">
        <v>3049</v>
      </c>
      <c r="J16" s="23" t="s">
        <v>3049</v>
      </c>
      <c r="K16" s="23" t="s">
        <v>3061</v>
      </c>
      <c r="L16" s="23"/>
      <c r="M16" s="23"/>
      <c r="N16" s="23" t="s">
        <v>2725</v>
      </c>
      <c r="O16" s="23" t="s">
        <v>2703</v>
      </c>
      <c r="P16" s="23" t="s">
        <v>3067</v>
      </c>
      <c r="Q16" s="23" t="s">
        <v>3069</v>
      </c>
      <c r="R16" s="23" t="s">
        <v>3070</v>
      </c>
      <c r="S16" s="23" t="s">
        <v>3074</v>
      </c>
    </row>
    <row r="17" spans="1:19" ht="58" customHeight="1" x14ac:dyDescent="0.2">
      <c r="A17" s="25" t="s">
        <v>174</v>
      </c>
      <c r="B17" s="25" t="s">
        <v>174</v>
      </c>
      <c r="C17" s="25" t="s">
        <v>3054</v>
      </c>
      <c r="D17" s="25" t="s">
        <v>2760</v>
      </c>
      <c r="E17" s="25" t="s">
        <v>2759</v>
      </c>
      <c r="F17" s="25" t="s">
        <v>3073</v>
      </c>
      <c r="G17" s="25" t="s">
        <v>3047</v>
      </c>
      <c r="H17" s="25" t="s">
        <v>2761</v>
      </c>
      <c r="I17" s="25" t="s">
        <v>3049</v>
      </c>
      <c r="J17" s="25" t="s">
        <v>3049</v>
      </c>
      <c r="K17" s="25" t="s">
        <v>3064</v>
      </c>
      <c r="L17" s="25"/>
      <c r="M17" s="25"/>
      <c r="N17" s="25" t="s">
        <v>2725</v>
      </c>
      <c r="O17" s="25" t="s">
        <v>2703</v>
      </c>
      <c r="P17" s="25" t="s">
        <v>2761</v>
      </c>
      <c r="Q17" s="25" t="s">
        <v>2762</v>
      </c>
      <c r="R17" s="25" t="s">
        <v>1389</v>
      </c>
      <c r="S17" s="25" t="s">
        <v>3074</v>
      </c>
    </row>
    <row r="18" spans="1:19" ht="72.5" customHeight="1" x14ac:dyDescent="0.2">
      <c r="A18" s="23" t="s">
        <v>174</v>
      </c>
      <c r="B18" s="23" t="s">
        <v>174</v>
      </c>
      <c r="C18" s="23" t="s">
        <v>3045</v>
      </c>
      <c r="D18" s="23" t="s">
        <v>2767</v>
      </c>
      <c r="E18" s="23" t="s">
        <v>2765</v>
      </c>
      <c r="F18" s="23" t="s">
        <v>3046</v>
      </c>
      <c r="G18" s="23" t="s">
        <v>3047</v>
      </c>
      <c r="H18" s="23" t="s">
        <v>3067</v>
      </c>
      <c r="I18" s="23" t="s">
        <v>3049</v>
      </c>
      <c r="J18" s="23" t="s">
        <v>3049</v>
      </c>
      <c r="K18" s="23"/>
      <c r="L18" s="23" t="s">
        <v>3068</v>
      </c>
      <c r="M18" s="23"/>
      <c r="N18" s="23" t="s">
        <v>886</v>
      </c>
      <c r="O18" s="23" t="s">
        <v>2703</v>
      </c>
      <c r="P18" s="23" t="s">
        <v>3067</v>
      </c>
      <c r="Q18" s="23" t="s">
        <v>3069</v>
      </c>
      <c r="R18" s="23" t="s">
        <v>3070</v>
      </c>
      <c r="S18" s="23" t="s">
        <v>3075</v>
      </c>
    </row>
    <row r="19" spans="1:19" ht="72.5" customHeight="1" x14ac:dyDescent="0.2">
      <c r="A19" s="25" t="s">
        <v>174</v>
      </c>
      <c r="B19" s="25" t="s">
        <v>174</v>
      </c>
      <c r="C19" s="25" t="s">
        <v>3054</v>
      </c>
      <c r="D19" s="25" t="s">
        <v>2767</v>
      </c>
      <c r="E19" s="25" t="s">
        <v>2766</v>
      </c>
      <c r="F19" s="25" t="s">
        <v>3076</v>
      </c>
      <c r="G19" s="25" t="s">
        <v>2753</v>
      </c>
      <c r="H19" s="25" t="s">
        <v>2761</v>
      </c>
      <c r="I19" s="25" t="s">
        <v>3049</v>
      </c>
      <c r="J19" s="25" t="s">
        <v>3049</v>
      </c>
      <c r="K19" s="25"/>
      <c r="L19" s="25"/>
      <c r="M19" s="25" t="s">
        <v>3072</v>
      </c>
      <c r="N19" s="25" t="s">
        <v>886</v>
      </c>
      <c r="O19" s="25" t="s">
        <v>2703</v>
      </c>
      <c r="P19" s="25" t="s">
        <v>2761</v>
      </c>
      <c r="Q19" s="25" t="s">
        <v>2762</v>
      </c>
      <c r="R19" s="25" t="s">
        <v>1389</v>
      </c>
      <c r="S19" s="25" t="s">
        <v>3075</v>
      </c>
    </row>
    <row r="20" spans="1:19" ht="43.5" customHeight="1" x14ac:dyDescent="0.2">
      <c r="A20" s="23" t="s">
        <v>174</v>
      </c>
      <c r="B20" s="23" t="s">
        <v>174</v>
      </c>
      <c r="C20" s="23" t="s">
        <v>3045</v>
      </c>
      <c r="D20" s="23" t="s">
        <v>2771</v>
      </c>
      <c r="E20" s="23" t="s">
        <v>2770</v>
      </c>
      <c r="F20" s="23" t="s">
        <v>3057</v>
      </c>
      <c r="G20" s="23" t="s">
        <v>3047</v>
      </c>
      <c r="H20" s="23" t="s">
        <v>3067</v>
      </c>
      <c r="I20" s="23" t="s">
        <v>3049</v>
      </c>
      <c r="J20" s="23" t="s">
        <v>3049</v>
      </c>
      <c r="K20" s="23" t="s">
        <v>3061</v>
      </c>
      <c r="L20" s="23"/>
      <c r="M20" s="23"/>
      <c r="N20" s="23" t="s">
        <v>2725</v>
      </c>
      <c r="O20" s="23" t="s">
        <v>2703</v>
      </c>
      <c r="P20" s="23" t="s">
        <v>3067</v>
      </c>
      <c r="Q20" s="23" t="s">
        <v>3069</v>
      </c>
      <c r="R20" s="23" t="s">
        <v>3070</v>
      </c>
      <c r="S20" s="23" t="s">
        <v>3077</v>
      </c>
    </row>
    <row r="21" spans="1:19" ht="43.5" customHeight="1" x14ac:dyDescent="0.2">
      <c r="A21" s="25" t="s">
        <v>174</v>
      </c>
      <c r="B21" s="25" t="s">
        <v>174</v>
      </c>
      <c r="C21" s="25" t="s">
        <v>3054</v>
      </c>
      <c r="D21" s="25" t="s">
        <v>2771</v>
      </c>
      <c r="E21" s="25" t="s">
        <v>2770</v>
      </c>
      <c r="F21" s="25" t="s">
        <v>3057</v>
      </c>
      <c r="G21" s="25" t="s">
        <v>3047</v>
      </c>
      <c r="H21" s="25" t="s">
        <v>2761</v>
      </c>
      <c r="I21" s="25" t="s">
        <v>3049</v>
      </c>
      <c r="J21" s="25" t="s">
        <v>3049</v>
      </c>
      <c r="K21" s="25" t="s">
        <v>3064</v>
      </c>
      <c r="L21" s="25"/>
      <c r="M21" s="25"/>
      <c r="N21" s="25" t="s">
        <v>2725</v>
      </c>
      <c r="O21" s="25" t="s">
        <v>2703</v>
      </c>
      <c r="P21" s="25" t="s">
        <v>2761</v>
      </c>
      <c r="Q21" s="25" t="s">
        <v>2762</v>
      </c>
      <c r="R21" s="25" t="s">
        <v>1389</v>
      </c>
      <c r="S21" s="25" t="s">
        <v>3077</v>
      </c>
    </row>
    <row r="22" spans="1:19" ht="72.5" customHeight="1" x14ac:dyDescent="0.2">
      <c r="A22" s="23" t="s">
        <v>174</v>
      </c>
      <c r="B22" s="23" t="s">
        <v>174</v>
      </c>
      <c r="C22" s="23" t="s">
        <v>3045</v>
      </c>
      <c r="D22" s="23" t="s">
        <v>2775</v>
      </c>
      <c r="E22" s="23" t="s">
        <v>2773</v>
      </c>
      <c r="F22" s="23" t="s">
        <v>3078</v>
      </c>
      <c r="G22" s="23" t="s">
        <v>3047</v>
      </c>
      <c r="H22" s="23" t="s">
        <v>3067</v>
      </c>
      <c r="I22" s="23" t="s">
        <v>3049</v>
      </c>
      <c r="J22" s="23" t="s">
        <v>3049</v>
      </c>
      <c r="K22" s="23"/>
      <c r="L22" s="23" t="s">
        <v>3079</v>
      </c>
      <c r="M22" s="23"/>
      <c r="N22" s="23" t="s">
        <v>2776</v>
      </c>
      <c r="O22" s="23" t="s">
        <v>2703</v>
      </c>
      <c r="P22" s="23" t="s">
        <v>3067</v>
      </c>
      <c r="Q22" s="23" t="s">
        <v>3069</v>
      </c>
      <c r="R22" s="23" t="s">
        <v>3070</v>
      </c>
      <c r="S22" s="23" t="s">
        <v>3080</v>
      </c>
    </row>
    <row r="23" spans="1:19" ht="72.5" customHeight="1" x14ac:dyDescent="0.2">
      <c r="A23" s="25" t="s">
        <v>174</v>
      </c>
      <c r="B23" s="25" t="s">
        <v>174</v>
      </c>
      <c r="C23" s="25" t="s">
        <v>3054</v>
      </c>
      <c r="D23" s="25" t="s">
        <v>2775</v>
      </c>
      <c r="E23" s="25" t="s">
        <v>2774</v>
      </c>
      <c r="F23" s="25" t="s">
        <v>3081</v>
      </c>
      <c r="G23" s="25" t="s">
        <v>2777</v>
      </c>
      <c r="H23" s="25" t="s">
        <v>2761</v>
      </c>
      <c r="I23" s="25" t="s">
        <v>3049</v>
      </c>
      <c r="J23" s="25" t="s">
        <v>3049</v>
      </c>
      <c r="K23" s="25"/>
      <c r="L23" s="25"/>
      <c r="M23" s="25" t="s">
        <v>3082</v>
      </c>
      <c r="N23" s="25" t="s">
        <v>2776</v>
      </c>
      <c r="O23" s="25" t="s">
        <v>2703</v>
      </c>
      <c r="P23" s="25" t="s">
        <v>2761</v>
      </c>
      <c r="Q23" s="25" t="s">
        <v>2762</v>
      </c>
      <c r="R23" s="25" t="s">
        <v>1389</v>
      </c>
      <c r="S23" s="25" t="s">
        <v>3080</v>
      </c>
    </row>
    <row r="24" spans="1:19" ht="43.5" customHeight="1" x14ac:dyDescent="0.2">
      <c r="A24" s="23" t="s">
        <v>182</v>
      </c>
      <c r="B24" s="23" t="s">
        <v>182</v>
      </c>
      <c r="C24" s="23" t="s">
        <v>3045</v>
      </c>
      <c r="D24" s="23" t="s">
        <v>2787</v>
      </c>
      <c r="E24" s="23" t="s">
        <v>2786</v>
      </c>
      <c r="F24" s="23" t="s">
        <v>3073</v>
      </c>
      <c r="G24" s="23" t="s">
        <v>3047</v>
      </c>
      <c r="H24" s="23" t="s">
        <v>3067</v>
      </c>
      <c r="I24" s="23" t="s">
        <v>3049</v>
      </c>
      <c r="J24" s="23" t="s">
        <v>3049</v>
      </c>
      <c r="K24" s="23" t="s">
        <v>3061</v>
      </c>
      <c r="L24" s="23"/>
      <c r="M24" s="23"/>
      <c r="N24" s="23" t="s">
        <v>2725</v>
      </c>
      <c r="O24" s="23" t="s">
        <v>2726</v>
      </c>
      <c r="P24" s="23" t="s">
        <v>3067</v>
      </c>
      <c r="Q24" s="23" t="s">
        <v>3083</v>
      </c>
      <c r="R24" s="23" t="s">
        <v>3084</v>
      </c>
      <c r="S24" s="23" t="s">
        <v>3085</v>
      </c>
    </row>
    <row r="25" spans="1:19" ht="43.5" customHeight="1" x14ac:dyDescent="0.2">
      <c r="A25" s="25" t="s">
        <v>182</v>
      </c>
      <c r="B25" s="25" t="s">
        <v>182</v>
      </c>
      <c r="C25" s="25" t="s">
        <v>3054</v>
      </c>
      <c r="D25" s="25" t="s">
        <v>2787</v>
      </c>
      <c r="E25" s="25" t="s">
        <v>2786</v>
      </c>
      <c r="F25" s="25" t="s">
        <v>3073</v>
      </c>
      <c r="G25" s="25" t="s">
        <v>3047</v>
      </c>
      <c r="H25" s="25" t="s">
        <v>2788</v>
      </c>
      <c r="I25" s="25" t="s">
        <v>3049</v>
      </c>
      <c r="J25" s="25" t="s">
        <v>3049</v>
      </c>
      <c r="K25" s="25" t="s">
        <v>3064</v>
      </c>
      <c r="L25" s="25"/>
      <c r="M25" s="25"/>
      <c r="N25" s="25" t="s">
        <v>2725</v>
      </c>
      <c r="O25" s="25" t="s">
        <v>2726</v>
      </c>
      <c r="P25" s="25" t="s">
        <v>2788</v>
      </c>
      <c r="Q25" s="25" t="s">
        <v>2789</v>
      </c>
      <c r="R25" s="25" t="s">
        <v>2790</v>
      </c>
      <c r="S25" s="25" t="s">
        <v>3085</v>
      </c>
    </row>
    <row r="26" spans="1:19" ht="43.5" customHeight="1" x14ac:dyDescent="0.2">
      <c r="A26" s="23" t="s">
        <v>182</v>
      </c>
      <c r="B26" s="23" t="s">
        <v>182</v>
      </c>
      <c r="C26" s="23" t="s">
        <v>3045</v>
      </c>
      <c r="D26" s="23" t="s">
        <v>2796</v>
      </c>
      <c r="E26" s="23" t="s">
        <v>2795</v>
      </c>
      <c r="F26" s="23" t="s">
        <v>3081</v>
      </c>
      <c r="G26" s="23" t="s">
        <v>3047</v>
      </c>
      <c r="H26" s="23" t="s">
        <v>3067</v>
      </c>
      <c r="I26" s="23" t="s">
        <v>3049</v>
      </c>
      <c r="J26" s="23" t="s">
        <v>3049</v>
      </c>
      <c r="K26" s="23" t="s">
        <v>3061</v>
      </c>
      <c r="L26" s="23"/>
      <c r="M26" s="23"/>
      <c r="N26" s="23" t="s">
        <v>2725</v>
      </c>
      <c r="O26" s="23" t="s">
        <v>2726</v>
      </c>
      <c r="P26" s="23" t="s">
        <v>3067</v>
      </c>
      <c r="Q26" s="23" t="s">
        <v>3083</v>
      </c>
      <c r="R26" s="23" t="s">
        <v>3084</v>
      </c>
      <c r="S26" s="23" t="s">
        <v>3059</v>
      </c>
    </row>
    <row r="27" spans="1:19" ht="43.5" customHeight="1" x14ac:dyDescent="0.2">
      <c r="A27" s="25" t="s">
        <v>182</v>
      </c>
      <c r="B27" s="25" t="s">
        <v>182</v>
      </c>
      <c r="C27" s="25" t="s">
        <v>3054</v>
      </c>
      <c r="D27" s="25" t="s">
        <v>2796</v>
      </c>
      <c r="E27" s="25" t="s">
        <v>2795</v>
      </c>
      <c r="F27" s="25" t="s">
        <v>3081</v>
      </c>
      <c r="G27" s="25" t="s">
        <v>3047</v>
      </c>
      <c r="H27" s="25" t="s">
        <v>2788</v>
      </c>
      <c r="I27" s="25" t="s">
        <v>3049</v>
      </c>
      <c r="J27" s="25" t="s">
        <v>3049</v>
      </c>
      <c r="K27" s="25" t="s">
        <v>3064</v>
      </c>
      <c r="L27" s="25"/>
      <c r="M27" s="25"/>
      <c r="N27" s="25" t="s">
        <v>2725</v>
      </c>
      <c r="O27" s="25" t="s">
        <v>2726</v>
      </c>
      <c r="P27" s="25" t="s">
        <v>2788</v>
      </c>
      <c r="Q27" s="25" t="s">
        <v>2789</v>
      </c>
      <c r="R27" s="25" t="s">
        <v>2790</v>
      </c>
      <c r="S27" s="25" t="s">
        <v>3059</v>
      </c>
    </row>
    <row r="28" spans="1:19" ht="43.5" customHeight="1" x14ac:dyDescent="0.2">
      <c r="A28" s="23" t="s">
        <v>182</v>
      </c>
      <c r="B28" s="23" t="s">
        <v>182</v>
      </c>
      <c r="C28" s="23" t="s">
        <v>3045</v>
      </c>
      <c r="D28" s="23" t="s">
        <v>2799</v>
      </c>
      <c r="E28" s="23" t="s">
        <v>2797</v>
      </c>
      <c r="F28" s="23" t="s">
        <v>3057</v>
      </c>
      <c r="G28" s="23" t="s">
        <v>3047</v>
      </c>
      <c r="H28" s="23" t="s">
        <v>3067</v>
      </c>
      <c r="I28" s="23" t="s">
        <v>3049</v>
      </c>
      <c r="J28" s="23" t="s">
        <v>3049</v>
      </c>
      <c r="K28" s="23"/>
      <c r="L28" s="23" t="s">
        <v>3068</v>
      </c>
      <c r="M28" s="23"/>
      <c r="N28" s="23" t="s">
        <v>886</v>
      </c>
      <c r="O28" s="23" t="s">
        <v>2726</v>
      </c>
      <c r="P28" s="23" t="s">
        <v>3067</v>
      </c>
      <c r="Q28" s="23" t="s">
        <v>3083</v>
      </c>
      <c r="R28" s="23" t="s">
        <v>3084</v>
      </c>
      <c r="S28" s="23" t="s">
        <v>3059</v>
      </c>
    </row>
    <row r="29" spans="1:19" ht="43.5" customHeight="1" x14ac:dyDescent="0.2">
      <c r="A29" s="25" t="s">
        <v>182</v>
      </c>
      <c r="B29" s="25" t="s">
        <v>182</v>
      </c>
      <c r="C29" s="25" t="s">
        <v>3054</v>
      </c>
      <c r="D29" s="25" t="s">
        <v>2799</v>
      </c>
      <c r="E29" s="25" t="s">
        <v>2798</v>
      </c>
      <c r="F29" s="25" t="s">
        <v>3057</v>
      </c>
      <c r="G29" s="25" t="s">
        <v>2753</v>
      </c>
      <c r="H29" s="25" t="s">
        <v>2788</v>
      </c>
      <c r="I29" s="25" t="s">
        <v>3049</v>
      </c>
      <c r="J29" s="25" t="s">
        <v>3049</v>
      </c>
      <c r="K29" s="25"/>
      <c r="L29" s="25"/>
      <c r="M29" s="25" t="s">
        <v>3072</v>
      </c>
      <c r="N29" s="25" t="s">
        <v>886</v>
      </c>
      <c r="O29" s="25" t="s">
        <v>2726</v>
      </c>
      <c r="P29" s="25" t="s">
        <v>2788</v>
      </c>
      <c r="Q29" s="25" t="s">
        <v>2789</v>
      </c>
      <c r="R29" s="25" t="s">
        <v>2790</v>
      </c>
      <c r="S29" s="25" t="s">
        <v>3059</v>
      </c>
    </row>
    <row r="30" spans="1:19" ht="43.5" customHeight="1" x14ac:dyDescent="0.2">
      <c r="A30" s="23" t="s">
        <v>182</v>
      </c>
      <c r="B30" s="23" t="s">
        <v>182</v>
      </c>
      <c r="C30" s="23" t="s">
        <v>3045</v>
      </c>
      <c r="D30" s="23" t="s">
        <v>2805</v>
      </c>
      <c r="E30" s="23" t="s">
        <v>191</v>
      </c>
      <c r="F30" s="23" t="s">
        <v>3057</v>
      </c>
      <c r="G30" s="23" t="s">
        <v>3047</v>
      </c>
      <c r="H30" s="23" t="s">
        <v>3067</v>
      </c>
      <c r="I30" s="23" t="s">
        <v>3049</v>
      </c>
      <c r="J30" s="23" t="s">
        <v>3049</v>
      </c>
      <c r="K30" s="23"/>
      <c r="L30" s="23" t="s">
        <v>3068</v>
      </c>
      <c r="M30" s="23"/>
      <c r="N30" s="23" t="s">
        <v>886</v>
      </c>
      <c r="O30" s="23" t="s">
        <v>2726</v>
      </c>
      <c r="P30" s="23" t="s">
        <v>3067</v>
      </c>
      <c r="Q30" s="23" t="s">
        <v>3083</v>
      </c>
      <c r="R30" s="23" t="s">
        <v>3084</v>
      </c>
      <c r="S30" s="23" t="s">
        <v>3059</v>
      </c>
    </row>
    <row r="31" spans="1:19" ht="43.5" customHeight="1" x14ac:dyDescent="0.2">
      <c r="A31" s="25" t="s">
        <v>182</v>
      </c>
      <c r="B31" s="25" t="s">
        <v>182</v>
      </c>
      <c r="C31" s="25" t="s">
        <v>3054</v>
      </c>
      <c r="D31" s="25" t="s">
        <v>2805</v>
      </c>
      <c r="E31" s="25" t="s">
        <v>2804</v>
      </c>
      <c r="F31" s="25" t="s">
        <v>3057</v>
      </c>
      <c r="G31" s="25" t="s">
        <v>2753</v>
      </c>
      <c r="H31" s="25" t="s">
        <v>2788</v>
      </c>
      <c r="I31" s="25" t="s">
        <v>3049</v>
      </c>
      <c r="J31" s="25" t="s">
        <v>3049</v>
      </c>
      <c r="K31" s="25"/>
      <c r="L31" s="25"/>
      <c r="M31" s="25" t="s">
        <v>3072</v>
      </c>
      <c r="N31" s="25" t="s">
        <v>886</v>
      </c>
      <c r="O31" s="25" t="s">
        <v>2726</v>
      </c>
      <c r="P31" s="25" t="s">
        <v>2788</v>
      </c>
      <c r="Q31" s="25" t="s">
        <v>2789</v>
      </c>
      <c r="R31" s="25" t="s">
        <v>2790</v>
      </c>
      <c r="S31" s="25" t="s">
        <v>3059</v>
      </c>
    </row>
    <row r="32" spans="1:19" ht="87" customHeight="1" x14ac:dyDescent="0.2">
      <c r="A32" s="23" t="s">
        <v>182</v>
      </c>
      <c r="B32" s="23" t="s">
        <v>182</v>
      </c>
      <c r="C32" s="23" t="s">
        <v>3045</v>
      </c>
      <c r="D32" s="23" t="s">
        <v>2807</v>
      </c>
      <c r="E32" s="23" t="s">
        <v>184</v>
      </c>
      <c r="F32" s="23" t="s">
        <v>3063</v>
      </c>
      <c r="G32" s="23" t="s">
        <v>3047</v>
      </c>
      <c r="H32" s="23" t="s">
        <v>3067</v>
      </c>
      <c r="I32" s="23" t="s">
        <v>3049</v>
      </c>
      <c r="J32" s="23" t="s">
        <v>3049</v>
      </c>
      <c r="K32" s="23" t="s">
        <v>3061</v>
      </c>
      <c r="L32" s="23"/>
      <c r="M32" s="23"/>
      <c r="N32" s="23" t="s">
        <v>2725</v>
      </c>
      <c r="O32" s="23" t="s">
        <v>2726</v>
      </c>
      <c r="P32" s="23" t="s">
        <v>3067</v>
      </c>
      <c r="Q32" s="23" t="s">
        <v>3083</v>
      </c>
      <c r="R32" s="23" t="s">
        <v>3084</v>
      </c>
      <c r="S32" s="23" t="s">
        <v>3086</v>
      </c>
    </row>
    <row r="33" spans="1:19" ht="87" customHeight="1" x14ac:dyDescent="0.2">
      <c r="A33" s="25" t="s">
        <v>182</v>
      </c>
      <c r="B33" s="25" t="s">
        <v>182</v>
      </c>
      <c r="C33" s="25" t="s">
        <v>3054</v>
      </c>
      <c r="D33" s="25" t="s">
        <v>2807</v>
      </c>
      <c r="E33" s="25" t="s">
        <v>184</v>
      </c>
      <c r="F33" s="25" t="s">
        <v>3063</v>
      </c>
      <c r="G33" s="25" t="s">
        <v>3047</v>
      </c>
      <c r="H33" s="25" t="s">
        <v>2788</v>
      </c>
      <c r="I33" s="25" t="s">
        <v>3049</v>
      </c>
      <c r="J33" s="25" t="s">
        <v>3049</v>
      </c>
      <c r="K33" s="25" t="s">
        <v>3064</v>
      </c>
      <c r="L33" s="25"/>
      <c r="M33" s="25"/>
      <c r="N33" s="25" t="s">
        <v>2725</v>
      </c>
      <c r="O33" s="25" t="s">
        <v>2726</v>
      </c>
      <c r="P33" s="25" t="s">
        <v>2788</v>
      </c>
      <c r="Q33" s="25" t="s">
        <v>2789</v>
      </c>
      <c r="R33" s="25" t="s">
        <v>2790</v>
      </c>
      <c r="S33" s="25" t="s">
        <v>3086</v>
      </c>
    </row>
    <row r="34" spans="1:19" ht="58" customHeight="1" x14ac:dyDescent="0.2">
      <c r="A34" s="23" t="s">
        <v>190</v>
      </c>
      <c r="B34" s="23" t="s">
        <v>190</v>
      </c>
      <c r="C34" s="23" t="s">
        <v>3045</v>
      </c>
      <c r="D34" s="23" t="s">
        <v>2817</v>
      </c>
      <c r="E34" s="23" t="s">
        <v>191</v>
      </c>
      <c r="F34" s="23" t="s">
        <v>3063</v>
      </c>
      <c r="G34" s="23" t="s">
        <v>3047</v>
      </c>
      <c r="H34" s="23" t="s">
        <v>3087</v>
      </c>
      <c r="I34" s="23" t="s">
        <v>3049</v>
      </c>
      <c r="J34" s="23" t="s">
        <v>3049</v>
      </c>
      <c r="K34" s="23" t="s">
        <v>3061</v>
      </c>
      <c r="L34" s="23"/>
      <c r="M34" s="23"/>
      <c r="N34" s="23" t="s">
        <v>2818</v>
      </c>
      <c r="O34" s="23" t="s">
        <v>2703</v>
      </c>
      <c r="P34" s="23" t="s">
        <v>3087</v>
      </c>
      <c r="Q34" s="23" t="s">
        <v>3088</v>
      </c>
      <c r="R34" s="23" t="s">
        <v>3089</v>
      </c>
      <c r="S34" s="23" t="s">
        <v>3090</v>
      </c>
    </row>
    <row r="35" spans="1:19" ht="58" customHeight="1" x14ac:dyDescent="0.2">
      <c r="A35" s="25" t="s">
        <v>190</v>
      </c>
      <c r="B35" s="25" t="s">
        <v>190</v>
      </c>
      <c r="C35" s="25" t="s">
        <v>3054</v>
      </c>
      <c r="D35" s="25" t="s">
        <v>2817</v>
      </c>
      <c r="E35" s="25" t="s">
        <v>191</v>
      </c>
      <c r="F35" s="25" t="s">
        <v>3057</v>
      </c>
      <c r="G35" s="25" t="s">
        <v>3047</v>
      </c>
      <c r="H35" s="25" t="s">
        <v>2833</v>
      </c>
      <c r="I35" s="25" t="s">
        <v>3049</v>
      </c>
      <c r="J35" s="25" t="s">
        <v>3049</v>
      </c>
      <c r="K35" s="25" t="s">
        <v>3064</v>
      </c>
      <c r="L35" s="25"/>
      <c r="M35" s="25"/>
      <c r="N35" s="25" t="s">
        <v>2818</v>
      </c>
      <c r="O35" s="25" t="s">
        <v>2703</v>
      </c>
      <c r="P35" s="25" t="s">
        <v>2833</v>
      </c>
      <c r="Q35" s="25" t="s">
        <v>2834</v>
      </c>
      <c r="R35" s="25" t="s">
        <v>2835</v>
      </c>
      <c r="S35" s="25" t="s">
        <v>3090</v>
      </c>
    </row>
    <row r="36" spans="1:19" ht="43.5" customHeight="1" x14ac:dyDescent="0.2">
      <c r="A36" s="23" t="s">
        <v>190</v>
      </c>
      <c r="B36" s="23" t="s">
        <v>190</v>
      </c>
      <c r="C36" s="23" t="s">
        <v>3045</v>
      </c>
      <c r="D36" s="23" t="s">
        <v>2828</v>
      </c>
      <c r="E36" s="23" t="s">
        <v>2826</v>
      </c>
      <c r="F36" s="23" t="s">
        <v>3055</v>
      </c>
      <c r="G36" s="23" t="s">
        <v>3047</v>
      </c>
      <c r="H36" s="23" t="s">
        <v>3087</v>
      </c>
      <c r="I36" s="23" t="s">
        <v>3049</v>
      </c>
      <c r="J36" s="23" t="s">
        <v>3049</v>
      </c>
      <c r="K36" s="23"/>
      <c r="L36" s="23" t="s">
        <v>3091</v>
      </c>
      <c r="M36" s="23"/>
      <c r="N36" s="23" t="s">
        <v>886</v>
      </c>
      <c r="O36" s="23" t="s">
        <v>2703</v>
      </c>
      <c r="P36" s="23" t="s">
        <v>3087</v>
      </c>
      <c r="Q36" s="23" t="s">
        <v>3088</v>
      </c>
      <c r="R36" s="23" t="s">
        <v>3089</v>
      </c>
      <c r="S36" s="23" t="s">
        <v>3092</v>
      </c>
    </row>
    <row r="37" spans="1:19" ht="43.5" customHeight="1" x14ac:dyDescent="0.2">
      <c r="A37" s="25" t="s">
        <v>190</v>
      </c>
      <c r="B37" s="25" t="s">
        <v>190</v>
      </c>
      <c r="C37" s="25" t="s">
        <v>3054</v>
      </c>
      <c r="D37" s="25" t="s">
        <v>2828</v>
      </c>
      <c r="E37" s="25" t="s">
        <v>2827</v>
      </c>
      <c r="F37" s="25" t="s">
        <v>3046</v>
      </c>
      <c r="G37" s="25" t="s">
        <v>2819</v>
      </c>
      <c r="H37" s="25" t="s">
        <v>2833</v>
      </c>
      <c r="I37" s="25" t="s">
        <v>3049</v>
      </c>
      <c r="J37" s="25" t="s">
        <v>3049</v>
      </c>
      <c r="K37" s="25"/>
      <c r="L37" s="25"/>
      <c r="M37" s="25" t="s">
        <v>3093</v>
      </c>
      <c r="N37" s="25" t="s">
        <v>886</v>
      </c>
      <c r="O37" s="25" t="s">
        <v>2703</v>
      </c>
      <c r="P37" s="25" t="s">
        <v>2833</v>
      </c>
      <c r="Q37" s="25" t="s">
        <v>2834</v>
      </c>
      <c r="R37" s="25" t="s">
        <v>2835</v>
      </c>
      <c r="S37" s="25" t="s">
        <v>3092</v>
      </c>
    </row>
    <row r="38" spans="1:19" ht="43.5" customHeight="1" x14ac:dyDescent="0.2">
      <c r="A38" s="23" t="s">
        <v>190</v>
      </c>
      <c r="B38" s="23" t="s">
        <v>190</v>
      </c>
      <c r="C38" s="23" t="s">
        <v>3045</v>
      </c>
      <c r="D38" s="23" t="s">
        <v>2831</v>
      </c>
      <c r="E38" s="23" t="s">
        <v>192</v>
      </c>
      <c r="F38" s="23" t="s">
        <v>3057</v>
      </c>
      <c r="G38" s="23" t="s">
        <v>3047</v>
      </c>
      <c r="H38" s="23" t="s">
        <v>3087</v>
      </c>
      <c r="I38" s="23" t="s">
        <v>3049</v>
      </c>
      <c r="J38" s="23" t="s">
        <v>3049</v>
      </c>
      <c r="K38" s="23" t="s">
        <v>3061</v>
      </c>
      <c r="L38" s="23"/>
      <c r="M38" s="23"/>
      <c r="N38" s="23" t="s">
        <v>2720</v>
      </c>
      <c r="O38" s="23" t="s">
        <v>2703</v>
      </c>
      <c r="P38" s="23" t="s">
        <v>3087</v>
      </c>
      <c r="Q38" s="23" t="s">
        <v>3088</v>
      </c>
      <c r="R38" s="23" t="s">
        <v>3089</v>
      </c>
      <c r="S38" s="23" t="s">
        <v>3094</v>
      </c>
    </row>
    <row r="39" spans="1:19" ht="43.5" customHeight="1" x14ac:dyDescent="0.2">
      <c r="A39" s="25" t="s">
        <v>190</v>
      </c>
      <c r="B39" s="25" t="s">
        <v>190</v>
      </c>
      <c r="C39" s="25" t="s">
        <v>3054</v>
      </c>
      <c r="D39" s="25" t="s">
        <v>2831</v>
      </c>
      <c r="E39" s="25" t="s">
        <v>192</v>
      </c>
      <c r="F39" s="25" t="s">
        <v>3063</v>
      </c>
      <c r="G39" s="25" t="s">
        <v>3047</v>
      </c>
      <c r="H39" s="25" t="s">
        <v>2833</v>
      </c>
      <c r="I39" s="25" t="s">
        <v>3049</v>
      </c>
      <c r="J39" s="25" t="s">
        <v>3049</v>
      </c>
      <c r="K39" s="25" t="s">
        <v>3064</v>
      </c>
      <c r="L39" s="25"/>
      <c r="M39" s="25"/>
      <c r="N39" s="25" t="s">
        <v>2720</v>
      </c>
      <c r="O39" s="25" t="s">
        <v>2703</v>
      </c>
      <c r="P39" s="25" t="s">
        <v>2833</v>
      </c>
      <c r="Q39" s="25" t="s">
        <v>2834</v>
      </c>
      <c r="R39" s="25" t="s">
        <v>2835</v>
      </c>
      <c r="S39" s="25" t="s">
        <v>3094</v>
      </c>
    </row>
    <row r="40" spans="1:19" ht="43.5" customHeight="1" x14ac:dyDescent="0.2">
      <c r="A40" s="23" t="s">
        <v>190</v>
      </c>
      <c r="B40" s="23" t="s">
        <v>190</v>
      </c>
      <c r="C40" s="23" t="s">
        <v>3045</v>
      </c>
      <c r="D40" s="23" t="s">
        <v>2839</v>
      </c>
      <c r="E40" s="23" t="s">
        <v>2838</v>
      </c>
      <c r="F40" s="23" t="s">
        <v>3057</v>
      </c>
      <c r="G40" s="23" t="s">
        <v>3047</v>
      </c>
      <c r="H40" s="23" t="s">
        <v>3087</v>
      </c>
      <c r="I40" s="23" t="s">
        <v>3049</v>
      </c>
      <c r="J40" s="23" t="s">
        <v>3049</v>
      </c>
      <c r="K40" s="23" t="s">
        <v>3061</v>
      </c>
      <c r="L40" s="23"/>
      <c r="M40" s="23"/>
      <c r="N40" s="23" t="s">
        <v>2725</v>
      </c>
      <c r="O40" s="23" t="s">
        <v>2703</v>
      </c>
      <c r="P40" s="23" t="s">
        <v>3087</v>
      </c>
      <c r="Q40" s="23" t="s">
        <v>3088</v>
      </c>
      <c r="R40" s="23" t="s">
        <v>3089</v>
      </c>
      <c r="S40" s="23" t="s">
        <v>3059</v>
      </c>
    </row>
    <row r="41" spans="1:19" ht="43.5" customHeight="1" x14ac:dyDescent="0.2">
      <c r="A41" s="25" t="s">
        <v>190</v>
      </c>
      <c r="B41" s="25" t="s">
        <v>190</v>
      </c>
      <c r="C41" s="25" t="s">
        <v>3054</v>
      </c>
      <c r="D41" s="25" t="s">
        <v>2839</v>
      </c>
      <c r="E41" s="25" t="s">
        <v>2838</v>
      </c>
      <c r="F41" s="25" t="s">
        <v>3057</v>
      </c>
      <c r="G41" s="25" t="s">
        <v>3047</v>
      </c>
      <c r="H41" s="25" t="s">
        <v>2833</v>
      </c>
      <c r="I41" s="25" t="s">
        <v>3049</v>
      </c>
      <c r="J41" s="25" t="s">
        <v>3049</v>
      </c>
      <c r="K41" s="25" t="s">
        <v>3064</v>
      </c>
      <c r="L41" s="25"/>
      <c r="M41" s="25"/>
      <c r="N41" s="25" t="s">
        <v>2725</v>
      </c>
      <c r="O41" s="25" t="s">
        <v>2703</v>
      </c>
      <c r="P41" s="25" t="s">
        <v>2833</v>
      </c>
      <c r="Q41" s="25" t="s">
        <v>2834</v>
      </c>
      <c r="R41" s="25" t="s">
        <v>2835</v>
      </c>
      <c r="S41" s="25" t="s">
        <v>3059</v>
      </c>
    </row>
    <row r="42" spans="1:19" ht="43.5" customHeight="1" x14ac:dyDescent="0.2">
      <c r="A42" s="23" t="s">
        <v>190</v>
      </c>
      <c r="B42" s="23" t="s">
        <v>190</v>
      </c>
      <c r="C42" s="23" t="s">
        <v>3045</v>
      </c>
      <c r="D42" s="23" t="s">
        <v>2842</v>
      </c>
      <c r="E42" s="23" t="s">
        <v>2827</v>
      </c>
      <c r="F42" s="23" t="s">
        <v>3076</v>
      </c>
      <c r="G42" s="23" t="s">
        <v>3047</v>
      </c>
      <c r="H42" s="23" t="s">
        <v>3087</v>
      </c>
      <c r="I42" s="23" t="s">
        <v>3049</v>
      </c>
      <c r="J42" s="23" t="s">
        <v>3049</v>
      </c>
      <c r="K42" s="23"/>
      <c r="L42" s="23" t="s">
        <v>3095</v>
      </c>
      <c r="M42" s="23"/>
      <c r="N42" s="23" t="s">
        <v>886</v>
      </c>
      <c r="O42" s="23" t="s">
        <v>2703</v>
      </c>
      <c r="P42" s="23" t="s">
        <v>3087</v>
      </c>
      <c r="Q42" s="23" t="s">
        <v>3088</v>
      </c>
      <c r="R42" s="23" t="s">
        <v>3089</v>
      </c>
      <c r="S42" s="23" t="s">
        <v>3096</v>
      </c>
    </row>
    <row r="43" spans="1:19" ht="43.5" customHeight="1" x14ac:dyDescent="0.2">
      <c r="A43" s="25" t="s">
        <v>190</v>
      </c>
      <c r="B43" s="25" t="s">
        <v>190</v>
      </c>
      <c r="C43" s="25" t="s">
        <v>3054</v>
      </c>
      <c r="D43" s="25" t="s">
        <v>2842</v>
      </c>
      <c r="E43" s="25" t="s">
        <v>2841</v>
      </c>
      <c r="F43" s="25" t="s">
        <v>3076</v>
      </c>
      <c r="G43" s="25" t="s">
        <v>2832</v>
      </c>
      <c r="H43" s="25" t="s">
        <v>2833</v>
      </c>
      <c r="I43" s="25" t="s">
        <v>3049</v>
      </c>
      <c r="J43" s="25" t="s">
        <v>3049</v>
      </c>
      <c r="K43" s="25"/>
      <c r="L43" s="25"/>
      <c r="M43" s="25" t="s">
        <v>3097</v>
      </c>
      <c r="N43" s="25" t="s">
        <v>886</v>
      </c>
      <c r="O43" s="25" t="s">
        <v>2703</v>
      </c>
      <c r="P43" s="25" t="s">
        <v>2833</v>
      </c>
      <c r="Q43" s="25" t="s">
        <v>2834</v>
      </c>
      <c r="R43" s="25" t="s">
        <v>2835</v>
      </c>
      <c r="S43" s="25" t="s">
        <v>3096</v>
      </c>
    </row>
    <row r="44" spans="1:19" ht="43.5" customHeight="1" x14ac:dyDescent="0.2">
      <c r="A44" s="23" t="s">
        <v>202</v>
      </c>
      <c r="B44" s="23" t="s">
        <v>202</v>
      </c>
      <c r="C44" s="23" t="s">
        <v>3045</v>
      </c>
      <c r="D44" s="23" t="s">
        <v>2848</v>
      </c>
      <c r="E44" s="23" t="s">
        <v>203</v>
      </c>
      <c r="F44" s="23" t="s">
        <v>3098</v>
      </c>
      <c r="G44" s="23" t="s">
        <v>3047</v>
      </c>
      <c r="H44" s="23" t="s">
        <v>3099</v>
      </c>
      <c r="I44" s="23" t="s">
        <v>3049</v>
      </c>
      <c r="J44" s="23" t="s">
        <v>3049</v>
      </c>
      <c r="K44" s="23"/>
      <c r="L44" s="23" t="s">
        <v>3100</v>
      </c>
      <c r="M44" s="23"/>
      <c r="N44" s="23" t="s">
        <v>886</v>
      </c>
      <c r="O44" s="23" t="s">
        <v>2703</v>
      </c>
      <c r="P44" s="23" t="s">
        <v>3099</v>
      </c>
      <c r="Q44" s="23" t="s">
        <v>3101</v>
      </c>
      <c r="R44" s="23" t="s">
        <v>1446</v>
      </c>
      <c r="S44" s="23" t="s">
        <v>3059</v>
      </c>
    </row>
    <row r="45" spans="1:19" ht="43.5" customHeight="1" x14ac:dyDescent="0.2">
      <c r="A45" s="25" t="s">
        <v>202</v>
      </c>
      <c r="B45" s="25" t="s">
        <v>202</v>
      </c>
      <c r="C45" s="25" t="s">
        <v>3054</v>
      </c>
      <c r="D45" s="25" t="s">
        <v>2848</v>
      </c>
      <c r="E45" s="25" t="s">
        <v>2847</v>
      </c>
      <c r="F45" s="25" t="s">
        <v>3057</v>
      </c>
      <c r="G45" s="25" t="s">
        <v>2849</v>
      </c>
      <c r="H45" s="25" t="s">
        <v>2860</v>
      </c>
      <c r="I45" s="25" t="s">
        <v>3049</v>
      </c>
      <c r="J45" s="25" t="s">
        <v>3049</v>
      </c>
      <c r="K45" s="25"/>
      <c r="L45" s="25"/>
      <c r="M45" s="25" t="s">
        <v>3102</v>
      </c>
      <c r="N45" s="25" t="s">
        <v>886</v>
      </c>
      <c r="O45" s="25" t="s">
        <v>2703</v>
      </c>
      <c r="P45" s="25" t="s">
        <v>2860</v>
      </c>
      <c r="Q45" s="25" t="s">
        <v>2861</v>
      </c>
      <c r="R45" s="25" t="s">
        <v>1450</v>
      </c>
      <c r="S45" s="25" t="s">
        <v>3059</v>
      </c>
    </row>
    <row r="46" spans="1:19" ht="43.5" customHeight="1" x14ac:dyDescent="0.2">
      <c r="A46" s="23" t="s">
        <v>202</v>
      </c>
      <c r="B46" s="23" t="s">
        <v>202</v>
      </c>
      <c r="C46" s="23" t="s">
        <v>3045</v>
      </c>
      <c r="D46" s="23" t="s">
        <v>2856</v>
      </c>
      <c r="E46" s="23" t="s">
        <v>2855</v>
      </c>
      <c r="F46" s="23" t="s">
        <v>3073</v>
      </c>
      <c r="G46" s="23" t="s">
        <v>3047</v>
      </c>
      <c r="H46" s="23" t="s">
        <v>3099</v>
      </c>
      <c r="I46" s="23" t="s">
        <v>3049</v>
      </c>
      <c r="J46" s="23" t="s">
        <v>3049</v>
      </c>
      <c r="K46" s="23" t="s">
        <v>3061</v>
      </c>
      <c r="L46" s="23"/>
      <c r="M46" s="23"/>
      <c r="N46" s="23" t="s">
        <v>2720</v>
      </c>
      <c r="O46" s="23" t="s">
        <v>2703</v>
      </c>
      <c r="P46" s="23" t="s">
        <v>3099</v>
      </c>
      <c r="Q46" s="23" t="s">
        <v>3101</v>
      </c>
      <c r="R46" s="23" t="s">
        <v>1446</v>
      </c>
      <c r="S46" s="23" t="s">
        <v>3059</v>
      </c>
    </row>
    <row r="47" spans="1:19" ht="43.5" customHeight="1" x14ac:dyDescent="0.2">
      <c r="A47" s="25" t="s">
        <v>202</v>
      </c>
      <c r="B47" s="25" t="s">
        <v>202</v>
      </c>
      <c r="C47" s="25" t="s">
        <v>3054</v>
      </c>
      <c r="D47" s="25" t="s">
        <v>2856</v>
      </c>
      <c r="E47" s="25" t="s">
        <v>2855</v>
      </c>
      <c r="F47" s="25" t="s">
        <v>3046</v>
      </c>
      <c r="G47" s="25" t="s">
        <v>3047</v>
      </c>
      <c r="H47" s="25" t="s">
        <v>2860</v>
      </c>
      <c r="I47" s="25" t="s">
        <v>3049</v>
      </c>
      <c r="J47" s="25" t="s">
        <v>3049</v>
      </c>
      <c r="K47" s="25" t="s">
        <v>3064</v>
      </c>
      <c r="L47" s="25"/>
      <c r="M47" s="25"/>
      <c r="N47" s="25" t="s">
        <v>2720</v>
      </c>
      <c r="O47" s="25" t="s">
        <v>2703</v>
      </c>
      <c r="P47" s="25" t="s">
        <v>2860</v>
      </c>
      <c r="Q47" s="25" t="s">
        <v>2861</v>
      </c>
      <c r="R47" s="25" t="s">
        <v>1450</v>
      </c>
      <c r="S47" s="25" t="s">
        <v>3059</v>
      </c>
    </row>
    <row r="48" spans="1:19" ht="43.5" customHeight="1" x14ac:dyDescent="0.2">
      <c r="A48" s="23" t="s">
        <v>202</v>
      </c>
      <c r="B48" s="23" t="s">
        <v>202</v>
      </c>
      <c r="C48" s="23" t="s">
        <v>3045</v>
      </c>
      <c r="D48" s="23" t="s">
        <v>2859</v>
      </c>
      <c r="E48" s="23" t="s">
        <v>2858</v>
      </c>
      <c r="F48" s="23" t="s">
        <v>3057</v>
      </c>
      <c r="G48" s="23" t="s">
        <v>3047</v>
      </c>
      <c r="H48" s="23" t="s">
        <v>3099</v>
      </c>
      <c r="I48" s="23" t="s">
        <v>3049</v>
      </c>
      <c r="J48" s="23" t="s">
        <v>3049</v>
      </c>
      <c r="K48" s="23" t="s">
        <v>3061</v>
      </c>
      <c r="L48" s="23"/>
      <c r="M48" s="23"/>
      <c r="N48" s="23" t="s">
        <v>2725</v>
      </c>
      <c r="O48" s="23" t="s">
        <v>2703</v>
      </c>
      <c r="P48" s="23" t="s">
        <v>3099</v>
      </c>
      <c r="Q48" s="23" t="s">
        <v>3101</v>
      </c>
      <c r="R48" s="23" t="s">
        <v>1446</v>
      </c>
      <c r="S48" s="23" t="s">
        <v>3103</v>
      </c>
    </row>
    <row r="49" spans="1:19" ht="43.5" customHeight="1" x14ac:dyDescent="0.2">
      <c r="A49" s="25" t="s">
        <v>202</v>
      </c>
      <c r="B49" s="25" t="s">
        <v>202</v>
      </c>
      <c r="C49" s="25" t="s">
        <v>3054</v>
      </c>
      <c r="D49" s="25" t="s">
        <v>2859</v>
      </c>
      <c r="E49" s="25" t="s">
        <v>2858</v>
      </c>
      <c r="F49" s="25" t="s">
        <v>3057</v>
      </c>
      <c r="G49" s="25" t="s">
        <v>3047</v>
      </c>
      <c r="H49" s="25" t="s">
        <v>2860</v>
      </c>
      <c r="I49" s="25" t="s">
        <v>3049</v>
      </c>
      <c r="J49" s="25" t="s">
        <v>3049</v>
      </c>
      <c r="K49" s="25" t="s">
        <v>3064</v>
      </c>
      <c r="L49" s="25"/>
      <c r="M49" s="25"/>
      <c r="N49" s="25" t="s">
        <v>2725</v>
      </c>
      <c r="O49" s="25" t="s">
        <v>2703</v>
      </c>
      <c r="P49" s="25" t="s">
        <v>2860</v>
      </c>
      <c r="Q49" s="25" t="s">
        <v>2861</v>
      </c>
      <c r="R49" s="25" t="s">
        <v>1450</v>
      </c>
      <c r="S49" s="25" t="s">
        <v>3103</v>
      </c>
    </row>
    <row r="50" spans="1:19" ht="43.5" customHeight="1" x14ac:dyDescent="0.2">
      <c r="A50" s="23" t="s">
        <v>202</v>
      </c>
      <c r="B50" s="23" t="s">
        <v>202</v>
      </c>
      <c r="C50" s="23" t="s">
        <v>3045</v>
      </c>
      <c r="D50" s="23" t="s">
        <v>2866</v>
      </c>
      <c r="E50" s="23" t="s">
        <v>2864</v>
      </c>
      <c r="F50" s="23" t="s">
        <v>3081</v>
      </c>
      <c r="G50" s="23" t="s">
        <v>3047</v>
      </c>
      <c r="H50" s="23" t="s">
        <v>3099</v>
      </c>
      <c r="I50" s="23" t="s">
        <v>3049</v>
      </c>
      <c r="J50" s="23" t="s">
        <v>3049</v>
      </c>
      <c r="K50" s="23"/>
      <c r="L50" s="23" t="s">
        <v>3100</v>
      </c>
      <c r="M50" s="23"/>
      <c r="N50" s="23" t="s">
        <v>886</v>
      </c>
      <c r="O50" s="23" t="s">
        <v>2703</v>
      </c>
      <c r="P50" s="23" t="s">
        <v>3099</v>
      </c>
      <c r="Q50" s="23" t="s">
        <v>3101</v>
      </c>
      <c r="R50" s="23" t="s">
        <v>1446</v>
      </c>
      <c r="S50" s="23" t="s">
        <v>3059</v>
      </c>
    </row>
    <row r="51" spans="1:19" ht="43.5" customHeight="1" x14ac:dyDescent="0.2">
      <c r="A51" s="25" t="s">
        <v>202</v>
      </c>
      <c r="B51" s="25" t="s">
        <v>202</v>
      </c>
      <c r="C51" s="25" t="s">
        <v>3054</v>
      </c>
      <c r="D51" s="25" t="s">
        <v>2866</v>
      </c>
      <c r="E51" s="25" t="s">
        <v>2865</v>
      </c>
      <c r="F51" s="25" t="s">
        <v>3076</v>
      </c>
      <c r="G51" s="25" t="s">
        <v>2849</v>
      </c>
      <c r="H51" s="25" t="s">
        <v>2860</v>
      </c>
      <c r="I51" s="25" t="s">
        <v>3049</v>
      </c>
      <c r="J51" s="25" t="s">
        <v>3049</v>
      </c>
      <c r="K51" s="25"/>
      <c r="L51" s="25"/>
      <c r="M51" s="25" t="s">
        <v>3102</v>
      </c>
      <c r="N51" s="25" t="s">
        <v>886</v>
      </c>
      <c r="O51" s="25" t="s">
        <v>2703</v>
      </c>
      <c r="P51" s="25" t="s">
        <v>2860</v>
      </c>
      <c r="Q51" s="25" t="s">
        <v>2861</v>
      </c>
      <c r="R51" s="25" t="s">
        <v>1450</v>
      </c>
      <c r="S51" s="25" t="s">
        <v>3059</v>
      </c>
    </row>
    <row r="52" spans="1:19" ht="43.5" customHeight="1" x14ac:dyDescent="0.2">
      <c r="A52" s="23" t="s">
        <v>202</v>
      </c>
      <c r="B52" s="23" t="s">
        <v>202</v>
      </c>
      <c r="C52" s="23" t="s">
        <v>3045</v>
      </c>
      <c r="D52" s="23" t="s">
        <v>2869</v>
      </c>
      <c r="E52" s="23" t="s">
        <v>2868</v>
      </c>
      <c r="F52" s="23" t="s">
        <v>3076</v>
      </c>
      <c r="G52" s="23" t="s">
        <v>3047</v>
      </c>
      <c r="H52" s="23" t="s">
        <v>3099</v>
      </c>
      <c r="I52" s="23" t="s">
        <v>3049</v>
      </c>
      <c r="J52" s="23" t="s">
        <v>3049</v>
      </c>
      <c r="K52" s="23"/>
      <c r="L52" s="23" t="s">
        <v>3100</v>
      </c>
      <c r="M52" s="23"/>
      <c r="N52" s="23" t="s">
        <v>886</v>
      </c>
      <c r="O52" s="23" t="s">
        <v>2703</v>
      </c>
      <c r="P52" s="23" t="s">
        <v>3099</v>
      </c>
      <c r="Q52" s="23" t="s">
        <v>3101</v>
      </c>
      <c r="R52" s="23" t="s">
        <v>1446</v>
      </c>
      <c r="S52" s="23" t="s">
        <v>3104</v>
      </c>
    </row>
    <row r="53" spans="1:19" ht="43.5" customHeight="1" x14ac:dyDescent="0.2">
      <c r="A53" s="25" t="s">
        <v>202</v>
      </c>
      <c r="B53" s="25" t="s">
        <v>202</v>
      </c>
      <c r="C53" s="25" t="s">
        <v>3054</v>
      </c>
      <c r="D53" s="25" t="s">
        <v>2869</v>
      </c>
      <c r="E53" s="25" t="s">
        <v>203</v>
      </c>
      <c r="F53" s="25" t="s">
        <v>3098</v>
      </c>
      <c r="G53" s="25" t="s">
        <v>2849</v>
      </c>
      <c r="H53" s="25" t="s">
        <v>2860</v>
      </c>
      <c r="I53" s="25" t="s">
        <v>3049</v>
      </c>
      <c r="J53" s="25" t="s">
        <v>3049</v>
      </c>
      <c r="K53" s="25"/>
      <c r="L53" s="25"/>
      <c r="M53" s="25" t="s">
        <v>3102</v>
      </c>
      <c r="N53" s="25" t="s">
        <v>886</v>
      </c>
      <c r="O53" s="25" t="s">
        <v>2703</v>
      </c>
      <c r="P53" s="25" t="s">
        <v>2860</v>
      </c>
      <c r="Q53" s="25" t="s">
        <v>2861</v>
      </c>
      <c r="R53" s="25" t="s">
        <v>1450</v>
      </c>
      <c r="S53" s="25" t="s">
        <v>3104</v>
      </c>
    </row>
    <row r="54" spans="1:19" ht="43.5" customHeight="1" x14ac:dyDescent="0.2">
      <c r="A54" s="23" t="s">
        <v>131</v>
      </c>
      <c r="B54" s="23" t="s">
        <v>131</v>
      </c>
      <c r="C54" s="23" t="s">
        <v>3045</v>
      </c>
      <c r="D54" s="23" t="s">
        <v>2842</v>
      </c>
      <c r="E54" s="23" t="s">
        <v>2873</v>
      </c>
      <c r="F54" s="23" t="s">
        <v>3057</v>
      </c>
      <c r="G54" s="23" t="s">
        <v>3047</v>
      </c>
      <c r="H54" s="23" t="s">
        <v>3105</v>
      </c>
      <c r="I54" s="23" t="s">
        <v>3049</v>
      </c>
      <c r="J54" s="23" t="s">
        <v>3049</v>
      </c>
      <c r="K54" s="23" t="s">
        <v>3061</v>
      </c>
      <c r="L54" s="23"/>
      <c r="M54" s="23"/>
      <c r="N54" s="23" t="s">
        <v>2725</v>
      </c>
      <c r="O54" s="23" t="s">
        <v>2703</v>
      </c>
      <c r="P54" s="23" t="s">
        <v>3105</v>
      </c>
      <c r="Q54" s="23" t="s">
        <v>3106</v>
      </c>
      <c r="R54" s="23" t="s">
        <v>3107</v>
      </c>
      <c r="S54" s="23" t="s">
        <v>3059</v>
      </c>
    </row>
    <row r="55" spans="1:19" ht="43.5" customHeight="1" x14ac:dyDescent="0.2">
      <c r="A55" s="25" t="s">
        <v>131</v>
      </c>
      <c r="B55" s="25" t="s">
        <v>131</v>
      </c>
      <c r="C55" s="25" t="s">
        <v>3054</v>
      </c>
      <c r="D55" s="25" t="s">
        <v>2842</v>
      </c>
      <c r="E55" s="25" t="s">
        <v>2873</v>
      </c>
      <c r="F55" s="25" t="s">
        <v>3057</v>
      </c>
      <c r="G55" s="25" t="s">
        <v>3047</v>
      </c>
      <c r="H55" s="25" t="s">
        <v>2874</v>
      </c>
      <c r="I55" s="25" t="s">
        <v>3049</v>
      </c>
      <c r="J55" s="25" t="s">
        <v>3049</v>
      </c>
      <c r="K55" s="25" t="s">
        <v>3064</v>
      </c>
      <c r="L55" s="25"/>
      <c r="M55" s="25"/>
      <c r="N55" s="25" t="s">
        <v>2725</v>
      </c>
      <c r="O55" s="25" t="s">
        <v>2703</v>
      </c>
      <c r="P55" s="25" t="s">
        <v>2874</v>
      </c>
      <c r="Q55" s="25" t="s">
        <v>2875</v>
      </c>
      <c r="R55" s="25" t="s">
        <v>2876</v>
      </c>
      <c r="S55" s="25" t="s">
        <v>3059</v>
      </c>
    </row>
    <row r="56" spans="1:19" ht="43.5" customHeight="1" x14ac:dyDescent="0.2">
      <c r="A56" s="23" t="s">
        <v>131</v>
      </c>
      <c r="B56" s="23" t="s">
        <v>131</v>
      </c>
      <c r="C56" s="23" t="s">
        <v>3045</v>
      </c>
      <c r="D56" s="23" t="s">
        <v>2880</v>
      </c>
      <c r="E56" s="23" t="s">
        <v>2879</v>
      </c>
      <c r="F56" s="23" t="s">
        <v>3076</v>
      </c>
      <c r="G56" s="23" t="s">
        <v>3047</v>
      </c>
      <c r="H56" s="23" t="s">
        <v>3105</v>
      </c>
      <c r="I56" s="23" t="s">
        <v>3049</v>
      </c>
      <c r="J56" s="23" t="s">
        <v>3049</v>
      </c>
      <c r="K56" s="23" t="s">
        <v>3061</v>
      </c>
      <c r="L56" s="23"/>
      <c r="M56" s="23"/>
      <c r="N56" s="23" t="s">
        <v>2725</v>
      </c>
      <c r="O56" s="23" t="s">
        <v>2703</v>
      </c>
      <c r="P56" s="23" t="s">
        <v>3105</v>
      </c>
      <c r="Q56" s="23" t="s">
        <v>3106</v>
      </c>
      <c r="R56" s="23" t="s">
        <v>3107</v>
      </c>
      <c r="S56" s="23" t="s">
        <v>3108</v>
      </c>
    </row>
    <row r="57" spans="1:19" ht="43.5" customHeight="1" x14ac:dyDescent="0.2">
      <c r="A57" s="25" t="s">
        <v>131</v>
      </c>
      <c r="B57" s="25" t="s">
        <v>131</v>
      </c>
      <c r="C57" s="25" t="s">
        <v>3054</v>
      </c>
      <c r="D57" s="25" t="s">
        <v>2880</v>
      </c>
      <c r="E57" s="25" t="s">
        <v>2879</v>
      </c>
      <c r="F57" s="25" t="s">
        <v>3109</v>
      </c>
      <c r="G57" s="25" t="s">
        <v>3047</v>
      </c>
      <c r="H57" s="25" t="s">
        <v>2874</v>
      </c>
      <c r="I57" s="25" t="s">
        <v>3049</v>
      </c>
      <c r="J57" s="25" t="s">
        <v>3049</v>
      </c>
      <c r="K57" s="25" t="s">
        <v>3064</v>
      </c>
      <c r="L57" s="25"/>
      <c r="M57" s="25"/>
      <c r="N57" s="25" t="s">
        <v>2725</v>
      </c>
      <c r="O57" s="25" t="s">
        <v>2703</v>
      </c>
      <c r="P57" s="25" t="s">
        <v>2874</v>
      </c>
      <c r="Q57" s="25" t="s">
        <v>2875</v>
      </c>
      <c r="R57" s="25" t="s">
        <v>2876</v>
      </c>
      <c r="S57" s="25" t="s">
        <v>3108</v>
      </c>
    </row>
    <row r="58" spans="1:19" ht="43.5" customHeight="1" x14ac:dyDescent="0.2">
      <c r="A58" s="23" t="s">
        <v>131</v>
      </c>
      <c r="B58" s="23" t="s">
        <v>131</v>
      </c>
      <c r="C58" s="23" t="s">
        <v>3045</v>
      </c>
      <c r="D58" s="23" t="s">
        <v>2884</v>
      </c>
      <c r="E58" s="23" t="s">
        <v>2882</v>
      </c>
      <c r="F58" s="23" t="s">
        <v>3057</v>
      </c>
      <c r="G58" s="23" t="s">
        <v>3047</v>
      </c>
      <c r="H58" s="23" t="s">
        <v>3105</v>
      </c>
      <c r="I58" s="23" t="s">
        <v>3049</v>
      </c>
      <c r="J58" s="23" t="s">
        <v>3049</v>
      </c>
      <c r="K58" s="23"/>
      <c r="L58" s="23" t="s">
        <v>3110</v>
      </c>
      <c r="M58" s="23"/>
      <c r="N58" s="23" t="s">
        <v>886</v>
      </c>
      <c r="O58" s="23" t="s">
        <v>2703</v>
      </c>
      <c r="P58" s="23" t="s">
        <v>3105</v>
      </c>
      <c r="Q58" s="23" t="s">
        <v>3106</v>
      </c>
      <c r="R58" s="23" t="s">
        <v>3107</v>
      </c>
      <c r="S58" s="23" t="s">
        <v>3111</v>
      </c>
    </row>
    <row r="59" spans="1:19" ht="43.5" customHeight="1" x14ac:dyDescent="0.2">
      <c r="A59" s="25" t="s">
        <v>131</v>
      </c>
      <c r="B59" s="25" t="s">
        <v>131</v>
      </c>
      <c r="C59" s="25" t="s">
        <v>3054</v>
      </c>
      <c r="D59" s="25" t="s">
        <v>2884</v>
      </c>
      <c r="E59" s="25" t="s">
        <v>2883</v>
      </c>
      <c r="F59" s="25" t="s">
        <v>3057</v>
      </c>
      <c r="G59" s="25" t="s">
        <v>2885</v>
      </c>
      <c r="H59" s="25" t="s">
        <v>2874</v>
      </c>
      <c r="I59" s="25" t="s">
        <v>3049</v>
      </c>
      <c r="J59" s="25" t="s">
        <v>3049</v>
      </c>
      <c r="K59" s="25"/>
      <c r="L59" s="25"/>
      <c r="M59" s="25" t="s">
        <v>3112</v>
      </c>
      <c r="N59" s="25" t="s">
        <v>886</v>
      </c>
      <c r="O59" s="25" t="s">
        <v>2703</v>
      </c>
      <c r="P59" s="25" t="s">
        <v>2874</v>
      </c>
      <c r="Q59" s="25" t="s">
        <v>2875</v>
      </c>
      <c r="R59" s="25" t="s">
        <v>2876</v>
      </c>
      <c r="S59" s="25" t="s">
        <v>3111</v>
      </c>
    </row>
    <row r="60" spans="1:19" ht="43.5" customHeight="1" x14ac:dyDescent="0.2">
      <c r="A60" s="23" t="s">
        <v>131</v>
      </c>
      <c r="B60" s="23" t="s">
        <v>131</v>
      </c>
      <c r="C60" s="23" t="s">
        <v>3045</v>
      </c>
      <c r="D60" s="23" t="s">
        <v>2888</v>
      </c>
      <c r="E60" s="23" t="s">
        <v>132</v>
      </c>
      <c r="F60" s="23" t="s">
        <v>3098</v>
      </c>
      <c r="G60" s="23" t="s">
        <v>3047</v>
      </c>
      <c r="H60" s="23" t="s">
        <v>3105</v>
      </c>
      <c r="I60" s="23" t="s">
        <v>3049</v>
      </c>
      <c r="J60" s="23" t="s">
        <v>3049</v>
      </c>
      <c r="K60" s="23" t="s">
        <v>3061</v>
      </c>
      <c r="L60" s="23"/>
      <c r="M60" s="23"/>
      <c r="N60" s="23" t="s">
        <v>2725</v>
      </c>
      <c r="O60" s="23" t="s">
        <v>2703</v>
      </c>
      <c r="P60" s="23" t="s">
        <v>3105</v>
      </c>
      <c r="Q60" s="23" t="s">
        <v>3106</v>
      </c>
      <c r="R60" s="23" t="s">
        <v>3107</v>
      </c>
      <c r="S60" s="23" t="s">
        <v>3059</v>
      </c>
    </row>
    <row r="61" spans="1:19" ht="43.5" customHeight="1" x14ac:dyDescent="0.2">
      <c r="A61" s="25" t="s">
        <v>131</v>
      </c>
      <c r="B61" s="25" t="s">
        <v>131</v>
      </c>
      <c r="C61" s="25" t="s">
        <v>3054</v>
      </c>
      <c r="D61" s="25" t="s">
        <v>2888</v>
      </c>
      <c r="E61" s="25" t="s">
        <v>132</v>
      </c>
      <c r="F61" s="25" t="s">
        <v>3098</v>
      </c>
      <c r="G61" s="25" t="s">
        <v>3047</v>
      </c>
      <c r="H61" s="25" t="s">
        <v>2874</v>
      </c>
      <c r="I61" s="25" t="s">
        <v>3049</v>
      </c>
      <c r="J61" s="25" t="s">
        <v>3049</v>
      </c>
      <c r="K61" s="25" t="s">
        <v>3064</v>
      </c>
      <c r="L61" s="25"/>
      <c r="M61" s="25"/>
      <c r="N61" s="25" t="s">
        <v>2725</v>
      </c>
      <c r="O61" s="25" t="s">
        <v>2703</v>
      </c>
      <c r="P61" s="25" t="s">
        <v>2874</v>
      </c>
      <c r="Q61" s="25" t="s">
        <v>2875</v>
      </c>
      <c r="R61" s="25" t="s">
        <v>2876</v>
      </c>
      <c r="S61" s="25" t="s">
        <v>3059</v>
      </c>
    </row>
    <row r="62" spans="1:19" ht="43.5" customHeight="1" x14ac:dyDescent="0.2">
      <c r="A62" s="23" t="s">
        <v>131</v>
      </c>
      <c r="B62" s="23" t="s">
        <v>131</v>
      </c>
      <c r="C62" s="23" t="s">
        <v>3045</v>
      </c>
      <c r="D62" s="23" t="s">
        <v>2890</v>
      </c>
      <c r="E62" s="23" t="s">
        <v>2889</v>
      </c>
      <c r="F62" s="23" t="s">
        <v>3046</v>
      </c>
      <c r="G62" s="23" t="s">
        <v>3047</v>
      </c>
      <c r="H62" s="23" t="s">
        <v>3105</v>
      </c>
      <c r="I62" s="23" t="s">
        <v>3049</v>
      </c>
      <c r="J62" s="23" t="s">
        <v>3049</v>
      </c>
      <c r="K62" s="23" t="s">
        <v>3061</v>
      </c>
      <c r="L62" s="23"/>
      <c r="M62" s="23"/>
      <c r="N62" s="23" t="s">
        <v>2725</v>
      </c>
      <c r="O62" s="23" t="s">
        <v>2703</v>
      </c>
      <c r="P62" s="23" t="s">
        <v>3105</v>
      </c>
      <c r="Q62" s="23" t="s">
        <v>3106</v>
      </c>
      <c r="R62" s="23" t="s">
        <v>3107</v>
      </c>
      <c r="S62" s="23" t="s">
        <v>3059</v>
      </c>
    </row>
    <row r="63" spans="1:19" ht="43.5" customHeight="1" x14ac:dyDescent="0.2">
      <c r="A63" s="25" t="s">
        <v>131</v>
      </c>
      <c r="B63" s="25" t="s">
        <v>131</v>
      </c>
      <c r="C63" s="25" t="s">
        <v>3054</v>
      </c>
      <c r="D63" s="25" t="s">
        <v>2890</v>
      </c>
      <c r="E63" s="25" t="s">
        <v>2889</v>
      </c>
      <c r="F63" s="25" t="s">
        <v>3046</v>
      </c>
      <c r="G63" s="25" t="s">
        <v>3047</v>
      </c>
      <c r="H63" s="25" t="s">
        <v>2874</v>
      </c>
      <c r="I63" s="25" t="s">
        <v>3049</v>
      </c>
      <c r="J63" s="25" t="s">
        <v>3049</v>
      </c>
      <c r="K63" s="25" t="s">
        <v>3064</v>
      </c>
      <c r="L63" s="25"/>
      <c r="M63" s="25"/>
      <c r="N63" s="25" t="s">
        <v>2725</v>
      </c>
      <c r="O63" s="25" t="s">
        <v>2703</v>
      </c>
      <c r="P63" s="25" t="s">
        <v>2874</v>
      </c>
      <c r="Q63" s="25" t="s">
        <v>2875</v>
      </c>
      <c r="R63" s="25" t="s">
        <v>2876</v>
      </c>
      <c r="S63" s="25" t="s">
        <v>3059</v>
      </c>
    </row>
    <row r="64" spans="1:19" ht="43.5" customHeight="1" x14ac:dyDescent="0.2">
      <c r="A64" s="23" t="s">
        <v>222</v>
      </c>
      <c r="B64" s="23" t="s">
        <v>222</v>
      </c>
      <c r="C64" s="23" t="s">
        <v>3045</v>
      </c>
      <c r="D64" s="23" t="s">
        <v>2895</v>
      </c>
      <c r="E64" s="23" t="s">
        <v>2894</v>
      </c>
      <c r="F64" s="23" t="s">
        <v>3046</v>
      </c>
      <c r="G64" s="23" t="s">
        <v>3047</v>
      </c>
      <c r="H64" s="23" t="s">
        <v>3113</v>
      </c>
      <c r="I64" s="23" t="s">
        <v>3049</v>
      </c>
      <c r="J64" s="23" t="s">
        <v>3049</v>
      </c>
      <c r="K64" s="23" t="s">
        <v>3061</v>
      </c>
      <c r="L64" s="23"/>
      <c r="M64" s="23"/>
      <c r="N64" s="23" t="s">
        <v>2725</v>
      </c>
      <c r="O64" s="23" t="s">
        <v>2703</v>
      </c>
      <c r="P64" s="23" t="s">
        <v>3113</v>
      </c>
      <c r="Q64" s="23" t="s">
        <v>3114</v>
      </c>
      <c r="R64" s="23" t="s">
        <v>3115</v>
      </c>
      <c r="S64" s="23" t="s">
        <v>3116</v>
      </c>
    </row>
    <row r="65" spans="1:19" ht="43.5" customHeight="1" x14ac:dyDescent="0.2">
      <c r="A65" s="25" t="s">
        <v>222</v>
      </c>
      <c r="B65" s="25" t="s">
        <v>222</v>
      </c>
      <c r="C65" s="25" t="s">
        <v>3054</v>
      </c>
      <c r="D65" s="25" t="s">
        <v>2895</v>
      </c>
      <c r="E65" s="25" t="s">
        <v>2894</v>
      </c>
      <c r="F65" s="25" t="s">
        <v>3046</v>
      </c>
      <c r="G65" s="25" t="s">
        <v>3047</v>
      </c>
      <c r="H65" s="25" t="s">
        <v>2896</v>
      </c>
      <c r="I65" s="25" t="s">
        <v>3049</v>
      </c>
      <c r="J65" s="25" t="s">
        <v>3049</v>
      </c>
      <c r="K65" s="25" t="s">
        <v>3064</v>
      </c>
      <c r="L65" s="25"/>
      <c r="M65" s="25"/>
      <c r="N65" s="25" t="s">
        <v>2725</v>
      </c>
      <c r="O65" s="25" t="s">
        <v>2703</v>
      </c>
      <c r="P65" s="25" t="s">
        <v>2896</v>
      </c>
      <c r="Q65" s="25" t="s">
        <v>2897</v>
      </c>
      <c r="R65" s="25" t="s">
        <v>2898</v>
      </c>
      <c r="S65" s="25" t="s">
        <v>3116</v>
      </c>
    </row>
    <row r="66" spans="1:19" ht="43.5" customHeight="1" x14ac:dyDescent="0.2">
      <c r="A66" s="23" t="s">
        <v>222</v>
      </c>
      <c r="B66" s="23" t="s">
        <v>222</v>
      </c>
      <c r="C66" s="23" t="s">
        <v>3045</v>
      </c>
      <c r="D66" s="23" t="s">
        <v>2904</v>
      </c>
      <c r="E66" s="23" t="s">
        <v>2902</v>
      </c>
      <c r="F66" s="23" t="s">
        <v>3081</v>
      </c>
      <c r="G66" s="23" t="s">
        <v>3047</v>
      </c>
      <c r="H66" s="23" t="s">
        <v>3113</v>
      </c>
      <c r="I66" s="23" t="s">
        <v>3049</v>
      </c>
      <c r="J66" s="23" t="s">
        <v>3049</v>
      </c>
      <c r="K66" s="23"/>
      <c r="L66" s="23" t="s">
        <v>3117</v>
      </c>
      <c r="M66" s="23"/>
      <c r="N66" s="23" t="s">
        <v>886</v>
      </c>
      <c r="O66" s="23" t="s">
        <v>2703</v>
      </c>
      <c r="P66" s="23" t="s">
        <v>3113</v>
      </c>
      <c r="Q66" s="23" t="s">
        <v>3114</v>
      </c>
      <c r="R66" s="23" t="s">
        <v>3115</v>
      </c>
      <c r="S66" s="23" t="s">
        <v>3118</v>
      </c>
    </row>
    <row r="67" spans="1:19" ht="43.5" customHeight="1" x14ac:dyDescent="0.2">
      <c r="A67" s="25" t="s">
        <v>222</v>
      </c>
      <c r="B67" s="25" t="s">
        <v>222</v>
      </c>
      <c r="C67" s="25" t="s">
        <v>3054</v>
      </c>
      <c r="D67" s="25" t="s">
        <v>2904</v>
      </c>
      <c r="E67" s="25" t="s">
        <v>2903</v>
      </c>
      <c r="F67" s="25" t="s">
        <v>3057</v>
      </c>
      <c r="G67" s="25" t="s">
        <v>2896</v>
      </c>
      <c r="H67" s="25" t="s">
        <v>2896</v>
      </c>
      <c r="I67" s="25" t="s">
        <v>3049</v>
      </c>
      <c r="J67" s="25" t="s">
        <v>3049</v>
      </c>
      <c r="K67" s="25"/>
      <c r="L67" s="25"/>
      <c r="M67" s="25" t="s">
        <v>3119</v>
      </c>
      <c r="N67" s="25" t="s">
        <v>886</v>
      </c>
      <c r="O67" s="25" t="s">
        <v>2703</v>
      </c>
      <c r="P67" s="25" t="s">
        <v>2896</v>
      </c>
      <c r="Q67" s="25" t="s">
        <v>2897</v>
      </c>
      <c r="R67" s="25" t="s">
        <v>2898</v>
      </c>
      <c r="S67" s="25" t="s">
        <v>3118</v>
      </c>
    </row>
    <row r="68" spans="1:19" ht="43.5" customHeight="1" x14ac:dyDescent="0.2">
      <c r="A68" s="23" t="s">
        <v>222</v>
      </c>
      <c r="B68" s="23" t="s">
        <v>222</v>
      </c>
      <c r="C68" s="23" t="s">
        <v>3045</v>
      </c>
      <c r="D68" s="23" t="s">
        <v>2907</v>
      </c>
      <c r="E68" s="23" t="s">
        <v>223</v>
      </c>
      <c r="F68" s="23" t="s">
        <v>3098</v>
      </c>
      <c r="G68" s="23" t="s">
        <v>3047</v>
      </c>
      <c r="H68" s="23" t="s">
        <v>3113</v>
      </c>
      <c r="I68" s="23" t="s">
        <v>3049</v>
      </c>
      <c r="J68" s="23" t="s">
        <v>3049</v>
      </c>
      <c r="K68" s="23" t="s">
        <v>3061</v>
      </c>
      <c r="L68" s="23"/>
      <c r="M68" s="23"/>
      <c r="N68" s="23" t="s">
        <v>2720</v>
      </c>
      <c r="O68" s="23" t="s">
        <v>2703</v>
      </c>
      <c r="P68" s="23" t="s">
        <v>3113</v>
      </c>
      <c r="Q68" s="23" t="s">
        <v>3114</v>
      </c>
      <c r="R68" s="23" t="s">
        <v>3115</v>
      </c>
      <c r="S68" s="23" t="s">
        <v>3059</v>
      </c>
    </row>
    <row r="69" spans="1:19" ht="43.5" customHeight="1" x14ac:dyDescent="0.2">
      <c r="A69" s="25" t="s">
        <v>222</v>
      </c>
      <c r="B69" s="25" t="s">
        <v>222</v>
      </c>
      <c r="C69" s="25" t="s">
        <v>3054</v>
      </c>
      <c r="D69" s="25" t="s">
        <v>2907</v>
      </c>
      <c r="E69" s="25" t="s">
        <v>223</v>
      </c>
      <c r="F69" s="25" t="s">
        <v>3057</v>
      </c>
      <c r="G69" s="25" t="s">
        <v>3047</v>
      </c>
      <c r="H69" s="25" t="s">
        <v>2896</v>
      </c>
      <c r="I69" s="25" t="s">
        <v>3049</v>
      </c>
      <c r="J69" s="25" t="s">
        <v>3049</v>
      </c>
      <c r="K69" s="25" t="s">
        <v>3064</v>
      </c>
      <c r="L69" s="25"/>
      <c r="M69" s="25"/>
      <c r="N69" s="25" t="s">
        <v>2720</v>
      </c>
      <c r="O69" s="25" t="s">
        <v>2703</v>
      </c>
      <c r="P69" s="25" t="s">
        <v>2896</v>
      </c>
      <c r="Q69" s="25" t="s">
        <v>2897</v>
      </c>
      <c r="R69" s="25" t="s">
        <v>2898</v>
      </c>
      <c r="S69" s="25" t="s">
        <v>3059</v>
      </c>
    </row>
    <row r="70" spans="1:19" ht="58" customHeight="1" x14ac:dyDescent="0.2">
      <c r="A70" s="23" t="s">
        <v>222</v>
      </c>
      <c r="B70" s="23" t="s">
        <v>222</v>
      </c>
      <c r="C70" s="23" t="s">
        <v>3045</v>
      </c>
      <c r="D70" s="23" t="s">
        <v>2912</v>
      </c>
      <c r="E70" s="23" t="s">
        <v>2773</v>
      </c>
      <c r="F70" s="23" t="s">
        <v>3078</v>
      </c>
      <c r="G70" s="23" t="s">
        <v>3047</v>
      </c>
      <c r="H70" s="23" t="s">
        <v>3113</v>
      </c>
      <c r="I70" s="23" t="s">
        <v>3049</v>
      </c>
      <c r="J70" s="23" t="s">
        <v>3049</v>
      </c>
      <c r="K70" s="23"/>
      <c r="L70" s="23" t="s">
        <v>3120</v>
      </c>
      <c r="M70" s="23"/>
      <c r="N70" s="23" t="s">
        <v>2776</v>
      </c>
      <c r="O70" s="23" t="s">
        <v>2703</v>
      </c>
      <c r="P70" s="23" t="s">
        <v>3113</v>
      </c>
      <c r="Q70" s="23" t="s">
        <v>3114</v>
      </c>
      <c r="R70" s="23" t="s">
        <v>3115</v>
      </c>
      <c r="S70" s="23" t="s">
        <v>3121</v>
      </c>
    </row>
    <row r="71" spans="1:19" ht="58" customHeight="1" x14ac:dyDescent="0.2">
      <c r="A71" s="25" t="s">
        <v>222</v>
      </c>
      <c r="B71" s="25" t="s">
        <v>222</v>
      </c>
      <c r="C71" s="25" t="s">
        <v>3054</v>
      </c>
      <c r="D71" s="25" t="s">
        <v>2912</v>
      </c>
      <c r="E71" s="25" t="s">
        <v>224</v>
      </c>
      <c r="F71" s="25" t="s">
        <v>3098</v>
      </c>
      <c r="G71" s="25" t="s">
        <v>2908</v>
      </c>
      <c r="H71" s="25" t="s">
        <v>2896</v>
      </c>
      <c r="I71" s="25" t="s">
        <v>3049</v>
      </c>
      <c r="J71" s="25" t="s">
        <v>3049</v>
      </c>
      <c r="K71" s="25"/>
      <c r="L71" s="25"/>
      <c r="M71" s="25" t="s">
        <v>3122</v>
      </c>
      <c r="N71" s="25" t="s">
        <v>2776</v>
      </c>
      <c r="O71" s="25" t="s">
        <v>2703</v>
      </c>
      <c r="P71" s="25" t="s">
        <v>2896</v>
      </c>
      <c r="Q71" s="25" t="s">
        <v>2897</v>
      </c>
      <c r="R71" s="25" t="s">
        <v>2898</v>
      </c>
      <c r="S71" s="25" t="s">
        <v>3121</v>
      </c>
    </row>
    <row r="72" spans="1:19" ht="43.5" customHeight="1" x14ac:dyDescent="0.2">
      <c r="A72" s="23" t="s">
        <v>222</v>
      </c>
      <c r="B72" s="23" t="s">
        <v>222</v>
      </c>
      <c r="C72" s="23" t="s">
        <v>3045</v>
      </c>
      <c r="D72" s="23" t="s">
        <v>2916</v>
      </c>
      <c r="E72" s="23" t="s">
        <v>2915</v>
      </c>
      <c r="F72" s="23" t="s">
        <v>3057</v>
      </c>
      <c r="G72" s="23" t="s">
        <v>3047</v>
      </c>
      <c r="H72" s="23" t="s">
        <v>3113</v>
      </c>
      <c r="I72" s="23" t="s">
        <v>3049</v>
      </c>
      <c r="J72" s="23" t="s">
        <v>3049</v>
      </c>
      <c r="K72" s="23" t="s">
        <v>3061</v>
      </c>
      <c r="L72" s="23"/>
      <c r="M72" s="23"/>
      <c r="N72" s="23" t="s">
        <v>2725</v>
      </c>
      <c r="O72" s="23" t="s">
        <v>2703</v>
      </c>
      <c r="P72" s="23" t="s">
        <v>3113</v>
      </c>
      <c r="Q72" s="23" t="s">
        <v>3114</v>
      </c>
      <c r="R72" s="23" t="s">
        <v>3115</v>
      </c>
      <c r="S72" s="23" t="s">
        <v>3123</v>
      </c>
    </row>
    <row r="73" spans="1:19" ht="43.5" customHeight="1" x14ac:dyDescent="0.2">
      <c r="A73" s="25" t="s">
        <v>222</v>
      </c>
      <c r="B73" s="25" t="s">
        <v>222</v>
      </c>
      <c r="C73" s="25" t="s">
        <v>3054</v>
      </c>
      <c r="D73" s="25" t="s">
        <v>2916</v>
      </c>
      <c r="E73" s="25" t="s">
        <v>2915</v>
      </c>
      <c r="F73" s="25" t="s">
        <v>3057</v>
      </c>
      <c r="G73" s="25" t="s">
        <v>3047</v>
      </c>
      <c r="H73" s="25" t="s">
        <v>2896</v>
      </c>
      <c r="I73" s="25" t="s">
        <v>3049</v>
      </c>
      <c r="J73" s="25" t="s">
        <v>3049</v>
      </c>
      <c r="K73" s="25" t="s">
        <v>3064</v>
      </c>
      <c r="L73" s="25"/>
      <c r="M73" s="25"/>
      <c r="N73" s="25" t="s">
        <v>2725</v>
      </c>
      <c r="O73" s="25" t="s">
        <v>2703</v>
      </c>
      <c r="P73" s="25" t="s">
        <v>2896</v>
      </c>
      <c r="Q73" s="25" t="s">
        <v>2897</v>
      </c>
      <c r="R73" s="25" t="s">
        <v>2898</v>
      </c>
      <c r="S73" s="25" t="s">
        <v>3123</v>
      </c>
    </row>
    <row r="74" spans="1:19" ht="43.5" customHeight="1" x14ac:dyDescent="0.2">
      <c r="A74" s="23" t="s">
        <v>20</v>
      </c>
      <c r="B74" s="23" t="s">
        <v>20</v>
      </c>
      <c r="C74" s="23" t="s">
        <v>3045</v>
      </c>
      <c r="D74" s="23" t="s">
        <v>2923</v>
      </c>
      <c r="E74" s="23" t="s">
        <v>2922</v>
      </c>
      <c r="F74" s="23" t="s">
        <v>3076</v>
      </c>
      <c r="G74" s="23" t="s">
        <v>3047</v>
      </c>
      <c r="H74" s="23" t="s">
        <v>3124</v>
      </c>
      <c r="I74" s="23" t="s">
        <v>3049</v>
      </c>
      <c r="J74" s="23" t="s">
        <v>3049</v>
      </c>
      <c r="K74" s="23" t="s">
        <v>3061</v>
      </c>
      <c r="L74" s="23"/>
      <c r="M74" s="23"/>
      <c r="N74" s="23" t="s">
        <v>2725</v>
      </c>
      <c r="O74" s="23" t="s">
        <v>2703</v>
      </c>
      <c r="P74" s="23" t="s">
        <v>3124</v>
      </c>
      <c r="Q74" s="23" t="s">
        <v>3125</v>
      </c>
      <c r="R74" s="23" t="s">
        <v>3126</v>
      </c>
      <c r="S74" s="23" t="s">
        <v>3127</v>
      </c>
    </row>
    <row r="75" spans="1:19" ht="43.5" customHeight="1" x14ac:dyDescent="0.2">
      <c r="A75" s="25" t="s">
        <v>20</v>
      </c>
      <c r="B75" s="25" t="s">
        <v>20</v>
      </c>
      <c r="C75" s="25" t="s">
        <v>3054</v>
      </c>
      <c r="D75" s="25" t="s">
        <v>2923</v>
      </c>
      <c r="E75" s="25" t="s">
        <v>2922</v>
      </c>
      <c r="F75" s="25" t="s">
        <v>3076</v>
      </c>
      <c r="G75" s="25" t="s">
        <v>3047</v>
      </c>
      <c r="H75" s="25" t="s">
        <v>2924</v>
      </c>
      <c r="I75" s="25" t="s">
        <v>3049</v>
      </c>
      <c r="J75" s="25" t="s">
        <v>3049</v>
      </c>
      <c r="K75" s="25" t="s">
        <v>3064</v>
      </c>
      <c r="L75" s="25"/>
      <c r="M75" s="25"/>
      <c r="N75" s="25" t="s">
        <v>2725</v>
      </c>
      <c r="O75" s="25" t="s">
        <v>2726</v>
      </c>
      <c r="P75" s="25" t="s">
        <v>2924</v>
      </c>
      <c r="Q75" s="25" t="s">
        <v>2925</v>
      </c>
      <c r="R75" s="25" t="s">
        <v>303</v>
      </c>
      <c r="S75" s="25" t="s">
        <v>3127</v>
      </c>
    </row>
    <row r="76" spans="1:19" ht="72.5" customHeight="1" x14ac:dyDescent="0.2">
      <c r="A76" s="23" t="s">
        <v>20</v>
      </c>
      <c r="B76" s="23" t="s">
        <v>20</v>
      </c>
      <c r="C76" s="23" t="s">
        <v>3045</v>
      </c>
      <c r="D76" s="23" t="s">
        <v>2923</v>
      </c>
      <c r="E76" s="23" t="s">
        <v>147</v>
      </c>
      <c r="F76" s="23" t="s">
        <v>3128</v>
      </c>
      <c r="G76" s="23" t="s">
        <v>3047</v>
      </c>
      <c r="H76" s="23" t="s">
        <v>3124</v>
      </c>
      <c r="I76" s="23" t="s">
        <v>3049</v>
      </c>
      <c r="J76" s="23" t="s">
        <v>3049</v>
      </c>
      <c r="K76" s="23" t="s">
        <v>3061</v>
      </c>
      <c r="L76" s="23"/>
      <c r="M76" s="23"/>
      <c r="N76" s="23" t="s">
        <v>2725</v>
      </c>
      <c r="O76" s="23" t="s">
        <v>2703</v>
      </c>
      <c r="P76" s="23" t="s">
        <v>3124</v>
      </c>
      <c r="Q76" s="23" t="s">
        <v>3125</v>
      </c>
      <c r="R76" s="23" t="s">
        <v>3126</v>
      </c>
      <c r="S76" s="23" t="s">
        <v>3129</v>
      </c>
    </row>
    <row r="77" spans="1:19" ht="72.5" customHeight="1" x14ac:dyDescent="0.2">
      <c r="A77" s="25" t="s">
        <v>20</v>
      </c>
      <c r="B77" s="25" t="s">
        <v>20</v>
      </c>
      <c r="C77" s="25" t="s">
        <v>3054</v>
      </c>
      <c r="D77" s="25" t="s">
        <v>2923</v>
      </c>
      <c r="E77" s="25" t="s">
        <v>147</v>
      </c>
      <c r="F77" s="25" t="s">
        <v>3128</v>
      </c>
      <c r="G77" s="25" t="s">
        <v>3047</v>
      </c>
      <c r="H77" s="25" t="s">
        <v>2924</v>
      </c>
      <c r="I77" s="25" t="s">
        <v>3049</v>
      </c>
      <c r="J77" s="25" t="s">
        <v>3049</v>
      </c>
      <c r="K77" s="25" t="s">
        <v>3064</v>
      </c>
      <c r="L77" s="25"/>
      <c r="M77" s="25"/>
      <c r="N77" s="25" t="s">
        <v>2725</v>
      </c>
      <c r="O77" s="25" t="s">
        <v>2726</v>
      </c>
      <c r="P77" s="25" t="s">
        <v>2924</v>
      </c>
      <c r="Q77" s="25" t="s">
        <v>2925</v>
      </c>
      <c r="R77" s="25" t="s">
        <v>303</v>
      </c>
      <c r="S77" s="25" t="s">
        <v>3129</v>
      </c>
    </row>
    <row r="78" spans="1:19" ht="43.5" customHeight="1" x14ac:dyDescent="0.2">
      <c r="A78" s="23" t="s">
        <v>20</v>
      </c>
      <c r="B78" s="23" t="s">
        <v>20</v>
      </c>
      <c r="C78" s="23" t="s">
        <v>3045</v>
      </c>
      <c r="D78" s="23" t="s">
        <v>2923</v>
      </c>
      <c r="E78" s="23" t="s">
        <v>2931</v>
      </c>
      <c r="F78" s="23" t="s">
        <v>3073</v>
      </c>
      <c r="G78" s="23" t="s">
        <v>3047</v>
      </c>
      <c r="H78" s="23" t="s">
        <v>3124</v>
      </c>
      <c r="I78" s="23" t="s">
        <v>3049</v>
      </c>
      <c r="J78" s="23" t="s">
        <v>3049</v>
      </c>
      <c r="K78" s="23" t="s">
        <v>3061</v>
      </c>
      <c r="L78" s="23"/>
      <c r="M78" s="23"/>
      <c r="N78" s="23" t="s">
        <v>2725</v>
      </c>
      <c r="O78" s="23" t="s">
        <v>2703</v>
      </c>
      <c r="P78" s="23" t="s">
        <v>3124</v>
      </c>
      <c r="Q78" s="23" t="s">
        <v>3125</v>
      </c>
      <c r="R78" s="23" t="s">
        <v>3126</v>
      </c>
      <c r="S78" s="23" t="s">
        <v>3059</v>
      </c>
    </row>
    <row r="79" spans="1:19" ht="43.5" customHeight="1" x14ac:dyDescent="0.2">
      <c r="A79" s="25" t="s">
        <v>20</v>
      </c>
      <c r="B79" s="25" t="s">
        <v>20</v>
      </c>
      <c r="C79" s="25" t="s">
        <v>3054</v>
      </c>
      <c r="D79" s="25" t="s">
        <v>2923</v>
      </c>
      <c r="E79" s="25" t="s">
        <v>2931</v>
      </c>
      <c r="F79" s="25" t="s">
        <v>3073</v>
      </c>
      <c r="G79" s="25" t="s">
        <v>3047</v>
      </c>
      <c r="H79" s="25" t="s">
        <v>2924</v>
      </c>
      <c r="I79" s="25" t="s">
        <v>3049</v>
      </c>
      <c r="J79" s="25" t="s">
        <v>3049</v>
      </c>
      <c r="K79" s="25" t="s">
        <v>3064</v>
      </c>
      <c r="L79" s="25"/>
      <c r="M79" s="25"/>
      <c r="N79" s="25" t="s">
        <v>2725</v>
      </c>
      <c r="O79" s="25" t="s">
        <v>2726</v>
      </c>
      <c r="P79" s="25" t="s">
        <v>2924</v>
      </c>
      <c r="Q79" s="25" t="s">
        <v>2925</v>
      </c>
      <c r="R79" s="25" t="s">
        <v>303</v>
      </c>
      <c r="S79" s="25" t="s">
        <v>3059</v>
      </c>
    </row>
    <row r="80" spans="1:19" ht="58" customHeight="1" x14ac:dyDescent="0.2">
      <c r="A80" s="23" t="s">
        <v>20</v>
      </c>
      <c r="B80" s="23" t="s">
        <v>20</v>
      </c>
      <c r="C80" s="23" t="s">
        <v>3045</v>
      </c>
      <c r="D80" s="23" t="s">
        <v>2923</v>
      </c>
      <c r="E80" s="23" t="s">
        <v>2932</v>
      </c>
      <c r="F80" s="23" t="s">
        <v>3046</v>
      </c>
      <c r="G80" s="23" t="s">
        <v>3047</v>
      </c>
      <c r="H80" s="23" t="s">
        <v>3124</v>
      </c>
      <c r="I80" s="23" t="s">
        <v>3049</v>
      </c>
      <c r="J80" s="23" t="s">
        <v>3049</v>
      </c>
      <c r="K80" s="23"/>
      <c r="L80" s="23" t="s">
        <v>3130</v>
      </c>
      <c r="M80" s="23"/>
      <c r="N80" s="23" t="s">
        <v>2934</v>
      </c>
      <c r="O80" s="23" t="s">
        <v>2703</v>
      </c>
      <c r="P80" s="23" t="s">
        <v>3124</v>
      </c>
      <c r="Q80" s="23" t="s">
        <v>3125</v>
      </c>
      <c r="R80" s="23" t="s">
        <v>3126</v>
      </c>
      <c r="S80" s="23" t="s">
        <v>3131</v>
      </c>
    </row>
    <row r="81" spans="1:19" ht="58" customHeight="1" x14ac:dyDescent="0.2">
      <c r="A81" s="25" t="s">
        <v>20</v>
      </c>
      <c r="B81" s="25" t="s">
        <v>20</v>
      </c>
      <c r="C81" s="25" t="s">
        <v>3054</v>
      </c>
      <c r="D81" s="25" t="s">
        <v>2923</v>
      </c>
      <c r="E81" s="25" t="s">
        <v>2933</v>
      </c>
      <c r="F81" s="25"/>
      <c r="G81" s="25" t="s">
        <v>2935</v>
      </c>
      <c r="H81" s="25" t="s">
        <v>2924</v>
      </c>
      <c r="I81" s="25" t="s">
        <v>3049</v>
      </c>
      <c r="J81" s="25" t="s">
        <v>3049</v>
      </c>
      <c r="K81" s="25"/>
      <c r="L81" s="25"/>
      <c r="M81" s="25" t="s">
        <v>3132</v>
      </c>
      <c r="N81" s="25" t="s">
        <v>2934</v>
      </c>
      <c r="O81" s="25" t="s">
        <v>2726</v>
      </c>
      <c r="P81" s="25" t="s">
        <v>2924</v>
      </c>
      <c r="Q81" s="25" t="s">
        <v>2925</v>
      </c>
      <c r="R81" s="25" t="s">
        <v>303</v>
      </c>
      <c r="S81" s="25" t="s">
        <v>3131</v>
      </c>
    </row>
    <row r="82" spans="1:19" ht="43.5" customHeight="1" x14ac:dyDescent="0.2">
      <c r="A82" s="23" t="s">
        <v>20</v>
      </c>
      <c r="B82" s="23" t="s">
        <v>20</v>
      </c>
      <c r="C82" s="23" t="s">
        <v>3045</v>
      </c>
      <c r="D82" s="23" t="s">
        <v>2923</v>
      </c>
      <c r="E82" s="23" t="s">
        <v>2938</v>
      </c>
      <c r="F82" s="23" t="s">
        <v>3076</v>
      </c>
      <c r="G82" s="23" t="s">
        <v>3047</v>
      </c>
      <c r="H82" s="23" t="s">
        <v>3124</v>
      </c>
      <c r="I82" s="23" t="s">
        <v>3049</v>
      </c>
      <c r="J82" s="23" t="s">
        <v>3049</v>
      </c>
      <c r="K82" s="23" t="s">
        <v>3061</v>
      </c>
      <c r="L82" s="23"/>
      <c r="M82" s="23"/>
      <c r="N82" s="23" t="s">
        <v>2725</v>
      </c>
      <c r="O82" s="23" t="s">
        <v>2703</v>
      </c>
      <c r="P82" s="23" t="s">
        <v>3124</v>
      </c>
      <c r="Q82" s="23" t="s">
        <v>3125</v>
      </c>
      <c r="R82" s="23" t="s">
        <v>3126</v>
      </c>
      <c r="S82" s="23" t="s">
        <v>3133</v>
      </c>
    </row>
    <row r="83" spans="1:19" ht="43.5" customHeight="1" x14ac:dyDescent="0.2">
      <c r="A83" s="25" t="s">
        <v>20</v>
      </c>
      <c r="B83" s="25" t="s">
        <v>20</v>
      </c>
      <c r="C83" s="25" t="s">
        <v>3054</v>
      </c>
      <c r="D83" s="25" t="s">
        <v>2923</v>
      </c>
      <c r="E83" s="25" t="s">
        <v>2938</v>
      </c>
      <c r="F83" s="25" t="s">
        <v>3076</v>
      </c>
      <c r="G83" s="25" t="s">
        <v>3047</v>
      </c>
      <c r="H83" s="25" t="s">
        <v>2924</v>
      </c>
      <c r="I83" s="25" t="s">
        <v>3049</v>
      </c>
      <c r="J83" s="25" t="s">
        <v>3049</v>
      </c>
      <c r="K83" s="25" t="s">
        <v>3064</v>
      </c>
      <c r="L83" s="25"/>
      <c r="M83" s="25"/>
      <c r="N83" s="25" t="s">
        <v>2725</v>
      </c>
      <c r="O83" s="25" t="s">
        <v>2726</v>
      </c>
      <c r="P83" s="25" t="s">
        <v>2924</v>
      </c>
      <c r="Q83" s="25" t="s">
        <v>2925</v>
      </c>
      <c r="R83" s="25" t="s">
        <v>303</v>
      </c>
      <c r="S83" s="25" t="s">
        <v>3133</v>
      </c>
    </row>
    <row r="84" spans="1:19" ht="20" customHeight="1" x14ac:dyDescent="0.2">
      <c r="A84" s="23" t="s">
        <v>28</v>
      </c>
      <c r="B84" s="23" t="s">
        <v>28</v>
      </c>
      <c r="C84" s="23" t="s">
        <v>1236</v>
      </c>
      <c r="D84" s="23" t="s">
        <v>1236</v>
      </c>
      <c r="E84" s="23" t="s">
        <v>2953</v>
      </c>
      <c r="F84" s="23"/>
      <c r="G84" s="23"/>
      <c r="H84" s="23"/>
      <c r="I84" s="23"/>
      <c r="J84" s="23"/>
      <c r="K84" s="23"/>
      <c r="L84" s="23"/>
      <c r="M84" s="23"/>
      <c r="N84" s="23" t="s">
        <v>2953</v>
      </c>
      <c r="O84" s="23"/>
      <c r="P84" s="23"/>
      <c r="Q84" s="23"/>
      <c r="R84" s="23"/>
      <c r="S84" s="23" t="s">
        <v>3134</v>
      </c>
    </row>
    <row r="85" spans="1:19" ht="20" customHeight="1" x14ac:dyDescent="0.2">
      <c r="A85" s="25" t="s">
        <v>24</v>
      </c>
      <c r="B85" s="25" t="s">
        <v>24</v>
      </c>
      <c r="C85" s="25" t="s">
        <v>1236</v>
      </c>
      <c r="D85" s="25" t="s">
        <v>1236</v>
      </c>
      <c r="E85" s="25" t="s">
        <v>2953</v>
      </c>
      <c r="F85" s="25"/>
      <c r="G85" s="25"/>
      <c r="H85" s="25"/>
      <c r="I85" s="25"/>
      <c r="J85" s="25"/>
      <c r="K85" s="25"/>
      <c r="L85" s="25"/>
      <c r="M85" s="25"/>
      <c r="N85" s="25" t="s">
        <v>2953</v>
      </c>
      <c r="O85" s="25"/>
      <c r="P85" s="25"/>
      <c r="Q85" s="25"/>
      <c r="R85" s="25"/>
      <c r="S85" s="25" t="s">
        <v>3135</v>
      </c>
    </row>
  </sheetData>
  <mergeCells count="2">
    <mergeCell ref="A2:S2"/>
    <mergeCell ref="A1:S1"/>
  </mergeCells>
  <pageMargins left="0.75" right="0.75" top="1" bottom="1" header="0.5" footer="0.5"/>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D144"/>
  <sheetViews>
    <sheetView showGridLines="0" rightToLeft="1" workbookViewId="0">
      <pane ySplit="3" topLeftCell="A4" activePane="bottomLeft" state="frozen"/>
      <selection pane="bottomLeft"/>
    </sheetView>
  </sheetViews>
  <sheetFormatPr baseColWidth="10" defaultColWidth="8.83203125" defaultRowHeight="15" x14ac:dyDescent="0.2"/>
  <cols>
    <col min="1" max="1" width="28" customWidth="1"/>
    <col min="2" max="2" width="10" customWidth="1"/>
    <col min="3" max="4" width="60" customWidth="1"/>
  </cols>
  <sheetData>
    <row r="1" spans="1:4" ht="30" customHeight="1" x14ac:dyDescent="0.2">
      <c r="A1" s="87" t="s">
        <v>3136</v>
      </c>
      <c r="B1" s="76"/>
      <c r="C1" s="76"/>
      <c r="D1" s="76"/>
    </row>
    <row r="2" spans="1:4" ht="22" customHeight="1" x14ac:dyDescent="0.2">
      <c r="A2" s="85" t="s">
        <v>3137</v>
      </c>
      <c r="B2" s="76"/>
      <c r="C2" s="76"/>
      <c r="D2" s="76"/>
    </row>
    <row r="3" spans="1:4" ht="30" customHeight="1" x14ac:dyDescent="0.2">
      <c r="A3" s="24" t="s">
        <v>535</v>
      </c>
      <c r="B3" s="24" t="s">
        <v>3138</v>
      </c>
      <c r="C3" s="24" t="s">
        <v>3139</v>
      </c>
      <c r="D3" s="24" t="s">
        <v>3140</v>
      </c>
    </row>
    <row r="4" spans="1:4" ht="20" customHeight="1" x14ac:dyDescent="0.2">
      <c r="A4" s="23" t="s">
        <v>409</v>
      </c>
      <c r="B4" s="23" t="s">
        <v>3141</v>
      </c>
      <c r="C4" s="23" t="s">
        <v>3142</v>
      </c>
      <c r="D4" s="23" t="s">
        <v>3143</v>
      </c>
    </row>
    <row r="5" spans="1:4" ht="20" customHeight="1" x14ac:dyDescent="0.2">
      <c r="A5" s="25" t="s">
        <v>409</v>
      </c>
      <c r="B5" s="25" t="s">
        <v>3144</v>
      </c>
      <c r="C5" s="25" t="s">
        <v>3142</v>
      </c>
      <c r="D5" s="25" t="s">
        <v>3143</v>
      </c>
    </row>
    <row r="6" spans="1:4" ht="20" customHeight="1" x14ac:dyDescent="0.2">
      <c r="A6" s="23" t="s">
        <v>409</v>
      </c>
      <c r="B6" s="23" t="s">
        <v>3145</v>
      </c>
      <c r="C6" s="23" t="s">
        <v>3146</v>
      </c>
      <c r="D6" s="23" t="s">
        <v>3147</v>
      </c>
    </row>
    <row r="7" spans="1:4" ht="20" customHeight="1" x14ac:dyDescent="0.2">
      <c r="A7" s="25" t="s">
        <v>409</v>
      </c>
      <c r="B7" s="25" t="s">
        <v>3148</v>
      </c>
      <c r="C7" s="25" t="s">
        <v>3146</v>
      </c>
      <c r="D7" s="25" t="s">
        <v>3147</v>
      </c>
    </row>
    <row r="8" spans="1:4" ht="20" customHeight="1" x14ac:dyDescent="0.2">
      <c r="A8" s="23" t="s">
        <v>409</v>
      </c>
      <c r="B8" s="23" t="s">
        <v>3149</v>
      </c>
      <c r="C8" s="23" t="s">
        <v>3142</v>
      </c>
      <c r="D8" s="23" t="s">
        <v>3143</v>
      </c>
    </row>
    <row r="9" spans="1:4" ht="20" customHeight="1" x14ac:dyDescent="0.2">
      <c r="A9" s="25" t="s">
        <v>409</v>
      </c>
      <c r="B9" s="25" t="s">
        <v>3150</v>
      </c>
      <c r="C9" s="25" t="s">
        <v>3143</v>
      </c>
      <c r="D9" s="25" t="s">
        <v>3142</v>
      </c>
    </row>
    <row r="10" spans="1:4" ht="20" customHeight="1" x14ac:dyDescent="0.2">
      <c r="A10" s="23" t="s">
        <v>409</v>
      </c>
      <c r="B10" s="23" t="s">
        <v>3151</v>
      </c>
      <c r="C10" s="23" t="s">
        <v>111</v>
      </c>
      <c r="D10" s="23" t="s">
        <v>119</v>
      </c>
    </row>
    <row r="11" spans="1:4" ht="20" customHeight="1" x14ac:dyDescent="0.2">
      <c r="A11" s="25" t="s">
        <v>409</v>
      </c>
      <c r="B11" s="25" t="s">
        <v>3152</v>
      </c>
      <c r="C11" s="25" t="s">
        <v>1021</v>
      </c>
      <c r="D11" s="25" t="s">
        <v>1010</v>
      </c>
    </row>
    <row r="12" spans="1:4" ht="20" customHeight="1" x14ac:dyDescent="0.2">
      <c r="A12" s="23" t="s">
        <v>409</v>
      </c>
      <c r="B12" s="23" t="s">
        <v>3153</v>
      </c>
      <c r="C12" s="23" t="s">
        <v>1012</v>
      </c>
      <c r="D12" s="23" t="s">
        <v>1015</v>
      </c>
    </row>
    <row r="13" spans="1:4" ht="20" customHeight="1" x14ac:dyDescent="0.2">
      <c r="A13" s="25" t="s">
        <v>409</v>
      </c>
      <c r="B13" s="25" t="s">
        <v>3154</v>
      </c>
      <c r="C13" s="25" t="s">
        <v>3155</v>
      </c>
      <c r="D13" s="25" t="s">
        <v>1014</v>
      </c>
    </row>
    <row r="14" spans="1:4" ht="29" customHeight="1" x14ac:dyDescent="0.2">
      <c r="A14" s="23" t="s">
        <v>409</v>
      </c>
      <c r="B14" s="23" t="s">
        <v>3156</v>
      </c>
      <c r="C14" s="23" t="s">
        <v>3157</v>
      </c>
      <c r="D14" s="23" t="s">
        <v>3157</v>
      </c>
    </row>
    <row r="15" spans="1:4" ht="29" customHeight="1" x14ac:dyDescent="0.2">
      <c r="A15" s="25" t="s">
        <v>409</v>
      </c>
      <c r="B15" s="25" t="s">
        <v>3158</v>
      </c>
      <c r="C15" s="25" t="s">
        <v>114</v>
      </c>
      <c r="D15" s="25" t="s">
        <v>3159</v>
      </c>
    </row>
    <row r="16" spans="1:4" ht="29" customHeight="1" x14ac:dyDescent="0.2">
      <c r="A16" s="23" t="s">
        <v>409</v>
      </c>
      <c r="B16" s="23" t="s">
        <v>3160</v>
      </c>
      <c r="C16" s="23" t="s">
        <v>3161</v>
      </c>
      <c r="D16" s="23" t="s">
        <v>3162</v>
      </c>
    </row>
    <row r="17" spans="1:4" ht="20" customHeight="1" x14ac:dyDescent="0.2">
      <c r="A17" s="25" t="s">
        <v>409</v>
      </c>
      <c r="B17" s="25" t="s">
        <v>3163</v>
      </c>
      <c r="C17" s="25" t="s">
        <v>3164</v>
      </c>
      <c r="D17" s="25" t="s">
        <v>3142</v>
      </c>
    </row>
    <row r="18" spans="1:4" ht="20" customHeight="1" x14ac:dyDescent="0.2">
      <c r="A18" s="23" t="s">
        <v>409</v>
      </c>
      <c r="B18" s="23" t="s">
        <v>3165</v>
      </c>
      <c r="C18" s="23" t="s">
        <v>3164</v>
      </c>
      <c r="D18" s="23" t="s">
        <v>3142</v>
      </c>
    </row>
    <row r="19" spans="1:4" ht="20" customHeight="1" x14ac:dyDescent="0.2">
      <c r="A19" s="25" t="s">
        <v>409</v>
      </c>
      <c r="B19" s="25" t="s">
        <v>3166</v>
      </c>
      <c r="C19" s="25" t="s">
        <v>3167</v>
      </c>
      <c r="D19" s="25" t="s">
        <v>3143</v>
      </c>
    </row>
    <row r="20" spans="1:4" ht="20" customHeight="1" x14ac:dyDescent="0.2">
      <c r="A20" s="23" t="s">
        <v>409</v>
      </c>
      <c r="B20" s="23" t="s">
        <v>3168</v>
      </c>
      <c r="C20" s="23" t="s">
        <v>3146</v>
      </c>
      <c r="D20" s="23" t="s">
        <v>3142</v>
      </c>
    </row>
    <row r="21" spans="1:4" ht="20" customHeight="1" x14ac:dyDescent="0.2">
      <c r="A21" s="25" t="s">
        <v>409</v>
      </c>
      <c r="B21" s="25" t="s">
        <v>3169</v>
      </c>
      <c r="C21" s="25" t="s">
        <v>111</v>
      </c>
      <c r="D21" s="25" t="s">
        <v>119</v>
      </c>
    </row>
    <row r="22" spans="1:4" ht="20" customHeight="1" x14ac:dyDescent="0.2">
      <c r="A22" s="23" t="s">
        <v>409</v>
      </c>
      <c r="B22" s="23" t="s">
        <v>3170</v>
      </c>
      <c r="C22" s="23" t="s">
        <v>1043</v>
      </c>
      <c r="D22" s="23" t="s">
        <v>1015</v>
      </c>
    </row>
    <row r="23" spans="1:4" ht="20" customHeight="1" x14ac:dyDescent="0.2">
      <c r="A23" s="25" t="s">
        <v>409</v>
      </c>
      <c r="B23" s="25" t="s">
        <v>3171</v>
      </c>
      <c r="C23" s="25" t="s">
        <v>3155</v>
      </c>
      <c r="D23" s="25" t="s">
        <v>1014</v>
      </c>
    </row>
    <row r="24" spans="1:4" ht="29" customHeight="1" x14ac:dyDescent="0.2">
      <c r="A24" s="23" t="s">
        <v>409</v>
      </c>
      <c r="B24" s="23" t="s">
        <v>3172</v>
      </c>
      <c r="C24" s="23" t="s">
        <v>3173</v>
      </c>
      <c r="D24" s="23" t="s">
        <v>3173</v>
      </c>
    </row>
    <row r="25" spans="1:4" ht="43.5" customHeight="1" x14ac:dyDescent="0.2">
      <c r="A25" s="25" t="s">
        <v>409</v>
      </c>
      <c r="B25" s="25" t="s">
        <v>3174</v>
      </c>
      <c r="C25" s="25" t="s">
        <v>3175</v>
      </c>
      <c r="D25" s="25" t="s">
        <v>3176</v>
      </c>
    </row>
    <row r="26" spans="1:4" ht="29" customHeight="1" x14ac:dyDescent="0.2">
      <c r="A26" s="23" t="s">
        <v>409</v>
      </c>
      <c r="B26" s="23" t="s">
        <v>3177</v>
      </c>
      <c r="C26" s="23" t="s">
        <v>3178</v>
      </c>
      <c r="D26" s="23" t="s">
        <v>3179</v>
      </c>
    </row>
    <row r="27" spans="1:4" ht="20" customHeight="1" x14ac:dyDescent="0.2">
      <c r="A27" s="25" t="s">
        <v>409</v>
      </c>
      <c r="B27" s="25" t="s">
        <v>3180</v>
      </c>
      <c r="C27" s="25" t="s">
        <v>3164</v>
      </c>
      <c r="D27" s="25" t="s">
        <v>3142</v>
      </c>
    </row>
    <row r="28" spans="1:4" ht="20" customHeight="1" x14ac:dyDescent="0.2">
      <c r="A28" s="23" t="s">
        <v>409</v>
      </c>
      <c r="B28" s="23" t="s">
        <v>3181</v>
      </c>
      <c r="C28" s="23"/>
      <c r="D28" s="23" t="s">
        <v>3142</v>
      </c>
    </row>
    <row r="29" spans="1:4" ht="20" customHeight="1" x14ac:dyDescent="0.2">
      <c r="A29" s="25" t="s">
        <v>409</v>
      </c>
      <c r="B29" s="25" t="s">
        <v>3182</v>
      </c>
      <c r="C29" s="25"/>
      <c r="D29" s="25" t="s">
        <v>3147</v>
      </c>
    </row>
    <row r="30" spans="1:4" ht="20" customHeight="1" x14ac:dyDescent="0.2">
      <c r="A30" s="23" t="s">
        <v>409</v>
      </c>
      <c r="B30" s="23" t="s">
        <v>3183</v>
      </c>
      <c r="C30" s="23"/>
      <c r="D30" s="23" t="s">
        <v>3164</v>
      </c>
    </row>
    <row r="31" spans="1:4" ht="20" customHeight="1" x14ac:dyDescent="0.2">
      <c r="A31" s="25" t="s">
        <v>409</v>
      </c>
      <c r="B31" s="25" t="s">
        <v>2411</v>
      </c>
      <c r="C31" s="25"/>
      <c r="D31" s="25" t="s">
        <v>3147</v>
      </c>
    </row>
    <row r="32" spans="1:4" ht="20" customHeight="1" x14ac:dyDescent="0.2">
      <c r="A32" s="23" t="s">
        <v>409</v>
      </c>
      <c r="B32" s="23" t="s">
        <v>3184</v>
      </c>
      <c r="C32" s="23" t="s">
        <v>3185</v>
      </c>
      <c r="D32" s="23" t="s">
        <v>3147</v>
      </c>
    </row>
    <row r="33" spans="1:4" ht="20" customHeight="1" x14ac:dyDescent="0.2">
      <c r="A33" s="25" t="s">
        <v>409</v>
      </c>
      <c r="B33" s="25" t="s">
        <v>3186</v>
      </c>
      <c r="C33" s="25" t="s">
        <v>3147</v>
      </c>
      <c r="D33" s="25" t="s">
        <v>3143</v>
      </c>
    </row>
    <row r="34" spans="1:4" ht="20" customHeight="1" x14ac:dyDescent="0.2">
      <c r="A34" s="23" t="s">
        <v>409</v>
      </c>
      <c r="B34" s="23" t="s">
        <v>3187</v>
      </c>
      <c r="C34" s="23" t="s">
        <v>111</v>
      </c>
      <c r="D34" s="23" t="s">
        <v>119</v>
      </c>
    </row>
    <row r="35" spans="1:4" ht="20" customHeight="1" x14ac:dyDescent="0.2">
      <c r="A35" s="25" t="s">
        <v>409</v>
      </c>
      <c r="B35" s="25" t="s">
        <v>3188</v>
      </c>
      <c r="C35" s="25" t="s">
        <v>1046</v>
      </c>
      <c r="D35" s="25" t="s">
        <v>1015</v>
      </c>
    </row>
    <row r="36" spans="1:4" ht="20" customHeight="1" x14ac:dyDescent="0.2">
      <c r="A36" s="23" t="s">
        <v>409</v>
      </c>
      <c r="B36" s="23" t="s">
        <v>3189</v>
      </c>
      <c r="C36" s="23" t="s">
        <v>3155</v>
      </c>
      <c r="D36" s="23" t="s">
        <v>1014</v>
      </c>
    </row>
    <row r="37" spans="1:4" ht="43.5" customHeight="1" x14ac:dyDescent="0.2">
      <c r="A37" s="25" t="s">
        <v>409</v>
      </c>
      <c r="B37" s="25" t="s">
        <v>3190</v>
      </c>
      <c r="C37" s="25" t="s">
        <v>3191</v>
      </c>
      <c r="D37" s="25" t="s">
        <v>3191</v>
      </c>
    </row>
    <row r="38" spans="1:4" ht="29" customHeight="1" x14ac:dyDescent="0.2">
      <c r="A38" s="23" t="s">
        <v>409</v>
      </c>
      <c r="B38" s="23" t="s">
        <v>3192</v>
      </c>
      <c r="C38" s="23" t="s">
        <v>3193</v>
      </c>
      <c r="D38" s="23" t="s">
        <v>3194</v>
      </c>
    </row>
    <row r="39" spans="1:4" ht="29" customHeight="1" x14ac:dyDescent="0.2">
      <c r="A39" s="25" t="s">
        <v>409</v>
      </c>
      <c r="B39" s="25" t="s">
        <v>3195</v>
      </c>
      <c r="C39" s="25" t="s">
        <v>3196</v>
      </c>
      <c r="D39" s="25" t="s">
        <v>3197</v>
      </c>
    </row>
    <row r="40" spans="1:4" ht="20" customHeight="1" x14ac:dyDescent="0.2">
      <c r="A40" s="23" t="s">
        <v>409</v>
      </c>
      <c r="B40" s="23" t="s">
        <v>3198</v>
      </c>
      <c r="C40" s="23" t="s">
        <v>3164</v>
      </c>
      <c r="D40" s="23" t="s">
        <v>3167</v>
      </c>
    </row>
    <row r="41" spans="1:4" ht="20" customHeight="1" x14ac:dyDescent="0.2">
      <c r="A41" s="25" t="s">
        <v>409</v>
      </c>
      <c r="B41" s="25" t="s">
        <v>3199</v>
      </c>
      <c r="C41" s="25" t="s">
        <v>111</v>
      </c>
      <c r="D41" s="25" t="s">
        <v>119</v>
      </c>
    </row>
    <row r="42" spans="1:4" ht="20" customHeight="1" x14ac:dyDescent="0.2">
      <c r="A42" s="23" t="s">
        <v>409</v>
      </c>
      <c r="B42" s="23" t="s">
        <v>3200</v>
      </c>
      <c r="C42" s="23" t="s">
        <v>1043</v>
      </c>
      <c r="D42" s="23" t="s">
        <v>1015</v>
      </c>
    </row>
    <row r="43" spans="1:4" ht="20" customHeight="1" x14ac:dyDescent="0.2">
      <c r="A43" s="25" t="s">
        <v>409</v>
      </c>
      <c r="B43" s="25" t="s">
        <v>3201</v>
      </c>
      <c r="C43" s="25" t="s">
        <v>3155</v>
      </c>
      <c r="D43" s="25" t="s">
        <v>1014</v>
      </c>
    </row>
    <row r="44" spans="1:4" ht="43.5" customHeight="1" x14ac:dyDescent="0.2">
      <c r="A44" s="23" t="s">
        <v>409</v>
      </c>
      <c r="B44" s="23" t="s">
        <v>3202</v>
      </c>
      <c r="C44" s="23" t="s">
        <v>3203</v>
      </c>
      <c r="D44" s="23" t="s">
        <v>3203</v>
      </c>
    </row>
    <row r="45" spans="1:4" ht="43.5" customHeight="1" x14ac:dyDescent="0.2">
      <c r="A45" s="25" t="s">
        <v>409</v>
      </c>
      <c r="B45" s="25" t="s">
        <v>3204</v>
      </c>
      <c r="C45" s="25" t="s">
        <v>3205</v>
      </c>
      <c r="D45" s="25" t="s">
        <v>3206</v>
      </c>
    </row>
    <row r="46" spans="1:4" ht="29" customHeight="1" x14ac:dyDescent="0.2">
      <c r="A46" s="23" t="s">
        <v>409</v>
      </c>
      <c r="B46" s="23" t="s">
        <v>3207</v>
      </c>
      <c r="C46" s="23" t="s">
        <v>3208</v>
      </c>
      <c r="D46" s="23" t="s">
        <v>3209</v>
      </c>
    </row>
    <row r="47" spans="1:4" ht="20" customHeight="1" x14ac:dyDescent="0.2">
      <c r="A47" s="25" t="s">
        <v>409</v>
      </c>
      <c r="B47" s="25" t="s">
        <v>3210</v>
      </c>
      <c r="C47" s="25" t="s">
        <v>1039</v>
      </c>
      <c r="D47" s="25" t="s">
        <v>1015</v>
      </c>
    </row>
    <row r="48" spans="1:4" ht="20" customHeight="1" x14ac:dyDescent="0.2">
      <c r="A48" s="23" t="s">
        <v>409</v>
      </c>
      <c r="B48" s="23" t="s">
        <v>3211</v>
      </c>
      <c r="C48" s="23" t="s">
        <v>3155</v>
      </c>
      <c r="D48" s="23" t="s">
        <v>1014</v>
      </c>
    </row>
    <row r="49" spans="1:4" ht="43.5" customHeight="1" x14ac:dyDescent="0.2">
      <c r="A49" s="25" t="s">
        <v>409</v>
      </c>
      <c r="B49" s="25" t="s">
        <v>3212</v>
      </c>
      <c r="C49" s="25" t="s">
        <v>3213</v>
      </c>
      <c r="D49" s="25" t="s">
        <v>3213</v>
      </c>
    </row>
    <row r="50" spans="1:4" ht="29" customHeight="1" x14ac:dyDescent="0.2">
      <c r="A50" s="23" t="s">
        <v>409</v>
      </c>
      <c r="B50" s="23" t="s">
        <v>3214</v>
      </c>
      <c r="C50" s="23" t="s">
        <v>3215</v>
      </c>
      <c r="D50" s="23" t="s">
        <v>3215</v>
      </c>
    </row>
    <row r="51" spans="1:4" ht="29" customHeight="1" x14ac:dyDescent="0.2">
      <c r="A51" s="25" t="s">
        <v>409</v>
      </c>
      <c r="B51" s="25" t="s">
        <v>3216</v>
      </c>
      <c r="C51" s="25" t="s">
        <v>3217</v>
      </c>
      <c r="D51" s="25" t="s">
        <v>3218</v>
      </c>
    </row>
    <row r="52" spans="1:4" ht="20" customHeight="1" x14ac:dyDescent="0.2">
      <c r="A52" s="23" t="s">
        <v>409</v>
      </c>
      <c r="B52" s="23" t="s">
        <v>3219</v>
      </c>
      <c r="C52" s="23"/>
      <c r="D52" s="23" t="s">
        <v>3167</v>
      </c>
    </row>
    <row r="53" spans="1:4" ht="20" customHeight="1" x14ac:dyDescent="0.2">
      <c r="A53" s="25" t="s">
        <v>409</v>
      </c>
      <c r="B53" s="25" t="s">
        <v>3220</v>
      </c>
      <c r="C53" s="25"/>
      <c r="D53" s="25" t="s">
        <v>3147</v>
      </c>
    </row>
    <row r="54" spans="1:4" ht="20" customHeight="1" x14ac:dyDescent="0.2">
      <c r="A54" s="23" t="s">
        <v>409</v>
      </c>
      <c r="B54" s="23" t="s">
        <v>3221</v>
      </c>
      <c r="C54" s="23"/>
      <c r="D54" s="23" t="s">
        <v>3164</v>
      </c>
    </row>
    <row r="55" spans="1:4" ht="20" customHeight="1" x14ac:dyDescent="0.2">
      <c r="A55" s="25" t="s">
        <v>409</v>
      </c>
      <c r="B55" s="25" t="s">
        <v>3222</v>
      </c>
      <c r="C55" s="25"/>
      <c r="D55" s="25" t="s">
        <v>3147</v>
      </c>
    </row>
    <row r="56" spans="1:4" ht="20" customHeight="1" x14ac:dyDescent="0.2">
      <c r="A56" s="23" t="s">
        <v>409</v>
      </c>
      <c r="B56" s="23" t="s">
        <v>3223</v>
      </c>
      <c r="C56" s="23" t="s">
        <v>1021</v>
      </c>
      <c r="D56" s="23" t="s">
        <v>1010</v>
      </c>
    </row>
    <row r="57" spans="1:4" ht="20" customHeight="1" x14ac:dyDescent="0.2">
      <c r="A57" s="25" t="s">
        <v>409</v>
      </c>
      <c r="B57" s="25" t="s">
        <v>3224</v>
      </c>
      <c r="C57" s="25" t="s">
        <v>1642</v>
      </c>
      <c r="D57" s="25" t="s">
        <v>1015</v>
      </c>
    </row>
    <row r="58" spans="1:4" ht="20" customHeight="1" x14ac:dyDescent="0.2">
      <c r="A58" s="23" t="s">
        <v>409</v>
      </c>
      <c r="B58" s="23" t="s">
        <v>3225</v>
      </c>
      <c r="C58" s="23" t="s">
        <v>3226</v>
      </c>
      <c r="D58" s="23" t="s">
        <v>1014</v>
      </c>
    </row>
    <row r="59" spans="1:4" ht="29" customHeight="1" x14ac:dyDescent="0.2">
      <c r="A59" s="25" t="s">
        <v>409</v>
      </c>
      <c r="B59" s="25" t="s">
        <v>3227</v>
      </c>
      <c r="C59" s="25" t="s">
        <v>3228</v>
      </c>
      <c r="D59" s="25" t="s">
        <v>3228</v>
      </c>
    </row>
    <row r="60" spans="1:4" ht="29" customHeight="1" x14ac:dyDescent="0.2">
      <c r="A60" s="23" t="s">
        <v>409</v>
      </c>
      <c r="B60" s="23" t="s">
        <v>3229</v>
      </c>
      <c r="C60" s="23" t="s">
        <v>114</v>
      </c>
      <c r="D60" s="23" t="s">
        <v>3230</v>
      </c>
    </row>
    <row r="61" spans="1:4" ht="29" customHeight="1" x14ac:dyDescent="0.2">
      <c r="A61" s="25" t="s">
        <v>409</v>
      </c>
      <c r="B61" s="25" t="s">
        <v>3231</v>
      </c>
      <c r="C61" s="25" t="s">
        <v>3232</v>
      </c>
      <c r="D61" s="25" t="s">
        <v>3233</v>
      </c>
    </row>
    <row r="62" spans="1:4" ht="20" customHeight="1" x14ac:dyDescent="0.2">
      <c r="A62" s="23" t="s">
        <v>409</v>
      </c>
      <c r="B62" s="23" t="s">
        <v>3234</v>
      </c>
      <c r="C62" s="23"/>
      <c r="D62" s="23" t="s">
        <v>3167</v>
      </c>
    </row>
    <row r="63" spans="1:4" ht="20" customHeight="1" x14ac:dyDescent="0.2">
      <c r="A63" s="25" t="s">
        <v>409</v>
      </c>
      <c r="B63" s="25" t="s">
        <v>3235</v>
      </c>
      <c r="C63" s="25"/>
      <c r="D63" s="25" t="s">
        <v>3146</v>
      </c>
    </row>
    <row r="64" spans="1:4" ht="20" customHeight="1" x14ac:dyDescent="0.2">
      <c r="A64" s="23" t="s">
        <v>409</v>
      </c>
      <c r="B64" s="23" t="s">
        <v>3236</v>
      </c>
      <c r="C64" s="23"/>
      <c r="D64" s="23" t="s">
        <v>3167</v>
      </c>
    </row>
    <row r="65" spans="1:4" ht="20" customHeight="1" x14ac:dyDescent="0.2">
      <c r="A65" s="25" t="s">
        <v>409</v>
      </c>
      <c r="B65" s="25" t="s">
        <v>3237</v>
      </c>
      <c r="C65" s="25"/>
      <c r="D65" s="25" t="s">
        <v>3146</v>
      </c>
    </row>
    <row r="66" spans="1:4" ht="20" customHeight="1" x14ac:dyDescent="0.2">
      <c r="A66" s="23" t="s">
        <v>409</v>
      </c>
      <c r="B66" s="23" t="s">
        <v>3238</v>
      </c>
      <c r="C66" s="23"/>
      <c r="D66" s="23" t="s">
        <v>3164</v>
      </c>
    </row>
    <row r="67" spans="1:4" ht="20" customHeight="1" x14ac:dyDescent="0.2">
      <c r="A67" s="25" t="s">
        <v>409</v>
      </c>
      <c r="B67" s="25" t="s">
        <v>2490</v>
      </c>
      <c r="C67" s="25"/>
      <c r="D67" s="25" t="s">
        <v>3147</v>
      </c>
    </row>
    <row r="68" spans="1:4" ht="20" customHeight="1" x14ac:dyDescent="0.2">
      <c r="A68" s="23" t="s">
        <v>409</v>
      </c>
      <c r="B68" s="23" t="s">
        <v>3239</v>
      </c>
      <c r="C68" s="23"/>
      <c r="D68" s="23" t="s">
        <v>3142</v>
      </c>
    </row>
    <row r="69" spans="1:4" ht="20" customHeight="1" x14ac:dyDescent="0.2">
      <c r="A69" s="25" t="s">
        <v>409</v>
      </c>
      <c r="B69" s="25" t="s">
        <v>3240</v>
      </c>
      <c r="C69" s="25"/>
      <c r="D69" s="25" t="s">
        <v>3147</v>
      </c>
    </row>
    <row r="70" spans="1:4" ht="20" customHeight="1" x14ac:dyDescent="0.2">
      <c r="A70" s="23" t="s">
        <v>409</v>
      </c>
      <c r="B70" s="23" t="s">
        <v>3241</v>
      </c>
      <c r="C70" s="23"/>
      <c r="D70" s="23" t="s">
        <v>3143</v>
      </c>
    </row>
    <row r="71" spans="1:4" ht="20" customHeight="1" x14ac:dyDescent="0.2">
      <c r="A71" s="25" t="s">
        <v>409</v>
      </c>
      <c r="B71" s="25" t="s">
        <v>3242</v>
      </c>
      <c r="C71" s="25"/>
      <c r="D71" s="25" t="s">
        <v>3146</v>
      </c>
    </row>
    <row r="72" spans="1:4" ht="20" customHeight="1" x14ac:dyDescent="0.2">
      <c r="A72" s="23" t="s">
        <v>409</v>
      </c>
      <c r="B72" s="23" t="s">
        <v>3243</v>
      </c>
      <c r="C72" s="23" t="s">
        <v>1069</v>
      </c>
      <c r="D72" s="23" t="s">
        <v>119</v>
      </c>
    </row>
    <row r="73" spans="1:4" ht="20" customHeight="1" x14ac:dyDescent="0.2">
      <c r="A73" s="25" t="s">
        <v>409</v>
      </c>
      <c r="B73" s="25" t="s">
        <v>3244</v>
      </c>
      <c r="C73" s="25" t="s">
        <v>111</v>
      </c>
      <c r="D73" s="25" t="s">
        <v>119</v>
      </c>
    </row>
    <row r="74" spans="1:4" ht="20" customHeight="1" x14ac:dyDescent="0.2">
      <c r="A74" s="23" t="s">
        <v>409</v>
      </c>
      <c r="B74" s="23" t="s">
        <v>3245</v>
      </c>
      <c r="C74" s="23" t="s">
        <v>111</v>
      </c>
      <c r="D74" s="23" t="s">
        <v>119</v>
      </c>
    </row>
    <row r="75" spans="1:4" ht="20" customHeight="1" x14ac:dyDescent="0.2">
      <c r="A75" s="25" t="s">
        <v>409</v>
      </c>
      <c r="B75" s="25" t="s">
        <v>3246</v>
      </c>
      <c r="C75" s="25" t="s">
        <v>1679</v>
      </c>
      <c r="D75" s="25" t="s">
        <v>1010</v>
      </c>
    </row>
    <row r="76" spans="1:4" ht="20" customHeight="1" x14ac:dyDescent="0.2">
      <c r="A76" s="23" t="s">
        <v>409</v>
      </c>
      <c r="B76" s="23" t="s">
        <v>3247</v>
      </c>
      <c r="C76" s="23" t="s">
        <v>1680</v>
      </c>
      <c r="D76" s="23" t="s">
        <v>1015</v>
      </c>
    </row>
    <row r="77" spans="1:4" ht="20" customHeight="1" x14ac:dyDescent="0.2">
      <c r="A77" s="25" t="s">
        <v>409</v>
      </c>
      <c r="B77" s="25" t="s">
        <v>3248</v>
      </c>
      <c r="C77" s="25" t="s">
        <v>1128</v>
      </c>
      <c r="D77" s="25" t="s">
        <v>1014</v>
      </c>
    </row>
    <row r="78" spans="1:4" ht="29" customHeight="1" x14ac:dyDescent="0.2">
      <c r="A78" s="23" t="s">
        <v>409</v>
      </c>
      <c r="B78" s="23" t="s">
        <v>3249</v>
      </c>
      <c r="C78" s="23" t="s">
        <v>3250</v>
      </c>
      <c r="D78" s="23" t="s">
        <v>3250</v>
      </c>
    </row>
    <row r="79" spans="1:4" ht="29" customHeight="1" x14ac:dyDescent="0.2">
      <c r="A79" s="25" t="s">
        <v>409</v>
      </c>
      <c r="B79" s="25" t="s">
        <v>3251</v>
      </c>
      <c r="C79" s="25" t="s">
        <v>114</v>
      </c>
      <c r="D79" s="25" t="s">
        <v>3252</v>
      </c>
    </row>
    <row r="80" spans="1:4" ht="29" customHeight="1" x14ac:dyDescent="0.2">
      <c r="A80" s="23" t="s">
        <v>409</v>
      </c>
      <c r="B80" s="23" t="s">
        <v>3253</v>
      </c>
      <c r="C80" s="23" t="s">
        <v>1950</v>
      </c>
      <c r="D80" s="23" t="s">
        <v>3254</v>
      </c>
    </row>
    <row r="81" spans="1:4" ht="29" customHeight="1" x14ac:dyDescent="0.2">
      <c r="A81" s="25" t="s">
        <v>409</v>
      </c>
      <c r="B81" s="25" t="s">
        <v>3255</v>
      </c>
      <c r="C81" s="25" t="s">
        <v>1032</v>
      </c>
      <c r="D81" s="25" t="s">
        <v>1109</v>
      </c>
    </row>
    <row r="82" spans="1:4" ht="20" customHeight="1" x14ac:dyDescent="0.2">
      <c r="A82" s="23" t="s">
        <v>409</v>
      </c>
      <c r="B82" s="23" t="s">
        <v>3256</v>
      </c>
      <c r="C82" s="23" t="s">
        <v>3155</v>
      </c>
      <c r="D82" s="23" t="s">
        <v>1111</v>
      </c>
    </row>
    <row r="83" spans="1:4" ht="29" customHeight="1" x14ac:dyDescent="0.2">
      <c r="A83" s="25" t="s">
        <v>409</v>
      </c>
      <c r="B83" s="25" t="s">
        <v>3257</v>
      </c>
      <c r="C83" s="25" t="s">
        <v>3258</v>
      </c>
      <c r="D83" s="25" t="s">
        <v>3258</v>
      </c>
    </row>
    <row r="84" spans="1:4" ht="29" customHeight="1" x14ac:dyDescent="0.2">
      <c r="A84" s="23" t="s">
        <v>409</v>
      </c>
      <c r="B84" s="23" t="s">
        <v>3259</v>
      </c>
      <c r="C84" s="23" t="s">
        <v>114</v>
      </c>
      <c r="D84" s="23" t="s">
        <v>3260</v>
      </c>
    </row>
    <row r="85" spans="1:4" ht="29" customHeight="1" x14ac:dyDescent="0.2">
      <c r="A85" s="25" t="s">
        <v>409</v>
      </c>
      <c r="B85" s="25" t="s">
        <v>3261</v>
      </c>
      <c r="C85" s="25" t="s">
        <v>3262</v>
      </c>
      <c r="D85" s="25" t="s">
        <v>3263</v>
      </c>
    </row>
    <row r="86" spans="1:4" ht="29" customHeight="1" x14ac:dyDescent="0.2">
      <c r="A86" s="23" t="s">
        <v>409</v>
      </c>
      <c r="B86" s="23" t="s">
        <v>3264</v>
      </c>
      <c r="C86" s="23" t="s">
        <v>1948</v>
      </c>
      <c r="D86" s="23" t="s">
        <v>3265</v>
      </c>
    </row>
    <row r="87" spans="1:4" ht="29" customHeight="1" x14ac:dyDescent="0.2">
      <c r="A87" s="25" t="s">
        <v>409</v>
      </c>
      <c r="B87" s="25" t="s">
        <v>3266</v>
      </c>
      <c r="C87" s="25" t="s">
        <v>1946</v>
      </c>
      <c r="D87" s="25" t="s">
        <v>3267</v>
      </c>
    </row>
    <row r="88" spans="1:4" ht="20" customHeight="1" x14ac:dyDescent="0.2">
      <c r="A88" s="23" t="s">
        <v>560</v>
      </c>
      <c r="B88" s="23" t="s">
        <v>3268</v>
      </c>
      <c r="C88" s="23" t="s">
        <v>1008</v>
      </c>
      <c r="D88" s="23" t="s">
        <v>1014</v>
      </c>
    </row>
    <row r="89" spans="1:4" ht="20" customHeight="1" x14ac:dyDescent="0.2">
      <c r="A89" s="25" t="s">
        <v>560</v>
      </c>
      <c r="B89" s="25" t="s">
        <v>3269</v>
      </c>
      <c r="C89" s="25" t="s">
        <v>1021</v>
      </c>
      <c r="D89" s="25" t="s">
        <v>1010</v>
      </c>
    </row>
    <row r="90" spans="1:4" ht="20" customHeight="1" x14ac:dyDescent="0.2">
      <c r="A90" s="23" t="s">
        <v>560</v>
      </c>
      <c r="B90" s="23" t="s">
        <v>3141</v>
      </c>
      <c r="C90" s="23" t="s">
        <v>1012</v>
      </c>
      <c r="D90" s="23" t="s">
        <v>1015</v>
      </c>
    </row>
    <row r="91" spans="1:4" ht="20" customHeight="1" x14ac:dyDescent="0.2">
      <c r="A91" s="25" t="s">
        <v>560</v>
      </c>
      <c r="B91" s="25" t="s">
        <v>3270</v>
      </c>
      <c r="C91" s="25" t="s">
        <v>1925</v>
      </c>
      <c r="D91" s="25" t="s">
        <v>1016</v>
      </c>
    </row>
    <row r="92" spans="1:4" ht="20" customHeight="1" x14ac:dyDescent="0.2">
      <c r="A92" s="23" t="s">
        <v>560</v>
      </c>
      <c r="B92" s="23" t="s">
        <v>3271</v>
      </c>
      <c r="C92" s="23" t="s">
        <v>1008</v>
      </c>
      <c r="D92" s="23" t="s">
        <v>1014</v>
      </c>
    </row>
    <row r="93" spans="1:4" ht="20" customHeight="1" x14ac:dyDescent="0.2">
      <c r="A93" s="25" t="s">
        <v>560</v>
      </c>
      <c r="B93" s="25" t="s">
        <v>3163</v>
      </c>
      <c r="C93" s="25" t="s">
        <v>1043</v>
      </c>
      <c r="D93" s="25" t="s">
        <v>1015</v>
      </c>
    </row>
    <row r="94" spans="1:4" ht="29" customHeight="1" x14ac:dyDescent="0.2">
      <c r="A94" s="23" t="s">
        <v>560</v>
      </c>
      <c r="B94" s="23" t="s">
        <v>3272</v>
      </c>
      <c r="C94" s="23" t="s">
        <v>1936</v>
      </c>
      <c r="D94" s="23" t="s">
        <v>1048</v>
      </c>
    </row>
    <row r="95" spans="1:4" ht="20" customHeight="1" x14ac:dyDescent="0.2">
      <c r="A95" s="25" t="s">
        <v>560</v>
      </c>
      <c r="B95" s="25" t="s">
        <v>3273</v>
      </c>
      <c r="C95" s="25" t="s">
        <v>1008</v>
      </c>
      <c r="D95" s="25" t="s">
        <v>1014</v>
      </c>
    </row>
    <row r="96" spans="1:4" ht="20" customHeight="1" x14ac:dyDescent="0.2">
      <c r="A96" s="23" t="s">
        <v>560</v>
      </c>
      <c r="B96" s="23" t="s">
        <v>3188</v>
      </c>
      <c r="C96" s="23" t="s">
        <v>1030</v>
      </c>
      <c r="D96" s="23" t="s">
        <v>1009</v>
      </c>
    </row>
    <row r="97" spans="1:4" ht="20" customHeight="1" x14ac:dyDescent="0.2">
      <c r="A97" s="25" t="s">
        <v>560</v>
      </c>
      <c r="B97" s="25" t="s">
        <v>3180</v>
      </c>
      <c r="C97" s="25" t="s">
        <v>1046</v>
      </c>
      <c r="D97" s="25" t="s">
        <v>1015</v>
      </c>
    </row>
    <row r="98" spans="1:4" ht="20" customHeight="1" x14ac:dyDescent="0.2">
      <c r="A98" s="23" t="s">
        <v>560</v>
      </c>
      <c r="B98" s="23" t="s">
        <v>3274</v>
      </c>
      <c r="C98" s="23" t="s">
        <v>1937</v>
      </c>
      <c r="D98" s="23" t="s">
        <v>1051</v>
      </c>
    </row>
    <row r="99" spans="1:4" ht="20" customHeight="1" x14ac:dyDescent="0.2">
      <c r="A99" s="25" t="s">
        <v>560</v>
      </c>
      <c r="B99" s="25" t="s">
        <v>3275</v>
      </c>
      <c r="C99" s="25" t="s">
        <v>1008</v>
      </c>
      <c r="D99" s="25" t="s">
        <v>1014</v>
      </c>
    </row>
    <row r="100" spans="1:4" ht="20" customHeight="1" x14ac:dyDescent="0.2">
      <c r="A100" s="23" t="s">
        <v>560</v>
      </c>
      <c r="B100" s="23" t="s">
        <v>3276</v>
      </c>
      <c r="C100" s="23" t="s">
        <v>1043</v>
      </c>
      <c r="D100" s="23" t="s">
        <v>1015</v>
      </c>
    </row>
    <row r="101" spans="1:4" ht="20" customHeight="1" x14ac:dyDescent="0.2">
      <c r="A101" s="25" t="s">
        <v>560</v>
      </c>
      <c r="B101" s="25" t="s">
        <v>3277</v>
      </c>
      <c r="C101" s="25" t="s">
        <v>1939</v>
      </c>
      <c r="D101" s="25" t="s">
        <v>1056</v>
      </c>
    </row>
    <row r="102" spans="1:4" ht="20" customHeight="1" x14ac:dyDescent="0.2">
      <c r="A102" s="23" t="s">
        <v>560</v>
      </c>
      <c r="B102" s="23" t="s">
        <v>3278</v>
      </c>
      <c r="C102" s="23" t="s">
        <v>1008</v>
      </c>
      <c r="D102" s="23" t="s">
        <v>1014</v>
      </c>
    </row>
    <row r="103" spans="1:4" ht="20" customHeight="1" x14ac:dyDescent="0.2">
      <c r="A103" s="25" t="s">
        <v>560</v>
      </c>
      <c r="B103" s="25" t="s">
        <v>3279</v>
      </c>
      <c r="C103" s="25" t="s">
        <v>1021</v>
      </c>
      <c r="D103" s="25" t="s">
        <v>1010</v>
      </c>
    </row>
    <row r="104" spans="1:4" ht="20" customHeight="1" x14ac:dyDescent="0.2">
      <c r="A104" s="23" t="s">
        <v>560</v>
      </c>
      <c r="B104" s="23" t="s">
        <v>3280</v>
      </c>
      <c r="C104" s="23" t="s">
        <v>1642</v>
      </c>
      <c r="D104" s="23" t="s">
        <v>1015</v>
      </c>
    </row>
    <row r="105" spans="1:4" ht="20" customHeight="1" x14ac:dyDescent="0.2">
      <c r="A105" s="25" t="s">
        <v>560</v>
      </c>
      <c r="B105" s="25" t="s">
        <v>3281</v>
      </c>
      <c r="C105" s="25" t="s">
        <v>1927</v>
      </c>
      <c r="D105" s="25" t="s">
        <v>1018</v>
      </c>
    </row>
    <row r="106" spans="1:4" ht="20" customHeight="1" x14ac:dyDescent="0.2">
      <c r="A106" s="23" t="s">
        <v>560</v>
      </c>
      <c r="B106" s="23" t="s">
        <v>3282</v>
      </c>
      <c r="C106" s="23" t="s">
        <v>1074</v>
      </c>
      <c r="D106" s="23" t="s">
        <v>1014</v>
      </c>
    </row>
    <row r="107" spans="1:4" ht="20" customHeight="1" x14ac:dyDescent="0.2">
      <c r="A107" s="25" t="s">
        <v>560</v>
      </c>
      <c r="B107" s="25" t="s">
        <v>3246</v>
      </c>
      <c r="C107" s="25" t="s">
        <v>111</v>
      </c>
      <c r="D107" s="25" t="s">
        <v>119</v>
      </c>
    </row>
    <row r="108" spans="1:4" ht="20" customHeight="1" x14ac:dyDescent="0.2">
      <c r="A108" s="23" t="s">
        <v>560</v>
      </c>
      <c r="B108" s="23" t="s">
        <v>3247</v>
      </c>
      <c r="C108" s="23" t="s">
        <v>1030</v>
      </c>
      <c r="D108" s="23" t="s">
        <v>1009</v>
      </c>
    </row>
    <row r="109" spans="1:4" ht="20" customHeight="1" x14ac:dyDescent="0.2">
      <c r="A109" s="25" t="s">
        <v>560</v>
      </c>
      <c r="B109" s="25" t="s">
        <v>3245</v>
      </c>
      <c r="C109" s="25" t="s">
        <v>1679</v>
      </c>
      <c r="D109" s="25" t="s">
        <v>1010</v>
      </c>
    </row>
    <row r="110" spans="1:4" ht="20" customHeight="1" x14ac:dyDescent="0.2">
      <c r="A110" s="23" t="s">
        <v>560</v>
      </c>
      <c r="B110" s="23" t="s">
        <v>3234</v>
      </c>
      <c r="C110" s="23" t="s">
        <v>1680</v>
      </c>
      <c r="D110" s="23" t="s">
        <v>1015</v>
      </c>
    </row>
    <row r="111" spans="1:4" ht="20" customHeight="1" x14ac:dyDescent="0.2">
      <c r="A111" s="25" t="s">
        <v>560</v>
      </c>
      <c r="B111" s="25" t="s">
        <v>3235</v>
      </c>
      <c r="C111" s="25" t="s">
        <v>1950</v>
      </c>
      <c r="D111" s="25" t="s">
        <v>1077</v>
      </c>
    </row>
    <row r="112" spans="1:4" ht="20" customHeight="1" x14ac:dyDescent="0.2">
      <c r="A112" s="23" t="s">
        <v>560</v>
      </c>
      <c r="B112" s="23" t="s">
        <v>3283</v>
      </c>
      <c r="C112" s="23" t="s">
        <v>1008</v>
      </c>
      <c r="D112" s="23" t="s">
        <v>1014</v>
      </c>
    </row>
    <row r="113" spans="1:4" ht="29" customHeight="1" x14ac:dyDescent="0.2">
      <c r="A113" s="25" t="s">
        <v>560</v>
      </c>
      <c r="B113" s="25" t="s">
        <v>3284</v>
      </c>
      <c r="C113" s="25" t="s">
        <v>1942</v>
      </c>
      <c r="D113" s="25" t="s">
        <v>1063</v>
      </c>
    </row>
    <row r="114" spans="1:4" ht="20" customHeight="1" x14ac:dyDescent="0.2">
      <c r="A114" s="23" t="s">
        <v>560</v>
      </c>
      <c r="B114" s="23" t="s">
        <v>3285</v>
      </c>
      <c r="C114" s="23" t="s">
        <v>1008</v>
      </c>
      <c r="D114" s="23" t="s">
        <v>1029</v>
      </c>
    </row>
    <row r="115" spans="1:4" ht="20" customHeight="1" x14ac:dyDescent="0.2">
      <c r="A115" s="25" t="s">
        <v>560</v>
      </c>
      <c r="B115" s="25" t="s">
        <v>3286</v>
      </c>
      <c r="C115" s="25" t="s">
        <v>1931</v>
      </c>
      <c r="D115" s="25" t="s">
        <v>1033</v>
      </c>
    </row>
    <row r="116" spans="1:4" ht="20" customHeight="1" x14ac:dyDescent="0.2">
      <c r="A116" s="23" t="s">
        <v>560</v>
      </c>
      <c r="B116" s="23" t="s">
        <v>3287</v>
      </c>
      <c r="C116" s="23" t="s">
        <v>1074</v>
      </c>
      <c r="D116" s="23" t="s">
        <v>1068</v>
      </c>
    </row>
    <row r="117" spans="1:4" ht="20" customHeight="1" x14ac:dyDescent="0.2">
      <c r="A117" s="25" t="s">
        <v>560</v>
      </c>
      <c r="B117" s="25" t="s">
        <v>3288</v>
      </c>
      <c r="C117" s="25" t="s">
        <v>1948</v>
      </c>
      <c r="D117" s="25" t="s">
        <v>1076</v>
      </c>
    </row>
    <row r="118" spans="1:4" ht="20" customHeight="1" x14ac:dyDescent="0.2">
      <c r="A118" s="23" t="s">
        <v>560</v>
      </c>
      <c r="B118" s="23" t="s">
        <v>3289</v>
      </c>
      <c r="C118" s="23" t="s">
        <v>1070</v>
      </c>
      <c r="D118" s="23" t="s">
        <v>1068</v>
      </c>
    </row>
    <row r="119" spans="1:4" ht="29" customHeight="1" x14ac:dyDescent="0.2">
      <c r="A119" s="25" t="s">
        <v>560</v>
      </c>
      <c r="B119" s="25" t="s">
        <v>3290</v>
      </c>
      <c r="C119" s="25" t="s">
        <v>1946</v>
      </c>
      <c r="D119" s="25" t="s">
        <v>1072</v>
      </c>
    </row>
    <row r="120" spans="1:4" ht="20" customHeight="1" x14ac:dyDescent="0.2">
      <c r="A120" s="23" t="s">
        <v>388</v>
      </c>
      <c r="B120" s="23" t="s">
        <v>3291</v>
      </c>
      <c r="C120" s="23" t="s">
        <v>3292</v>
      </c>
      <c r="D120" s="23" t="s">
        <v>3293</v>
      </c>
    </row>
    <row r="121" spans="1:4" ht="20" customHeight="1" x14ac:dyDescent="0.2">
      <c r="A121" s="25" t="s">
        <v>388</v>
      </c>
      <c r="B121" s="25" t="s">
        <v>3294</v>
      </c>
      <c r="C121" s="25" t="s">
        <v>3293</v>
      </c>
      <c r="D121" s="25" t="s">
        <v>3295</v>
      </c>
    </row>
    <row r="122" spans="1:4" ht="20" customHeight="1" x14ac:dyDescent="0.2">
      <c r="A122" s="23" t="s">
        <v>388</v>
      </c>
      <c r="B122" s="23" t="s">
        <v>3296</v>
      </c>
      <c r="C122" s="23" t="s">
        <v>3297</v>
      </c>
      <c r="D122" s="23" t="s">
        <v>3298</v>
      </c>
    </row>
    <row r="123" spans="1:4" ht="20" customHeight="1" x14ac:dyDescent="0.2">
      <c r="A123" s="25" t="s">
        <v>388</v>
      </c>
      <c r="B123" s="25" t="s">
        <v>3299</v>
      </c>
      <c r="C123" s="25" t="s">
        <v>3300</v>
      </c>
      <c r="D123" s="25" t="s">
        <v>3298</v>
      </c>
    </row>
    <row r="124" spans="1:4" ht="20" customHeight="1" x14ac:dyDescent="0.2">
      <c r="A124" s="23" t="s">
        <v>395</v>
      </c>
      <c r="B124" s="23" t="s">
        <v>3301</v>
      </c>
      <c r="C124" s="23" t="s">
        <v>3292</v>
      </c>
      <c r="D124" s="23" t="s">
        <v>3293</v>
      </c>
    </row>
    <row r="125" spans="1:4" ht="20" customHeight="1" x14ac:dyDescent="0.2">
      <c r="A125" s="25" t="s">
        <v>395</v>
      </c>
      <c r="B125" s="25" t="s">
        <v>3302</v>
      </c>
      <c r="C125" s="25" t="s">
        <v>3293</v>
      </c>
      <c r="D125" s="25" t="s">
        <v>3295</v>
      </c>
    </row>
    <row r="126" spans="1:4" ht="20" customHeight="1" x14ac:dyDescent="0.2">
      <c r="A126" s="23" t="s">
        <v>395</v>
      </c>
      <c r="B126" s="23" t="s">
        <v>3296</v>
      </c>
      <c r="C126" s="23" t="s">
        <v>3297</v>
      </c>
      <c r="D126" s="23" t="s">
        <v>3298</v>
      </c>
    </row>
    <row r="127" spans="1:4" ht="20" customHeight="1" x14ac:dyDescent="0.2">
      <c r="A127" s="25" t="s">
        <v>395</v>
      </c>
      <c r="B127" s="25" t="s">
        <v>3299</v>
      </c>
      <c r="C127" s="25" t="s">
        <v>3300</v>
      </c>
      <c r="D127" s="25" t="s">
        <v>3298</v>
      </c>
    </row>
    <row r="128" spans="1:4" ht="20" customHeight="1" x14ac:dyDescent="0.2">
      <c r="A128" s="23" t="s">
        <v>380</v>
      </c>
      <c r="B128" s="23" t="s">
        <v>2126</v>
      </c>
      <c r="C128" s="23" t="s">
        <v>3303</v>
      </c>
      <c r="D128" s="23" t="s">
        <v>748</v>
      </c>
    </row>
    <row r="129" spans="1:4" ht="20" customHeight="1" x14ac:dyDescent="0.2">
      <c r="A129" s="25" t="s">
        <v>610</v>
      </c>
      <c r="B129" s="25" t="s">
        <v>3304</v>
      </c>
      <c r="C129" s="25" t="s">
        <v>3305</v>
      </c>
      <c r="D129" s="25" t="s">
        <v>1523</v>
      </c>
    </row>
    <row r="130" spans="1:4" ht="20" customHeight="1" x14ac:dyDescent="0.2">
      <c r="A130" s="23" t="s">
        <v>610</v>
      </c>
      <c r="B130" s="23" t="s">
        <v>3306</v>
      </c>
      <c r="C130" s="23" t="s">
        <v>3307</v>
      </c>
      <c r="D130" s="23" t="s">
        <v>1526</v>
      </c>
    </row>
    <row r="131" spans="1:4" ht="20" customHeight="1" x14ac:dyDescent="0.2">
      <c r="A131" s="25" t="s">
        <v>3308</v>
      </c>
      <c r="B131" s="25" t="s">
        <v>3309</v>
      </c>
      <c r="C131" s="25" t="s">
        <v>667</v>
      </c>
      <c r="D131" s="25" t="s">
        <v>627</v>
      </c>
    </row>
    <row r="132" spans="1:4" ht="20" customHeight="1" x14ac:dyDescent="0.2">
      <c r="A132" s="23" t="s">
        <v>3308</v>
      </c>
      <c r="B132" s="23" t="s">
        <v>3310</v>
      </c>
      <c r="C132" s="23" t="s">
        <v>3311</v>
      </c>
      <c r="D132" s="23" t="s">
        <v>629</v>
      </c>
    </row>
    <row r="133" spans="1:4" ht="20" customHeight="1" x14ac:dyDescent="0.2">
      <c r="A133" s="25" t="s">
        <v>3308</v>
      </c>
      <c r="B133" s="25" t="s">
        <v>3312</v>
      </c>
      <c r="C133" s="25" t="s">
        <v>667</v>
      </c>
      <c r="D133" s="25" t="s">
        <v>627</v>
      </c>
    </row>
    <row r="134" spans="1:4" ht="20" customHeight="1" x14ac:dyDescent="0.2">
      <c r="A134" s="23" t="s">
        <v>3308</v>
      </c>
      <c r="B134" s="23" t="s">
        <v>3270</v>
      </c>
      <c r="C134" s="23" t="s">
        <v>3313</v>
      </c>
      <c r="D134" s="23" t="s">
        <v>634</v>
      </c>
    </row>
    <row r="135" spans="1:4" ht="20" customHeight="1" x14ac:dyDescent="0.2">
      <c r="A135" s="25" t="s">
        <v>3308</v>
      </c>
      <c r="B135" s="25" t="s">
        <v>3314</v>
      </c>
      <c r="C135" s="25" t="s">
        <v>667</v>
      </c>
      <c r="D135" s="25" t="s">
        <v>627</v>
      </c>
    </row>
    <row r="136" spans="1:4" ht="20" customHeight="1" x14ac:dyDescent="0.2">
      <c r="A136" s="23" t="s">
        <v>3308</v>
      </c>
      <c r="B136" s="23" t="s">
        <v>3315</v>
      </c>
      <c r="C136" s="23" t="s">
        <v>3316</v>
      </c>
      <c r="D136" s="23" t="s">
        <v>639</v>
      </c>
    </row>
    <row r="137" spans="1:4" ht="20" customHeight="1" x14ac:dyDescent="0.2">
      <c r="A137" s="25" t="s">
        <v>3308</v>
      </c>
      <c r="B137" s="25" t="s">
        <v>3317</v>
      </c>
      <c r="C137" s="25" t="s">
        <v>667</v>
      </c>
      <c r="D137" s="25" t="s">
        <v>3318</v>
      </c>
    </row>
    <row r="138" spans="1:4" ht="20" customHeight="1" x14ac:dyDescent="0.2">
      <c r="A138" s="23" t="s">
        <v>3308</v>
      </c>
      <c r="B138" s="23" t="s">
        <v>3281</v>
      </c>
      <c r="C138" s="23" t="s">
        <v>3319</v>
      </c>
      <c r="D138" s="23" t="s">
        <v>645</v>
      </c>
    </row>
    <row r="139" spans="1:4" ht="20" customHeight="1" x14ac:dyDescent="0.2">
      <c r="A139" s="25" t="s">
        <v>3308</v>
      </c>
      <c r="B139" s="25" t="s">
        <v>3320</v>
      </c>
      <c r="C139" s="25" t="s">
        <v>667</v>
      </c>
      <c r="D139" s="25" t="s">
        <v>627</v>
      </c>
    </row>
    <row r="140" spans="1:4" ht="20" customHeight="1" x14ac:dyDescent="0.2">
      <c r="A140" s="23" t="s">
        <v>3308</v>
      </c>
      <c r="B140" s="23" t="s">
        <v>3321</v>
      </c>
      <c r="C140" s="23" t="s">
        <v>3322</v>
      </c>
      <c r="D140" s="23" t="s">
        <v>650</v>
      </c>
    </row>
    <row r="141" spans="1:4" ht="20" customHeight="1" x14ac:dyDescent="0.2">
      <c r="A141" s="25" t="s">
        <v>3308</v>
      </c>
      <c r="B141" s="25" t="s">
        <v>3323</v>
      </c>
      <c r="C141" s="25" t="s">
        <v>667</v>
      </c>
      <c r="D141" s="25" t="s">
        <v>627</v>
      </c>
    </row>
    <row r="142" spans="1:4" ht="20" customHeight="1" x14ac:dyDescent="0.2">
      <c r="A142" s="23" t="s">
        <v>3308</v>
      </c>
      <c r="B142" s="23" t="s">
        <v>3324</v>
      </c>
      <c r="C142" s="23" t="s">
        <v>3325</v>
      </c>
      <c r="D142" s="23" t="s">
        <v>653</v>
      </c>
    </row>
    <row r="143" spans="1:4" ht="20" customHeight="1" x14ac:dyDescent="0.2">
      <c r="A143" s="25" t="s">
        <v>3308</v>
      </c>
      <c r="B143" s="25" t="s">
        <v>3326</v>
      </c>
      <c r="C143" s="25" t="s">
        <v>667</v>
      </c>
      <c r="D143" s="25" t="s">
        <v>627</v>
      </c>
    </row>
    <row r="144" spans="1:4" ht="20" customHeight="1" x14ac:dyDescent="0.2">
      <c r="A144" s="23" t="s">
        <v>3308</v>
      </c>
      <c r="B144" s="23" t="s">
        <v>3327</v>
      </c>
      <c r="C144" s="23" t="s">
        <v>3328</v>
      </c>
      <c r="D144" s="23" t="s">
        <v>680</v>
      </c>
    </row>
  </sheetData>
  <mergeCells count="2">
    <mergeCell ref="A1:D1"/>
    <mergeCell ref="A2:D2"/>
  </mergeCells>
  <pageMargins left="0.75" right="0.75" top="1" bottom="1" header="0.5" footer="0.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pageSetUpPr fitToPage="1"/>
  </sheetPr>
  <dimension ref="A1:E159"/>
  <sheetViews>
    <sheetView showGridLines="0" rightToLeft="1" zoomScale="85" workbookViewId="0">
      <pane xSplit="1" ySplit="3" topLeftCell="B4" activePane="bottomRight" state="frozen"/>
      <selection pane="topRight"/>
      <selection pane="bottomLeft"/>
      <selection pane="bottomRight"/>
    </sheetView>
  </sheetViews>
  <sheetFormatPr baseColWidth="10" defaultColWidth="8.83203125" defaultRowHeight="15" x14ac:dyDescent="0.2"/>
  <cols>
    <col min="1" max="1" width="32" customWidth="1"/>
    <col min="2" max="2" width="13" customWidth="1"/>
    <col min="3" max="4" width="66" customWidth="1"/>
    <col min="5" max="5" width="71" customWidth="1"/>
  </cols>
  <sheetData>
    <row r="1" spans="1:5" ht="38" customHeight="1" x14ac:dyDescent="0.2">
      <c r="A1" s="75" t="s">
        <v>3329</v>
      </c>
      <c r="B1" s="76"/>
      <c r="C1" s="76"/>
      <c r="D1" s="76"/>
      <c r="E1" s="76"/>
    </row>
    <row r="2" spans="1:5" ht="44" customHeight="1" x14ac:dyDescent="0.2">
      <c r="A2" s="77" t="s">
        <v>3330</v>
      </c>
      <c r="B2" s="76"/>
      <c r="C2" s="76"/>
      <c r="D2" s="76"/>
      <c r="E2" s="76"/>
    </row>
    <row r="3" spans="1:5" ht="36" customHeight="1" x14ac:dyDescent="0.2">
      <c r="A3" s="55" t="s">
        <v>535</v>
      </c>
      <c r="B3" s="55" t="s">
        <v>3138</v>
      </c>
      <c r="C3" s="55" t="s">
        <v>2679</v>
      </c>
      <c r="D3" s="55" t="s">
        <v>2680</v>
      </c>
      <c r="E3" s="55" t="s">
        <v>3331</v>
      </c>
    </row>
    <row r="4" spans="1:5" ht="94" customHeight="1" x14ac:dyDescent="0.2">
      <c r="A4" s="56" t="s">
        <v>3332</v>
      </c>
      <c r="B4" s="56" t="s">
        <v>3301</v>
      </c>
      <c r="C4" s="56" t="s">
        <v>3333</v>
      </c>
      <c r="D4" s="56" t="s">
        <v>474</v>
      </c>
      <c r="E4" s="56" t="s">
        <v>3334</v>
      </c>
    </row>
    <row r="5" spans="1:5" ht="94" customHeight="1" x14ac:dyDescent="0.2">
      <c r="A5" s="57" t="s">
        <v>3332</v>
      </c>
      <c r="B5" s="57" t="s">
        <v>3335</v>
      </c>
      <c r="C5" s="57" t="s">
        <v>455</v>
      </c>
      <c r="D5" s="57" t="s">
        <v>477</v>
      </c>
      <c r="E5" s="57" t="s">
        <v>3336</v>
      </c>
    </row>
    <row r="6" spans="1:5" ht="94" customHeight="1" x14ac:dyDescent="0.2">
      <c r="A6" s="56" t="s">
        <v>3308</v>
      </c>
      <c r="B6" s="56" t="s">
        <v>3337</v>
      </c>
      <c r="C6" s="56" t="s">
        <v>3338</v>
      </c>
      <c r="D6" s="56" t="s">
        <v>616</v>
      </c>
      <c r="E6" s="56" t="s">
        <v>3339</v>
      </c>
    </row>
    <row r="7" spans="1:5" ht="94" customHeight="1" x14ac:dyDescent="0.2">
      <c r="A7" s="57" t="s">
        <v>3308</v>
      </c>
      <c r="B7" s="57" t="s">
        <v>3224</v>
      </c>
      <c r="C7" s="57" t="s">
        <v>3340</v>
      </c>
      <c r="D7" s="57" t="s">
        <v>641</v>
      </c>
      <c r="E7" s="57" t="s">
        <v>3341</v>
      </c>
    </row>
    <row r="8" spans="1:5" ht="94" customHeight="1" x14ac:dyDescent="0.2">
      <c r="A8" s="56" t="s">
        <v>3308</v>
      </c>
      <c r="B8" s="56" t="s">
        <v>3317</v>
      </c>
      <c r="C8" s="56" t="s">
        <v>3318</v>
      </c>
      <c r="D8" s="56" t="s">
        <v>643</v>
      </c>
      <c r="E8" s="56" t="s">
        <v>3342</v>
      </c>
    </row>
    <row r="9" spans="1:5" ht="94" customHeight="1" x14ac:dyDescent="0.2">
      <c r="A9" s="57" t="s">
        <v>3308</v>
      </c>
      <c r="B9" s="57" t="s">
        <v>3280</v>
      </c>
      <c r="C9" s="57" t="s">
        <v>3343</v>
      </c>
      <c r="D9" s="57" t="s">
        <v>644</v>
      </c>
      <c r="E9" s="57" t="s">
        <v>3344</v>
      </c>
    </row>
    <row r="10" spans="1:5" ht="94" customHeight="1" x14ac:dyDescent="0.2">
      <c r="A10" s="56" t="s">
        <v>3308</v>
      </c>
      <c r="B10" s="56" t="s">
        <v>3345</v>
      </c>
      <c r="C10" s="56"/>
      <c r="D10" s="56" t="s">
        <v>681</v>
      </c>
      <c r="E10" s="56" t="s">
        <v>3346</v>
      </c>
    </row>
    <row r="11" spans="1:5" ht="94" customHeight="1" x14ac:dyDescent="0.2">
      <c r="A11" s="57" t="s">
        <v>3308</v>
      </c>
      <c r="B11" s="57" t="s">
        <v>3347</v>
      </c>
      <c r="C11" s="57"/>
      <c r="D11" s="57" t="s">
        <v>682</v>
      </c>
      <c r="E11" s="57" t="s">
        <v>3346</v>
      </c>
    </row>
    <row r="12" spans="1:5" ht="94" customHeight="1" x14ac:dyDescent="0.2">
      <c r="A12" s="56" t="s">
        <v>3308</v>
      </c>
      <c r="B12" s="56" t="s">
        <v>2139</v>
      </c>
      <c r="C12" s="56"/>
      <c r="D12" s="56" t="s">
        <v>24</v>
      </c>
      <c r="E12" s="56" t="s">
        <v>3346</v>
      </c>
    </row>
    <row r="13" spans="1:5" ht="94" customHeight="1" x14ac:dyDescent="0.2">
      <c r="A13" s="57" t="s">
        <v>3308</v>
      </c>
      <c r="B13" s="57" t="s">
        <v>3291</v>
      </c>
      <c r="C13" s="57"/>
      <c r="D13" s="57" t="s">
        <v>683</v>
      </c>
      <c r="E13" s="57" t="s">
        <v>3346</v>
      </c>
    </row>
    <row r="14" spans="1:5" ht="94" customHeight="1" x14ac:dyDescent="0.2">
      <c r="A14" s="56" t="s">
        <v>3308</v>
      </c>
      <c r="B14" s="56" t="s">
        <v>3294</v>
      </c>
      <c r="C14" s="56"/>
      <c r="D14" s="56" t="s">
        <v>684</v>
      </c>
      <c r="E14" s="56" t="s">
        <v>3346</v>
      </c>
    </row>
    <row r="15" spans="1:5" ht="94" customHeight="1" x14ac:dyDescent="0.2">
      <c r="A15" s="57" t="s">
        <v>3308</v>
      </c>
      <c r="B15" s="57" t="s">
        <v>3348</v>
      </c>
      <c r="C15" s="57"/>
      <c r="D15" s="57" t="s">
        <v>685</v>
      </c>
      <c r="E15" s="57" t="s">
        <v>3346</v>
      </c>
    </row>
    <row r="16" spans="1:5" ht="94" customHeight="1" x14ac:dyDescent="0.2">
      <c r="A16" s="56" t="s">
        <v>3308</v>
      </c>
      <c r="B16" s="56" t="s">
        <v>3349</v>
      </c>
      <c r="C16" s="56"/>
      <c r="D16" s="56" t="s">
        <v>686</v>
      </c>
      <c r="E16" s="56" t="s">
        <v>3346</v>
      </c>
    </row>
    <row r="17" spans="1:5" ht="94" customHeight="1" x14ac:dyDescent="0.2">
      <c r="A17" s="57" t="s">
        <v>3308</v>
      </c>
      <c r="B17" s="57" t="s">
        <v>3350</v>
      </c>
      <c r="C17" s="57"/>
      <c r="D17" s="57" t="s">
        <v>687</v>
      </c>
      <c r="E17" s="57" t="s">
        <v>3346</v>
      </c>
    </row>
    <row r="18" spans="1:5" ht="94" customHeight="1" x14ac:dyDescent="0.2">
      <c r="A18" s="56" t="s">
        <v>3308</v>
      </c>
      <c r="B18" s="56" t="s">
        <v>3351</v>
      </c>
      <c r="C18" s="56"/>
      <c r="D18" s="56" t="s">
        <v>688</v>
      </c>
      <c r="E18" s="56" t="s">
        <v>3346</v>
      </c>
    </row>
    <row r="19" spans="1:5" ht="94" customHeight="1" x14ac:dyDescent="0.2">
      <c r="A19" s="57" t="s">
        <v>3308</v>
      </c>
      <c r="B19" s="57" t="s">
        <v>3352</v>
      </c>
      <c r="C19" s="57"/>
      <c r="D19" s="57" t="s">
        <v>689</v>
      </c>
      <c r="E19" s="57" t="s">
        <v>3346</v>
      </c>
    </row>
    <row r="20" spans="1:5" ht="94" customHeight="1" x14ac:dyDescent="0.2">
      <c r="A20" s="56" t="s">
        <v>3308</v>
      </c>
      <c r="B20" s="56" t="s">
        <v>2143</v>
      </c>
      <c r="C20" s="56"/>
      <c r="D20" s="56" t="s">
        <v>28</v>
      </c>
      <c r="E20" s="56" t="s">
        <v>3346</v>
      </c>
    </row>
    <row r="21" spans="1:5" ht="94" customHeight="1" x14ac:dyDescent="0.2">
      <c r="A21" s="57" t="s">
        <v>3308</v>
      </c>
      <c r="B21" s="57" t="s">
        <v>3296</v>
      </c>
      <c r="C21" s="57"/>
      <c r="D21" s="57" t="s">
        <v>690</v>
      </c>
      <c r="E21" s="57" t="s">
        <v>3346</v>
      </c>
    </row>
    <row r="22" spans="1:5" ht="94" customHeight="1" x14ac:dyDescent="0.2">
      <c r="A22" s="56" t="s">
        <v>3308</v>
      </c>
      <c r="B22" s="56" t="s">
        <v>3299</v>
      </c>
      <c r="C22" s="56"/>
      <c r="D22" s="56" t="s">
        <v>691</v>
      </c>
      <c r="E22" s="56" t="s">
        <v>3346</v>
      </c>
    </row>
    <row r="23" spans="1:5" ht="94" customHeight="1" x14ac:dyDescent="0.2">
      <c r="A23" s="57" t="s">
        <v>3308</v>
      </c>
      <c r="B23" s="57" t="s">
        <v>3353</v>
      </c>
      <c r="C23" s="57"/>
      <c r="D23" s="57" t="s">
        <v>685</v>
      </c>
      <c r="E23" s="57" t="s">
        <v>3346</v>
      </c>
    </row>
    <row r="24" spans="1:5" ht="94" customHeight="1" x14ac:dyDescent="0.2">
      <c r="A24" s="56" t="s">
        <v>3308</v>
      </c>
      <c r="B24" s="56" t="s">
        <v>3354</v>
      </c>
      <c r="C24" s="56"/>
      <c r="D24" s="56" t="s">
        <v>692</v>
      </c>
      <c r="E24" s="56" t="s">
        <v>3346</v>
      </c>
    </row>
    <row r="25" spans="1:5" ht="94" customHeight="1" x14ac:dyDescent="0.2">
      <c r="A25" s="57" t="s">
        <v>3308</v>
      </c>
      <c r="B25" s="57" t="s">
        <v>3355</v>
      </c>
      <c r="C25" s="57"/>
      <c r="D25" s="57" t="s">
        <v>693</v>
      </c>
      <c r="E25" s="57" t="s">
        <v>3346</v>
      </c>
    </row>
    <row r="26" spans="1:5" ht="94" customHeight="1" x14ac:dyDescent="0.2">
      <c r="A26" s="56" t="s">
        <v>3308</v>
      </c>
      <c r="B26" s="56" t="s">
        <v>3356</v>
      </c>
      <c r="C26" s="56"/>
      <c r="D26" s="56" t="s">
        <v>694</v>
      </c>
      <c r="E26" s="56" t="s">
        <v>3346</v>
      </c>
    </row>
    <row r="27" spans="1:5" ht="94" customHeight="1" x14ac:dyDescent="0.2">
      <c r="A27" s="57" t="s">
        <v>3308</v>
      </c>
      <c r="B27" s="57" t="s">
        <v>3357</v>
      </c>
      <c r="C27" s="57"/>
      <c r="D27" s="57" t="s">
        <v>695</v>
      </c>
      <c r="E27" s="57" t="s">
        <v>3346</v>
      </c>
    </row>
    <row r="28" spans="1:5" ht="94" customHeight="1" x14ac:dyDescent="0.2">
      <c r="A28" s="56" t="s">
        <v>3308</v>
      </c>
      <c r="B28" s="56" t="s">
        <v>2149</v>
      </c>
      <c r="C28" s="56"/>
      <c r="D28" s="56" t="s">
        <v>109</v>
      </c>
      <c r="E28" s="56" t="s">
        <v>3346</v>
      </c>
    </row>
    <row r="29" spans="1:5" ht="94" customHeight="1" x14ac:dyDescent="0.2">
      <c r="A29" s="57" t="s">
        <v>3308</v>
      </c>
      <c r="B29" s="57" t="s">
        <v>3358</v>
      </c>
      <c r="C29" s="57"/>
      <c r="D29" s="57" t="s">
        <v>696</v>
      </c>
      <c r="E29" s="57" t="s">
        <v>3346</v>
      </c>
    </row>
    <row r="30" spans="1:5" ht="94" customHeight="1" x14ac:dyDescent="0.2">
      <c r="A30" s="56" t="s">
        <v>3308</v>
      </c>
      <c r="B30" s="56" t="s">
        <v>3359</v>
      </c>
      <c r="C30" s="56"/>
      <c r="D30" s="56" t="s">
        <v>697</v>
      </c>
      <c r="E30" s="56" t="s">
        <v>3346</v>
      </c>
    </row>
    <row r="31" spans="1:5" ht="94" customHeight="1" x14ac:dyDescent="0.2">
      <c r="A31" s="57" t="s">
        <v>3308</v>
      </c>
      <c r="B31" s="57" t="s">
        <v>3360</v>
      </c>
      <c r="C31" s="57"/>
      <c r="D31" s="57" t="s">
        <v>685</v>
      </c>
      <c r="E31" s="57" t="s">
        <v>3346</v>
      </c>
    </row>
    <row r="32" spans="1:5" ht="94" customHeight="1" x14ac:dyDescent="0.2">
      <c r="A32" s="56" t="s">
        <v>3308</v>
      </c>
      <c r="B32" s="56" t="s">
        <v>3361</v>
      </c>
      <c r="C32" s="56"/>
      <c r="D32" s="56" t="s">
        <v>698</v>
      </c>
      <c r="E32" s="56" t="s">
        <v>3346</v>
      </c>
    </row>
    <row r="33" spans="1:5" ht="94" customHeight="1" x14ac:dyDescent="0.2">
      <c r="A33" s="57" t="s">
        <v>3308</v>
      </c>
      <c r="B33" s="57" t="s">
        <v>3362</v>
      </c>
      <c r="C33" s="57"/>
      <c r="D33" s="57" t="s">
        <v>699</v>
      </c>
      <c r="E33" s="57" t="s">
        <v>3346</v>
      </c>
    </row>
    <row r="34" spans="1:5" ht="94" customHeight="1" x14ac:dyDescent="0.2">
      <c r="A34" s="56" t="s">
        <v>380</v>
      </c>
      <c r="B34" s="56" t="s">
        <v>3363</v>
      </c>
      <c r="C34" s="56" t="s">
        <v>3364</v>
      </c>
      <c r="D34" s="56" t="s">
        <v>701</v>
      </c>
      <c r="E34" s="56" t="s">
        <v>3365</v>
      </c>
    </row>
    <row r="35" spans="1:5" ht="94" customHeight="1" x14ac:dyDescent="0.2">
      <c r="A35" s="57" t="s">
        <v>380</v>
      </c>
      <c r="B35" s="57" t="s">
        <v>3366</v>
      </c>
      <c r="C35" s="57" t="s">
        <v>3367</v>
      </c>
      <c r="D35" s="57" t="s">
        <v>717</v>
      </c>
      <c r="E35" s="57" t="s">
        <v>3365</v>
      </c>
    </row>
    <row r="36" spans="1:5" ht="94" customHeight="1" x14ac:dyDescent="0.2">
      <c r="A36" s="56" t="s">
        <v>380</v>
      </c>
      <c r="B36" s="56" t="s">
        <v>3368</v>
      </c>
      <c r="C36" s="56" t="s">
        <v>3369</v>
      </c>
      <c r="D36" s="56" t="s">
        <v>718</v>
      </c>
      <c r="E36" s="56" t="s">
        <v>3365</v>
      </c>
    </row>
    <row r="37" spans="1:5" ht="94" customHeight="1" x14ac:dyDescent="0.2">
      <c r="A37" s="57" t="s">
        <v>380</v>
      </c>
      <c r="B37" s="57" t="s">
        <v>3370</v>
      </c>
      <c r="C37" s="57" t="s">
        <v>3371</v>
      </c>
      <c r="D37" s="57" t="s">
        <v>719</v>
      </c>
      <c r="E37" s="57" t="s">
        <v>3365</v>
      </c>
    </row>
    <row r="38" spans="1:5" ht="94" customHeight="1" x14ac:dyDescent="0.2">
      <c r="A38" s="56" t="s">
        <v>380</v>
      </c>
      <c r="B38" s="56" t="s">
        <v>3372</v>
      </c>
      <c r="C38" s="56" t="s">
        <v>3373</v>
      </c>
      <c r="D38" s="56" t="s">
        <v>721</v>
      </c>
      <c r="E38" s="56" t="s">
        <v>3365</v>
      </c>
    </row>
    <row r="39" spans="1:5" ht="94" customHeight="1" x14ac:dyDescent="0.2">
      <c r="A39" s="57" t="s">
        <v>380</v>
      </c>
      <c r="B39" s="57" t="s">
        <v>3374</v>
      </c>
      <c r="C39" s="57" t="s">
        <v>3375</v>
      </c>
      <c r="D39" s="57" t="s">
        <v>749</v>
      </c>
      <c r="E39" s="57" t="s">
        <v>3365</v>
      </c>
    </row>
    <row r="40" spans="1:5" ht="94" customHeight="1" x14ac:dyDescent="0.2">
      <c r="A40" s="56" t="s">
        <v>380</v>
      </c>
      <c r="B40" s="56" t="s">
        <v>2149</v>
      </c>
      <c r="C40" s="56" t="s">
        <v>3376</v>
      </c>
      <c r="D40" s="56" t="s">
        <v>783</v>
      </c>
      <c r="E40" s="56" t="s">
        <v>3365</v>
      </c>
    </row>
    <row r="41" spans="1:5" ht="94" customHeight="1" x14ac:dyDescent="0.2">
      <c r="A41" s="57" t="s">
        <v>380</v>
      </c>
      <c r="B41" s="57" t="s">
        <v>3358</v>
      </c>
      <c r="C41" s="57" t="s">
        <v>3377</v>
      </c>
      <c r="D41" s="57" t="s">
        <v>784</v>
      </c>
      <c r="E41" s="57" t="s">
        <v>3365</v>
      </c>
    </row>
    <row r="42" spans="1:5" ht="94" customHeight="1" x14ac:dyDescent="0.2">
      <c r="A42" s="56" t="s">
        <v>380</v>
      </c>
      <c r="B42" s="56" t="s">
        <v>3359</v>
      </c>
      <c r="C42" s="56" t="s">
        <v>3378</v>
      </c>
      <c r="D42" s="56" t="s">
        <v>785</v>
      </c>
      <c r="E42" s="56" t="s">
        <v>3365</v>
      </c>
    </row>
    <row r="43" spans="1:5" ht="94" customHeight="1" x14ac:dyDescent="0.2">
      <c r="A43" s="57" t="s">
        <v>380</v>
      </c>
      <c r="B43" s="57" t="s">
        <v>3362</v>
      </c>
      <c r="C43" s="57" t="s">
        <v>3379</v>
      </c>
      <c r="D43" s="57" t="s">
        <v>787</v>
      </c>
      <c r="E43" s="57" t="s">
        <v>3365</v>
      </c>
    </row>
    <row r="44" spans="1:5" ht="94" customHeight="1" x14ac:dyDescent="0.2">
      <c r="A44" s="56" t="s">
        <v>388</v>
      </c>
      <c r="B44" s="56" t="s">
        <v>3380</v>
      </c>
      <c r="C44" s="56" t="s">
        <v>3300</v>
      </c>
      <c r="D44" s="56" t="s">
        <v>3381</v>
      </c>
      <c r="E44" s="56" t="s">
        <v>3382</v>
      </c>
    </row>
    <row r="45" spans="1:5" ht="94" customHeight="1" x14ac:dyDescent="0.2">
      <c r="A45" s="57" t="s">
        <v>388</v>
      </c>
      <c r="B45" s="57" t="s">
        <v>3383</v>
      </c>
      <c r="C45" s="57" t="s">
        <v>3384</v>
      </c>
      <c r="D45" s="57" t="s">
        <v>3385</v>
      </c>
      <c r="E45" s="57" t="s">
        <v>3382</v>
      </c>
    </row>
    <row r="46" spans="1:5" ht="94" customHeight="1" x14ac:dyDescent="0.2">
      <c r="A46" s="56" t="s">
        <v>388</v>
      </c>
      <c r="B46" s="56" t="s">
        <v>3386</v>
      </c>
      <c r="C46" s="56" t="s">
        <v>3387</v>
      </c>
      <c r="D46" s="56" t="s">
        <v>847</v>
      </c>
      <c r="E46" s="56" t="s">
        <v>3388</v>
      </c>
    </row>
    <row r="47" spans="1:5" ht="94" customHeight="1" x14ac:dyDescent="0.2">
      <c r="A47" s="57" t="s">
        <v>388</v>
      </c>
      <c r="B47" s="57" t="s">
        <v>3389</v>
      </c>
      <c r="C47" s="57" t="s">
        <v>3390</v>
      </c>
      <c r="D47" s="57" t="s">
        <v>849</v>
      </c>
      <c r="E47" s="57" t="s">
        <v>3388</v>
      </c>
    </row>
    <row r="48" spans="1:5" ht="94" customHeight="1" x14ac:dyDescent="0.2">
      <c r="A48" s="56" t="s">
        <v>388</v>
      </c>
      <c r="B48" s="56" t="s">
        <v>3391</v>
      </c>
      <c r="C48" s="56" t="s">
        <v>836</v>
      </c>
      <c r="D48" s="56" t="s">
        <v>752</v>
      </c>
      <c r="E48" s="56" t="s">
        <v>3388</v>
      </c>
    </row>
    <row r="49" spans="1:5" ht="94" customHeight="1" x14ac:dyDescent="0.2">
      <c r="A49" s="57" t="s">
        <v>395</v>
      </c>
      <c r="B49" s="57" t="s">
        <v>3374</v>
      </c>
      <c r="C49" s="57" t="s">
        <v>3300</v>
      </c>
      <c r="D49" s="57" t="s">
        <v>3381</v>
      </c>
      <c r="E49" s="57" t="s">
        <v>3382</v>
      </c>
    </row>
    <row r="50" spans="1:5" ht="94" customHeight="1" x14ac:dyDescent="0.2">
      <c r="A50" s="56" t="s">
        <v>395</v>
      </c>
      <c r="B50" s="56" t="s">
        <v>3392</v>
      </c>
      <c r="C50" s="56" t="s">
        <v>3384</v>
      </c>
      <c r="D50" s="56" t="s">
        <v>3385</v>
      </c>
      <c r="E50" s="56" t="s">
        <v>3382</v>
      </c>
    </row>
    <row r="51" spans="1:5" ht="94" customHeight="1" x14ac:dyDescent="0.2">
      <c r="A51" s="57" t="s">
        <v>395</v>
      </c>
      <c r="B51" s="57" t="s">
        <v>3393</v>
      </c>
      <c r="C51" s="57" t="s">
        <v>3394</v>
      </c>
      <c r="D51" s="57" t="s">
        <v>952</v>
      </c>
      <c r="E51" s="57" t="s">
        <v>3388</v>
      </c>
    </row>
    <row r="52" spans="1:5" ht="94" customHeight="1" x14ac:dyDescent="0.2">
      <c r="A52" s="56" t="s">
        <v>395</v>
      </c>
      <c r="B52" s="56" t="s">
        <v>2343</v>
      </c>
      <c r="C52" s="56" t="s">
        <v>2193</v>
      </c>
      <c r="D52" s="56" t="s">
        <v>953</v>
      </c>
      <c r="E52" s="56" t="s">
        <v>3388</v>
      </c>
    </row>
    <row r="53" spans="1:5" ht="94" customHeight="1" x14ac:dyDescent="0.2">
      <c r="A53" s="57" t="s">
        <v>572</v>
      </c>
      <c r="B53" s="57" t="s">
        <v>3395</v>
      </c>
      <c r="C53" s="57" t="s">
        <v>3396</v>
      </c>
      <c r="D53" s="57" t="s">
        <v>1153</v>
      </c>
      <c r="E53" s="57" t="s">
        <v>3397</v>
      </c>
    </row>
    <row r="54" spans="1:5" ht="94" customHeight="1" x14ac:dyDescent="0.2">
      <c r="A54" s="56" t="s">
        <v>572</v>
      </c>
      <c r="B54" s="56" t="s">
        <v>3398</v>
      </c>
      <c r="C54" s="56" t="s">
        <v>3399</v>
      </c>
      <c r="D54" s="56" t="s">
        <v>3385</v>
      </c>
      <c r="E54" s="56" t="s">
        <v>3400</v>
      </c>
    </row>
    <row r="55" spans="1:5" ht="94" customHeight="1" x14ac:dyDescent="0.2">
      <c r="A55" s="57" t="s">
        <v>572</v>
      </c>
      <c r="B55" s="57" t="s">
        <v>3401</v>
      </c>
      <c r="C55" s="57" t="s">
        <v>3402</v>
      </c>
      <c r="D55" s="57" t="s">
        <v>3381</v>
      </c>
      <c r="E55" s="57" t="s">
        <v>3400</v>
      </c>
    </row>
    <row r="56" spans="1:5" ht="94" customHeight="1" x14ac:dyDescent="0.2">
      <c r="A56" s="56" t="s">
        <v>572</v>
      </c>
      <c r="B56" s="56" t="s">
        <v>3302</v>
      </c>
      <c r="C56" s="56" t="s">
        <v>3403</v>
      </c>
      <c r="D56" s="56" t="s">
        <v>3164</v>
      </c>
      <c r="E56" s="56" t="s">
        <v>3400</v>
      </c>
    </row>
    <row r="57" spans="1:5" ht="94" customHeight="1" x14ac:dyDescent="0.2">
      <c r="A57" s="57" t="s">
        <v>572</v>
      </c>
      <c r="B57" s="57" t="s">
        <v>3323</v>
      </c>
      <c r="C57" s="57" t="s">
        <v>3404</v>
      </c>
      <c r="D57" s="57" t="s">
        <v>3405</v>
      </c>
      <c r="E57" s="57" t="s">
        <v>3400</v>
      </c>
    </row>
    <row r="58" spans="1:5" ht="94" customHeight="1" x14ac:dyDescent="0.2">
      <c r="A58" s="56" t="s">
        <v>572</v>
      </c>
      <c r="B58" s="56" t="s">
        <v>3406</v>
      </c>
      <c r="C58" s="56" t="s">
        <v>3407</v>
      </c>
      <c r="D58" s="56" t="s">
        <v>1155</v>
      </c>
      <c r="E58" s="56" t="s">
        <v>3408</v>
      </c>
    </row>
    <row r="59" spans="1:5" ht="94" customHeight="1" x14ac:dyDescent="0.2">
      <c r="A59" s="57" t="s">
        <v>572</v>
      </c>
      <c r="B59" s="57" t="s">
        <v>3409</v>
      </c>
      <c r="C59" s="57" t="s">
        <v>3410</v>
      </c>
      <c r="D59" s="57" t="s">
        <v>1156</v>
      </c>
      <c r="E59" s="57" t="s">
        <v>3411</v>
      </c>
    </row>
    <row r="60" spans="1:5" ht="94" customHeight="1" x14ac:dyDescent="0.2">
      <c r="A60" s="56" t="s">
        <v>572</v>
      </c>
      <c r="B60" s="56" t="s">
        <v>3412</v>
      </c>
      <c r="C60" s="56" t="s">
        <v>1141</v>
      </c>
      <c r="D60" s="56" t="s">
        <v>1157</v>
      </c>
      <c r="E60" s="56" t="s">
        <v>3413</v>
      </c>
    </row>
    <row r="61" spans="1:5" ht="94" customHeight="1" x14ac:dyDescent="0.2">
      <c r="A61" s="57" t="s">
        <v>592</v>
      </c>
      <c r="B61" s="57" t="s">
        <v>688</v>
      </c>
      <c r="C61" s="57" t="s">
        <v>1275</v>
      </c>
      <c r="D61" s="57" t="s">
        <v>1270</v>
      </c>
      <c r="E61" s="57" t="s">
        <v>3414</v>
      </c>
    </row>
    <row r="62" spans="1:5" ht="94" customHeight="1" x14ac:dyDescent="0.2">
      <c r="A62" s="56" t="s">
        <v>610</v>
      </c>
      <c r="B62" s="56" t="s">
        <v>3415</v>
      </c>
      <c r="C62" s="56" t="s">
        <v>3416</v>
      </c>
      <c r="D62" s="56" t="s">
        <v>1525</v>
      </c>
      <c r="E62" s="56" t="s">
        <v>3417</v>
      </c>
    </row>
    <row r="63" spans="1:5" ht="94" customHeight="1" x14ac:dyDescent="0.2">
      <c r="A63" s="57" t="s">
        <v>610</v>
      </c>
      <c r="B63" s="57" t="s">
        <v>3418</v>
      </c>
      <c r="C63" s="57" t="s">
        <v>1519</v>
      </c>
      <c r="D63" s="57" t="s">
        <v>729</v>
      </c>
      <c r="E63" s="57" t="s">
        <v>3419</v>
      </c>
    </row>
    <row r="64" spans="1:5" ht="94" customHeight="1" x14ac:dyDescent="0.2">
      <c r="A64" s="56" t="s">
        <v>610</v>
      </c>
      <c r="B64" s="56" t="s">
        <v>3420</v>
      </c>
      <c r="C64" s="56"/>
      <c r="D64" s="56" t="s">
        <v>1548</v>
      </c>
      <c r="E64" s="56" t="s">
        <v>3421</v>
      </c>
    </row>
    <row r="65" spans="1:5" ht="94" customHeight="1" x14ac:dyDescent="0.2">
      <c r="A65" s="57" t="s">
        <v>610</v>
      </c>
      <c r="B65" s="57" t="s">
        <v>3285</v>
      </c>
      <c r="C65" s="57"/>
      <c r="D65" s="57" t="s">
        <v>1549</v>
      </c>
      <c r="E65" s="57" t="s">
        <v>3421</v>
      </c>
    </row>
    <row r="66" spans="1:5" ht="94" customHeight="1" x14ac:dyDescent="0.2">
      <c r="A66" s="56" t="s">
        <v>610</v>
      </c>
      <c r="B66" s="56" t="s">
        <v>2130</v>
      </c>
      <c r="C66" s="56"/>
      <c r="D66" s="56" t="s">
        <v>1550</v>
      </c>
      <c r="E66" s="56" t="s">
        <v>3421</v>
      </c>
    </row>
    <row r="67" spans="1:5" ht="94" customHeight="1" x14ac:dyDescent="0.2">
      <c r="A67" s="57" t="s">
        <v>610</v>
      </c>
      <c r="B67" s="57" t="s">
        <v>3255</v>
      </c>
      <c r="C67" s="57"/>
      <c r="D67" s="57" t="s">
        <v>1551</v>
      </c>
      <c r="E67" s="57" t="s">
        <v>3421</v>
      </c>
    </row>
    <row r="68" spans="1:5" ht="94" customHeight="1" x14ac:dyDescent="0.2">
      <c r="A68" s="56" t="s">
        <v>610</v>
      </c>
      <c r="B68" s="56" t="s">
        <v>3422</v>
      </c>
      <c r="C68" s="56"/>
      <c r="D68" s="56" t="s">
        <v>1552</v>
      </c>
      <c r="E68" s="56" t="s">
        <v>3421</v>
      </c>
    </row>
    <row r="69" spans="1:5" ht="94" customHeight="1" x14ac:dyDescent="0.2">
      <c r="A69" s="57" t="s">
        <v>610</v>
      </c>
      <c r="B69" s="57" t="s">
        <v>3423</v>
      </c>
      <c r="C69" s="57"/>
      <c r="D69" s="57" t="s">
        <v>1553</v>
      </c>
      <c r="E69" s="57" t="s">
        <v>3421</v>
      </c>
    </row>
    <row r="70" spans="1:5" ht="94" customHeight="1" x14ac:dyDescent="0.2">
      <c r="A70" s="56" t="s">
        <v>610</v>
      </c>
      <c r="B70" s="56" t="s">
        <v>2134</v>
      </c>
      <c r="C70" s="56"/>
      <c r="D70" s="56" t="s">
        <v>1554</v>
      </c>
      <c r="E70" s="56" t="s">
        <v>3421</v>
      </c>
    </row>
    <row r="71" spans="1:5" ht="94" customHeight="1" x14ac:dyDescent="0.2">
      <c r="A71" s="57" t="s">
        <v>610</v>
      </c>
      <c r="B71" s="57" t="s">
        <v>3424</v>
      </c>
      <c r="C71" s="57"/>
      <c r="D71" s="57" t="s">
        <v>9</v>
      </c>
      <c r="E71" s="57" t="s">
        <v>3421</v>
      </c>
    </row>
    <row r="72" spans="1:5" ht="94" customHeight="1" x14ac:dyDescent="0.2">
      <c r="A72" s="56" t="s">
        <v>610</v>
      </c>
      <c r="B72" s="56" t="s">
        <v>3345</v>
      </c>
      <c r="C72" s="56"/>
      <c r="D72" s="56" t="s">
        <v>1555</v>
      </c>
      <c r="E72" s="56" t="s">
        <v>3421</v>
      </c>
    </row>
    <row r="73" spans="1:5" ht="94" customHeight="1" x14ac:dyDescent="0.2">
      <c r="A73" s="57" t="s">
        <v>610</v>
      </c>
      <c r="B73" s="57" t="s">
        <v>3347</v>
      </c>
      <c r="C73" s="57"/>
      <c r="D73" s="57" t="s">
        <v>1549</v>
      </c>
      <c r="E73" s="57" t="s">
        <v>3421</v>
      </c>
    </row>
    <row r="74" spans="1:5" ht="94" customHeight="1" x14ac:dyDescent="0.2">
      <c r="A74" s="56" t="s">
        <v>610</v>
      </c>
      <c r="B74" s="56" t="s">
        <v>2139</v>
      </c>
      <c r="C74" s="56"/>
      <c r="D74" s="56" t="s">
        <v>1556</v>
      </c>
      <c r="E74" s="56" t="s">
        <v>3421</v>
      </c>
    </row>
    <row r="75" spans="1:5" ht="94" customHeight="1" x14ac:dyDescent="0.2">
      <c r="A75" s="57" t="s">
        <v>610</v>
      </c>
      <c r="B75" s="57" t="s">
        <v>3291</v>
      </c>
      <c r="C75" s="57"/>
      <c r="D75" s="57" t="s">
        <v>51</v>
      </c>
      <c r="E75" s="57" t="s">
        <v>3421</v>
      </c>
    </row>
    <row r="76" spans="1:5" ht="94" customHeight="1" x14ac:dyDescent="0.2">
      <c r="A76" s="56" t="s">
        <v>3425</v>
      </c>
      <c r="B76" s="56" t="s">
        <v>3268</v>
      </c>
      <c r="C76" s="56" t="s">
        <v>3426</v>
      </c>
      <c r="D76" s="56" t="s">
        <v>3427</v>
      </c>
      <c r="E76" s="56" t="s">
        <v>3428</v>
      </c>
    </row>
    <row r="77" spans="1:5" ht="94" customHeight="1" x14ac:dyDescent="0.2">
      <c r="A77" s="57" t="s">
        <v>727</v>
      </c>
      <c r="B77" s="57" t="s">
        <v>3380</v>
      </c>
      <c r="C77" s="57" t="s">
        <v>836</v>
      </c>
      <c r="D77" s="57" t="s">
        <v>752</v>
      </c>
      <c r="E77" s="57" t="s">
        <v>3388</v>
      </c>
    </row>
    <row r="78" spans="1:5" ht="94" customHeight="1" x14ac:dyDescent="0.2">
      <c r="A78" s="56" t="s">
        <v>727</v>
      </c>
      <c r="B78" s="56" t="s">
        <v>3429</v>
      </c>
      <c r="C78" s="56" t="s">
        <v>3430</v>
      </c>
      <c r="D78" s="56" t="s">
        <v>1698</v>
      </c>
      <c r="E78" s="56" t="s">
        <v>3388</v>
      </c>
    </row>
    <row r="79" spans="1:5" ht="94" customHeight="1" x14ac:dyDescent="0.2">
      <c r="A79" s="57" t="s">
        <v>727</v>
      </c>
      <c r="B79" s="57" t="s">
        <v>3321</v>
      </c>
      <c r="C79" s="57" t="s">
        <v>3431</v>
      </c>
      <c r="D79" s="57" t="s">
        <v>1699</v>
      </c>
      <c r="E79" s="57" t="s">
        <v>3388</v>
      </c>
    </row>
    <row r="80" spans="1:5" ht="94" customHeight="1" x14ac:dyDescent="0.2">
      <c r="A80" s="56" t="s">
        <v>727</v>
      </c>
      <c r="B80" s="56" t="s">
        <v>3432</v>
      </c>
      <c r="C80" s="56" t="s">
        <v>1690</v>
      </c>
      <c r="D80" s="56" t="s">
        <v>1700</v>
      </c>
      <c r="E80" s="56" t="s">
        <v>3388</v>
      </c>
    </row>
    <row r="81" spans="1:5" ht="94" customHeight="1" x14ac:dyDescent="0.2">
      <c r="A81" s="57" t="s">
        <v>3433</v>
      </c>
      <c r="B81" s="57" t="s">
        <v>3434</v>
      </c>
      <c r="C81" s="57" t="s">
        <v>3435</v>
      </c>
      <c r="D81" s="57" t="s">
        <v>1777</v>
      </c>
      <c r="E81" s="57" t="s">
        <v>3388</v>
      </c>
    </row>
    <row r="82" spans="1:5" ht="94" customHeight="1" x14ac:dyDescent="0.2">
      <c r="A82" s="56" t="s">
        <v>3433</v>
      </c>
      <c r="B82" s="56" t="s">
        <v>3436</v>
      </c>
      <c r="C82" s="56" t="s">
        <v>836</v>
      </c>
      <c r="D82" s="56" t="s">
        <v>1778</v>
      </c>
      <c r="E82" s="56" t="s">
        <v>3388</v>
      </c>
    </row>
    <row r="83" spans="1:5" ht="94" customHeight="1" x14ac:dyDescent="0.2">
      <c r="A83" s="57" t="s">
        <v>3433</v>
      </c>
      <c r="B83" s="57" t="s">
        <v>3437</v>
      </c>
      <c r="C83" s="57" t="s">
        <v>1742</v>
      </c>
      <c r="D83" s="57" t="s">
        <v>1779</v>
      </c>
      <c r="E83" s="57" t="s">
        <v>3388</v>
      </c>
    </row>
    <row r="84" spans="1:5" ht="94" customHeight="1" x14ac:dyDescent="0.2">
      <c r="A84" s="56" t="s">
        <v>3438</v>
      </c>
      <c r="B84" s="56" t="s">
        <v>3439</v>
      </c>
      <c r="C84" s="56" t="s">
        <v>3164</v>
      </c>
      <c r="D84" s="56" t="s">
        <v>3440</v>
      </c>
      <c r="E84" s="56" t="s">
        <v>3441</v>
      </c>
    </row>
    <row r="85" spans="1:5" ht="94" customHeight="1" x14ac:dyDescent="0.2">
      <c r="A85" s="57" t="s">
        <v>3438</v>
      </c>
      <c r="B85" s="57" t="s">
        <v>3442</v>
      </c>
      <c r="C85" s="57" t="s">
        <v>3164</v>
      </c>
      <c r="D85" s="57" t="s">
        <v>3443</v>
      </c>
      <c r="E85" s="57" t="s">
        <v>3441</v>
      </c>
    </row>
    <row r="86" spans="1:5" ht="94" customHeight="1" x14ac:dyDescent="0.2">
      <c r="A86" s="56" t="s">
        <v>3438</v>
      </c>
      <c r="B86" s="56" t="s">
        <v>3444</v>
      </c>
      <c r="C86" s="56" t="s">
        <v>3185</v>
      </c>
      <c r="D86" s="56" t="s">
        <v>3445</v>
      </c>
      <c r="E86" s="56" t="s">
        <v>3441</v>
      </c>
    </row>
    <row r="87" spans="1:5" ht="94" customHeight="1" x14ac:dyDescent="0.2">
      <c r="A87" s="57" t="s">
        <v>3438</v>
      </c>
      <c r="B87" s="57" t="s">
        <v>676</v>
      </c>
      <c r="C87" s="57" t="s">
        <v>3164</v>
      </c>
      <c r="D87" s="57" t="s">
        <v>3446</v>
      </c>
      <c r="E87" s="57" t="s">
        <v>3441</v>
      </c>
    </row>
    <row r="88" spans="1:5" ht="94" customHeight="1" x14ac:dyDescent="0.2">
      <c r="A88" s="56" t="s">
        <v>3438</v>
      </c>
      <c r="B88" s="56" t="s">
        <v>3436</v>
      </c>
      <c r="C88" s="56" t="s">
        <v>3164</v>
      </c>
      <c r="D88" s="56" t="s">
        <v>3447</v>
      </c>
      <c r="E88" s="56" t="s">
        <v>3441</v>
      </c>
    </row>
    <row r="89" spans="1:5" ht="94" customHeight="1" x14ac:dyDescent="0.2">
      <c r="A89" s="57" t="s">
        <v>3438</v>
      </c>
      <c r="B89" s="57" t="s">
        <v>3448</v>
      </c>
      <c r="C89" s="57" t="s">
        <v>1877</v>
      </c>
      <c r="D89" s="57" t="s">
        <v>1880</v>
      </c>
      <c r="E89" s="57" t="s">
        <v>3449</v>
      </c>
    </row>
    <row r="90" spans="1:5" ht="94" customHeight="1" x14ac:dyDescent="0.2">
      <c r="A90" s="56" t="s">
        <v>2214</v>
      </c>
      <c r="B90" s="56" t="s">
        <v>3363</v>
      </c>
      <c r="C90" s="56" t="s">
        <v>3450</v>
      </c>
      <c r="D90" s="56" t="s">
        <v>1882</v>
      </c>
      <c r="E90" s="56" t="s">
        <v>3451</v>
      </c>
    </row>
    <row r="91" spans="1:5" ht="94" customHeight="1" x14ac:dyDescent="0.2">
      <c r="A91" s="57" t="s">
        <v>2214</v>
      </c>
      <c r="B91" s="57" t="s">
        <v>3452</v>
      </c>
      <c r="C91" s="57"/>
      <c r="D91" s="57" t="s">
        <v>1893</v>
      </c>
      <c r="E91" s="57" t="s">
        <v>3453</v>
      </c>
    </row>
    <row r="92" spans="1:5" ht="94" customHeight="1" x14ac:dyDescent="0.2">
      <c r="A92" s="56" t="s">
        <v>2214</v>
      </c>
      <c r="B92" s="56" t="s">
        <v>3454</v>
      </c>
      <c r="C92" s="56" t="s">
        <v>3455</v>
      </c>
      <c r="D92" s="56" t="s">
        <v>3456</v>
      </c>
      <c r="E92" s="56" t="s">
        <v>3457</v>
      </c>
    </row>
    <row r="93" spans="1:5" ht="94" customHeight="1" x14ac:dyDescent="0.2">
      <c r="A93" s="57" t="s">
        <v>2214</v>
      </c>
      <c r="B93" s="57" t="s">
        <v>3458</v>
      </c>
      <c r="C93" s="57" t="s">
        <v>3459</v>
      </c>
      <c r="D93" s="57" t="s">
        <v>3460</v>
      </c>
      <c r="E93" s="57" t="s">
        <v>3457</v>
      </c>
    </row>
    <row r="94" spans="1:5" ht="94" customHeight="1" x14ac:dyDescent="0.2">
      <c r="A94" s="56" t="s">
        <v>2214</v>
      </c>
      <c r="B94" s="56" t="s">
        <v>3461</v>
      </c>
      <c r="C94" s="56" t="s">
        <v>3462</v>
      </c>
      <c r="D94" s="56" t="s">
        <v>3463</v>
      </c>
      <c r="E94" s="56" t="s">
        <v>3457</v>
      </c>
    </row>
    <row r="95" spans="1:5" ht="94" customHeight="1" x14ac:dyDescent="0.2">
      <c r="A95" s="57" t="s">
        <v>2214</v>
      </c>
      <c r="B95" s="57" t="s">
        <v>3464</v>
      </c>
      <c r="C95" s="57"/>
      <c r="D95" s="57" t="s">
        <v>1895</v>
      </c>
      <c r="E95" s="57" t="s">
        <v>3465</v>
      </c>
    </row>
    <row r="96" spans="1:5" ht="94" customHeight="1" x14ac:dyDescent="0.2">
      <c r="A96" s="56" t="s">
        <v>2214</v>
      </c>
      <c r="B96" s="56" t="s">
        <v>3153</v>
      </c>
      <c r="C96" s="56" t="s">
        <v>3466</v>
      </c>
      <c r="D96" s="56" t="s">
        <v>3467</v>
      </c>
      <c r="E96" s="56" t="s">
        <v>3457</v>
      </c>
    </row>
    <row r="97" spans="1:5" ht="94" customHeight="1" x14ac:dyDescent="0.2">
      <c r="A97" s="57" t="s">
        <v>2214</v>
      </c>
      <c r="B97" s="57" t="s">
        <v>3269</v>
      </c>
      <c r="C97" s="57" t="s">
        <v>3468</v>
      </c>
      <c r="D97" s="57" t="s">
        <v>3469</v>
      </c>
      <c r="E97" s="57" t="s">
        <v>3457</v>
      </c>
    </row>
    <row r="98" spans="1:5" ht="94" customHeight="1" x14ac:dyDescent="0.2">
      <c r="A98" s="56" t="s">
        <v>2214</v>
      </c>
      <c r="B98" s="56" t="s">
        <v>3144</v>
      </c>
      <c r="C98" s="56" t="s">
        <v>3470</v>
      </c>
      <c r="D98" s="56" t="s">
        <v>3471</v>
      </c>
      <c r="E98" s="56" t="s">
        <v>3457</v>
      </c>
    </row>
    <row r="99" spans="1:5" ht="94" customHeight="1" x14ac:dyDescent="0.2">
      <c r="A99" s="57" t="s">
        <v>2214</v>
      </c>
      <c r="B99" s="57" t="s">
        <v>3472</v>
      </c>
      <c r="C99" s="57"/>
      <c r="D99" s="57" t="s">
        <v>1895</v>
      </c>
      <c r="E99" s="57" t="s">
        <v>3465</v>
      </c>
    </row>
    <row r="100" spans="1:5" ht="94" customHeight="1" x14ac:dyDescent="0.2">
      <c r="A100" s="56" t="s">
        <v>2214</v>
      </c>
      <c r="B100" s="56" t="s">
        <v>3368</v>
      </c>
      <c r="C100" s="56" t="s">
        <v>3473</v>
      </c>
      <c r="D100" s="56" t="s">
        <v>3474</v>
      </c>
      <c r="E100" s="56" t="s">
        <v>3457</v>
      </c>
    </row>
    <row r="101" spans="1:5" ht="94" customHeight="1" x14ac:dyDescent="0.2">
      <c r="A101" s="57" t="s">
        <v>2214</v>
      </c>
      <c r="B101" s="57" t="s">
        <v>3370</v>
      </c>
      <c r="C101" s="57" t="s">
        <v>3475</v>
      </c>
      <c r="D101" s="57" t="s">
        <v>3476</v>
      </c>
      <c r="E101" s="57" t="s">
        <v>3457</v>
      </c>
    </row>
    <row r="102" spans="1:5" ht="94" customHeight="1" x14ac:dyDescent="0.2">
      <c r="A102" s="56" t="s">
        <v>2214</v>
      </c>
      <c r="B102" s="56" t="s">
        <v>3477</v>
      </c>
      <c r="C102" s="56" t="s">
        <v>3478</v>
      </c>
      <c r="D102" s="56" t="s">
        <v>3479</v>
      </c>
      <c r="E102" s="56" t="s">
        <v>3457</v>
      </c>
    </row>
    <row r="103" spans="1:5" ht="94" customHeight="1" x14ac:dyDescent="0.2">
      <c r="A103" s="57" t="s">
        <v>2214</v>
      </c>
      <c r="B103" s="57" t="s">
        <v>3480</v>
      </c>
      <c r="C103" s="57"/>
      <c r="D103" s="57" t="s">
        <v>1895</v>
      </c>
      <c r="E103" s="57" t="s">
        <v>3465</v>
      </c>
    </row>
    <row r="104" spans="1:5" ht="94" customHeight="1" x14ac:dyDescent="0.2">
      <c r="A104" s="56" t="s">
        <v>2214</v>
      </c>
      <c r="B104" s="56" t="s">
        <v>3224</v>
      </c>
      <c r="C104" s="56" t="s">
        <v>3481</v>
      </c>
      <c r="D104" s="56" t="s">
        <v>3482</v>
      </c>
      <c r="E104" s="56" t="s">
        <v>3457</v>
      </c>
    </row>
    <row r="105" spans="1:5" ht="94" customHeight="1" x14ac:dyDescent="0.2">
      <c r="A105" s="57" t="s">
        <v>2214</v>
      </c>
      <c r="B105" s="57" t="s">
        <v>3279</v>
      </c>
      <c r="C105" s="57" t="s">
        <v>3483</v>
      </c>
      <c r="D105" s="57" t="s">
        <v>3484</v>
      </c>
      <c r="E105" s="57" t="s">
        <v>3457</v>
      </c>
    </row>
    <row r="106" spans="1:5" ht="94" customHeight="1" x14ac:dyDescent="0.2">
      <c r="A106" s="56" t="s">
        <v>2214</v>
      </c>
      <c r="B106" s="56" t="s">
        <v>3219</v>
      </c>
      <c r="C106" s="56" t="s">
        <v>3485</v>
      </c>
      <c r="D106" s="56" t="s">
        <v>3486</v>
      </c>
      <c r="E106" s="56" t="s">
        <v>3457</v>
      </c>
    </row>
    <row r="107" spans="1:5" ht="94" customHeight="1" x14ac:dyDescent="0.2">
      <c r="A107" s="57" t="s">
        <v>2214</v>
      </c>
      <c r="B107" s="57" t="s">
        <v>3221</v>
      </c>
      <c r="C107" s="57"/>
      <c r="D107" s="57" t="s">
        <v>1895</v>
      </c>
      <c r="E107" s="57" t="s">
        <v>3465</v>
      </c>
    </row>
    <row r="108" spans="1:5" ht="94" customHeight="1" x14ac:dyDescent="0.2">
      <c r="A108" s="56" t="s">
        <v>2214</v>
      </c>
      <c r="B108" s="56" t="s">
        <v>3380</v>
      </c>
      <c r="C108" s="56" t="s">
        <v>3487</v>
      </c>
      <c r="D108" s="56" t="s">
        <v>3488</v>
      </c>
      <c r="E108" s="56" t="s">
        <v>3457</v>
      </c>
    </row>
    <row r="109" spans="1:5" ht="94" customHeight="1" x14ac:dyDescent="0.2">
      <c r="A109" s="57" t="s">
        <v>2214</v>
      </c>
      <c r="B109" s="57" t="s">
        <v>3383</v>
      </c>
      <c r="C109" s="57" t="s">
        <v>3489</v>
      </c>
      <c r="D109" s="57" t="s">
        <v>3490</v>
      </c>
      <c r="E109" s="57" t="s">
        <v>3457</v>
      </c>
    </row>
    <row r="110" spans="1:5" ht="94" customHeight="1" x14ac:dyDescent="0.2">
      <c r="A110" s="56" t="s">
        <v>2214</v>
      </c>
      <c r="B110" s="56" t="s">
        <v>3320</v>
      </c>
      <c r="C110" s="56" t="s">
        <v>3300</v>
      </c>
      <c r="D110" s="56" t="s">
        <v>3381</v>
      </c>
      <c r="E110" s="56" t="s">
        <v>3382</v>
      </c>
    </row>
    <row r="111" spans="1:5" ht="94" customHeight="1" x14ac:dyDescent="0.2">
      <c r="A111" s="57" t="s">
        <v>2214</v>
      </c>
      <c r="B111" s="57" t="s">
        <v>3429</v>
      </c>
      <c r="C111" s="57" t="s">
        <v>3384</v>
      </c>
      <c r="D111" s="57" t="s">
        <v>3385</v>
      </c>
      <c r="E111" s="57" t="s">
        <v>3382</v>
      </c>
    </row>
    <row r="112" spans="1:5" ht="94" customHeight="1" x14ac:dyDescent="0.2">
      <c r="A112" s="56" t="s">
        <v>2214</v>
      </c>
      <c r="B112" s="56" t="s">
        <v>3491</v>
      </c>
      <c r="C112" s="56" t="s">
        <v>3492</v>
      </c>
      <c r="D112" s="56" t="s">
        <v>3493</v>
      </c>
      <c r="E112" s="56" t="s">
        <v>3457</v>
      </c>
    </row>
    <row r="113" spans="1:5" ht="94" customHeight="1" x14ac:dyDescent="0.2">
      <c r="A113" s="57" t="s">
        <v>2214</v>
      </c>
      <c r="B113" s="57" t="s">
        <v>3494</v>
      </c>
      <c r="C113" s="57" t="s">
        <v>3495</v>
      </c>
      <c r="D113" s="57" t="s">
        <v>1900</v>
      </c>
      <c r="E113" s="57" t="s">
        <v>3388</v>
      </c>
    </row>
    <row r="114" spans="1:5" ht="94" customHeight="1" x14ac:dyDescent="0.2">
      <c r="A114" s="56" t="s">
        <v>2214</v>
      </c>
      <c r="B114" s="56" t="s">
        <v>3386</v>
      </c>
      <c r="C114" s="56"/>
      <c r="D114" s="56" t="s">
        <v>1895</v>
      </c>
      <c r="E114" s="56" t="s">
        <v>3465</v>
      </c>
    </row>
    <row r="115" spans="1:5" ht="94" customHeight="1" x14ac:dyDescent="0.2">
      <c r="A115" s="57" t="s">
        <v>2214</v>
      </c>
      <c r="B115" s="57" t="s">
        <v>3301</v>
      </c>
      <c r="C115" s="57" t="s">
        <v>3496</v>
      </c>
      <c r="D115" s="57" t="s">
        <v>3497</v>
      </c>
      <c r="E115" s="57" t="s">
        <v>3457</v>
      </c>
    </row>
    <row r="116" spans="1:5" ht="94" customHeight="1" x14ac:dyDescent="0.2">
      <c r="A116" s="56" t="s">
        <v>2214</v>
      </c>
      <c r="B116" s="56" t="s">
        <v>3302</v>
      </c>
      <c r="C116" s="56" t="s">
        <v>3498</v>
      </c>
      <c r="D116" s="56" t="s">
        <v>3499</v>
      </c>
      <c r="E116" s="56" t="s">
        <v>3457</v>
      </c>
    </row>
    <row r="117" spans="1:5" ht="94" customHeight="1" x14ac:dyDescent="0.2">
      <c r="A117" s="57" t="s">
        <v>2214</v>
      </c>
      <c r="B117" s="57" t="s">
        <v>3500</v>
      </c>
      <c r="C117" s="57" t="s">
        <v>3501</v>
      </c>
      <c r="D117" s="57" t="s">
        <v>3502</v>
      </c>
      <c r="E117" s="57" t="s">
        <v>3457</v>
      </c>
    </row>
    <row r="118" spans="1:5" ht="94" customHeight="1" x14ac:dyDescent="0.2">
      <c r="A118" s="56" t="s">
        <v>2214</v>
      </c>
      <c r="B118" s="56" t="s">
        <v>3412</v>
      </c>
      <c r="C118" s="56"/>
      <c r="D118" s="56" t="s">
        <v>1895</v>
      </c>
      <c r="E118" s="56" t="s">
        <v>3465</v>
      </c>
    </row>
    <row r="119" spans="1:5" ht="94" customHeight="1" x14ac:dyDescent="0.2">
      <c r="A119" s="57" t="s">
        <v>2214</v>
      </c>
      <c r="B119" s="57" t="s">
        <v>3442</v>
      </c>
      <c r="C119" s="57" t="s">
        <v>3503</v>
      </c>
      <c r="D119" s="57" t="s">
        <v>3504</v>
      </c>
      <c r="E119" s="57" t="s">
        <v>3457</v>
      </c>
    </row>
    <row r="120" spans="1:5" ht="94" customHeight="1" x14ac:dyDescent="0.2">
      <c r="A120" s="56" t="s">
        <v>2214</v>
      </c>
      <c r="B120" s="56" t="s">
        <v>3505</v>
      </c>
      <c r="C120" s="56" t="s">
        <v>3506</v>
      </c>
      <c r="D120" s="56" t="s">
        <v>3507</v>
      </c>
      <c r="E120" s="56" t="s">
        <v>3457</v>
      </c>
    </row>
    <row r="121" spans="1:5" ht="94" customHeight="1" x14ac:dyDescent="0.2">
      <c r="A121" s="57" t="s">
        <v>2214</v>
      </c>
      <c r="B121" s="57" t="s">
        <v>3437</v>
      </c>
      <c r="C121" s="57" t="s">
        <v>3508</v>
      </c>
      <c r="D121" s="57" t="s">
        <v>3509</v>
      </c>
      <c r="E121" s="57" t="s">
        <v>3457</v>
      </c>
    </row>
    <row r="122" spans="1:5" ht="94" customHeight="1" x14ac:dyDescent="0.2">
      <c r="A122" s="56" t="s">
        <v>2214</v>
      </c>
      <c r="B122" s="56" t="s">
        <v>3510</v>
      </c>
      <c r="C122" s="56"/>
      <c r="D122" s="56" t="s">
        <v>1895</v>
      </c>
      <c r="E122" s="56" t="s">
        <v>3465</v>
      </c>
    </row>
    <row r="123" spans="1:5" ht="94" customHeight="1" x14ac:dyDescent="0.2">
      <c r="A123" s="57" t="s">
        <v>2214</v>
      </c>
      <c r="B123" s="57" t="s">
        <v>3374</v>
      </c>
      <c r="C123" s="57" t="s">
        <v>3511</v>
      </c>
      <c r="D123" s="57" t="s">
        <v>3512</v>
      </c>
      <c r="E123" s="57" t="s">
        <v>3457</v>
      </c>
    </row>
    <row r="124" spans="1:5" ht="94" customHeight="1" x14ac:dyDescent="0.2">
      <c r="A124" s="56" t="s">
        <v>2214</v>
      </c>
      <c r="B124" s="56" t="s">
        <v>3392</v>
      </c>
      <c r="C124" s="56" t="s">
        <v>3513</v>
      </c>
      <c r="D124" s="56" t="s">
        <v>3514</v>
      </c>
      <c r="E124" s="56" t="s">
        <v>3457</v>
      </c>
    </row>
    <row r="125" spans="1:5" ht="94" customHeight="1" x14ac:dyDescent="0.2">
      <c r="A125" s="57" t="s">
        <v>2214</v>
      </c>
      <c r="B125" s="57" t="s">
        <v>3515</v>
      </c>
      <c r="C125" s="57" t="s">
        <v>3516</v>
      </c>
      <c r="D125" s="57" t="s">
        <v>3517</v>
      </c>
      <c r="E125" s="57" t="s">
        <v>3457</v>
      </c>
    </row>
    <row r="126" spans="1:5" ht="94" customHeight="1" x14ac:dyDescent="0.2">
      <c r="A126" s="56" t="s">
        <v>2214</v>
      </c>
      <c r="B126" s="56" t="s">
        <v>3393</v>
      </c>
      <c r="C126" s="56"/>
      <c r="D126" s="56" t="s">
        <v>1895</v>
      </c>
      <c r="E126" s="56" t="s">
        <v>3465</v>
      </c>
    </row>
    <row r="127" spans="1:5" ht="94" customHeight="1" x14ac:dyDescent="0.2">
      <c r="A127" s="57" t="s">
        <v>2214</v>
      </c>
      <c r="B127" s="57" t="s">
        <v>3255</v>
      </c>
      <c r="C127" s="57" t="s">
        <v>3518</v>
      </c>
      <c r="D127" s="57" t="s">
        <v>3519</v>
      </c>
      <c r="E127" s="57" t="s">
        <v>3457</v>
      </c>
    </row>
    <row r="128" spans="1:5" ht="94" customHeight="1" x14ac:dyDescent="0.2">
      <c r="A128" s="56" t="s">
        <v>2214</v>
      </c>
      <c r="B128" s="56" t="s">
        <v>3520</v>
      </c>
      <c r="C128" s="56" t="s">
        <v>3521</v>
      </c>
      <c r="D128" s="56" t="s">
        <v>3522</v>
      </c>
      <c r="E128" s="56" t="s">
        <v>3457</v>
      </c>
    </row>
    <row r="129" spans="1:5" ht="94" customHeight="1" x14ac:dyDescent="0.2">
      <c r="A129" s="57" t="s">
        <v>2214</v>
      </c>
      <c r="B129" s="57" t="s">
        <v>3523</v>
      </c>
      <c r="C129" s="57" t="s">
        <v>3524</v>
      </c>
      <c r="D129" s="57" t="s">
        <v>3525</v>
      </c>
      <c r="E129" s="57" t="s">
        <v>3457</v>
      </c>
    </row>
    <row r="130" spans="1:5" ht="94" customHeight="1" x14ac:dyDescent="0.2">
      <c r="A130" s="56" t="s">
        <v>2214</v>
      </c>
      <c r="B130" s="56" t="s">
        <v>3526</v>
      </c>
      <c r="C130" s="56"/>
      <c r="D130" s="56" t="s">
        <v>1895</v>
      </c>
      <c r="E130" s="56" t="s">
        <v>3465</v>
      </c>
    </row>
    <row r="131" spans="1:5" ht="94" customHeight="1" x14ac:dyDescent="0.2">
      <c r="A131" s="57" t="s">
        <v>2214</v>
      </c>
      <c r="B131" s="57" t="s">
        <v>3424</v>
      </c>
      <c r="C131" s="57" t="s">
        <v>3527</v>
      </c>
      <c r="D131" s="57" t="s">
        <v>3528</v>
      </c>
      <c r="E131" s="57" t="s">
        <v>3457</v>
      </c>
    </row>
    <row r="132" spans="1:5" ht="94" customHeight="1" x14ac:dyDescent="0.2">
      <c r="A132" s="56" t="s">
        <v>2214</v>
      </c>
      <c r="B132" s="56" t="s">
        <v>3529</v>
      </c>
      <c r="C132" s="56" t="s">
        <v>3530</v>
      </c>
      <c r="D132" s="56" t="s">
        <v>3531</v>
      </c>
      <c r="E132" s="56" t="s">
        <v>3457</v>
      </c>
    </row>
    <row r="133" spans="1:5" ht="94" customHeight="1" x14ac:dyDescent="0.2">
      <c r="A133" s="57" t="s">
        <v>2214</v>
      </c>
      <c r="B133" s="57" t="s">
        <v>3532</v>
      </c>
      <c r="C133" s="57" t="s">
        <v>3533</v>
      </c>
      <c r="D133" s="57" t="s">
        <v>3534</v>
      </c>
      <c r="E133" s="57" t="s">
        <v>3457</v>
      </c>
    </row>
    <row r="134" spans="1:5" ht="94" customHeight="1" x14ac:dyDescent="0.2">
      <c r="A134" s="56" t="s">
        <v>2214</v>
      </c>
      <c r="B134" s="56" t="s">
        <v>3535</v>
      </c>
      <c r="C134" s="56"/>
      <c r="D134" s="56" t="s">
        <v>1895</v>
      </c>
      <c r="E134" s="56" t="s">
        <v>3465</v>
      </c>
    </row>
    <row r="135" spans="1:5" ht="94" customHeight="1" x14ac:dyDescent="0.2">
      <c r="A135" s="57" t="s">
        <v>2214</v>
      </c>
      <c r="B135" s="57" t="s">
        <v>3291</v>
      </c>
      <c r="C135" s="57" t="s">
        <v>3536</v>
      </c>
      <c r="D135" s="57" t="s">
        <v>3537</v>
      </c>
      <c r="E135" s="57" t="s">
        <v>3457</v>
      </c>
    </row>
    <row r="136" spans="1:5" ht="94" customHeight="1" x14ac:dyDescent="0.2">
      <c r="A136" s="56" t="s">
        <v>2214</v>
      </c>
      <c r="B136" s="56" t="s">
        <v>3294</v>
      </c>
      <c r="C136" s="56" t="s">
        <v>3538</v>
      </c>
      <c r="D136" s="56" t="s">
        <v>3539</v>
      </c>
      <c r="E136" s="56" t="s">
        <v>3457</v>
      </c>
    </row>
    <row r="137" spans="1:5" ht="94" customHeight="1" x14ac:dyDescent="0.2">
      <c r="A137" s="57" t="s">
        <v>2214</v>
      </c>
      <c r="B137" s="57" t="s">
        <v>3540</v>
      </c>
      <c r="C137" s="57" t="s">
        <v>3541</v>
      </c>
      <c r="D137" s="57" t="s">
        <v>3542</v>
      </c>
      <c r="E137" s="57" t="s">
        <v>3457</v>
      </c>
    </row>
    <row r="138" spans="1:5" ht="94" customHeight="1" x14ac:dyDescent="0.2">
      <c r="A138" s="56" t="s">
        <v>2214</v>
      </c>
      <c r="B138" s="56" t="s">
        <v>3543</v>
      </c>
      <c r="C138" s="56"/>
      <c r="D138" s="56" t="s">
        <v>1895</v>
      </c>
      <c r="E138" s="56" t="s">
        <v>3465</v>
      </c>
    </row>
    <row r="139" spans="1:5" ht="94" customHeight="1" x14ac:dyDescent="0.2">
      <c r="A139" s="57" t="s">
        <v>2214</v>
      </c>
      <c r="B139" s="57" t="s">
        <v>3296</v>
      </c>
      <c r="C139" s="57" t="s">
        <v>3544</v>
      </c>
      <c r="D139" s="57" t="s">
        <v>3545</v>
      </c>
      <c r="E139" s="57" t="s">
        <v>3457</v>
      </c>
    </row>
    <row r="140" spans="1:5" ht="94" customHeight="1" x14ac:dyDescent="0.2">
      <c r="A140" s="56" t="s">
        <v>2214</v>
      </c>
      <c r="B140" s="56" t="s">
        <v>3299</v>
      </c>
      <c r="C140" s="56" t="s">
        <v>3546</v>
      </c>
      <c r="D140" s="56" t="s">
        <v>3547</v>
      </c>
      <c r="E140" s="56" t="s">
        <v>3457</v>
      </c>
    </row>
    <row r="141" spans="1:5" ht="94" customHeight="1" x14ac:dyDescent="0.2">
      <c r="A141" s="57" t="s">
        <v>2214</v>
      </c>
      <c r="B141" s="57" t="s">
        <v>3548</v>
      </c>
      <c r="C141" s="57" t="s">
        <v>3549</v>
      </c>
      <c r="D141" s="57" t="s">
        <v>3550</v>
      </c>
      <c r="E141" s="57" t="s">
        <v>3457</v>
      </c>
    </row>
    <row r="142" spans="1:5" ht="94" customHeight="1" x14ac:dyDescent="0.2">
      <c r="A142" s="56" t="s">
        <v>2214</v>
      </c>
      <c r="B142" s="56" t="s">
        <v>3551</v>
      </c>
      <c r="C142" s="56"/>
      <c r="D142" s="56" t="s">
        <v>1895</v>
      </c>
      <c r="E142" s="56" t="s">
        <v>3465</v>
      </c>
    </row>
    <row r="143" spans="1:5" ht="94" customHeight="1" x14ac:dyDescent="0.2">
      <c r="A143" s="57" t="s">
        <v>3378</v>
      </c>
      <c r="B143" s="57" t="s">
        <v>3224</v>
      </c>
      <c r="C143" s="57" t="s">
        <v>3552</v>
      </c>
      <c r="D143" s="57" t="s">
        <v>2097</v>
      </c>
      <c r="E143" s="57" t="s">
        <v>3553</v>
      </c>
    </row>
    <row r="144" spans="1:5" ht="94" customHeight="1" x14ac:dyDescent="0.2">
      <c r="A144" s="56" t="s">
        <v>3378</v>
      </c>
      <c r="B144" s="56" t="s">
        <v>3279</v>
      </c>
      <c r="C144" s="56" t="s">
        <v>3554</v>
      </c>
      <c r="D144" s="56" t="s">
        <v>2098</v>
      </c>
      <c r="E144" s="56" t="s">
        <v>3555</v>
      </c>
    </row>
    <row r="145" spans="1:5" ht="94" customHeight="1" x14ac:dyDescent="0.2">
      <c r="A145" s="57" t="s">
        <v>3378</v>
      </c>
      <c r="B145" s="57" t="s">
        <v>3280</v>
      </c>
      <c r="C145" s="57" t="s">
        <v>2089</v>
      </c>
      <c r="D145" s="57" t="s">
        <v>2099</v>
      </c>
      <c r="E145" s="57" t="s">
        <v>3556</v>
      </c>
    </row>
    <row r="146" spans="1:5" ht="94" customHeight="1" x14ac:dyDescent="0.2">
      <c r="A146" s="56" t="s">
        <v>678</v>
      </c>
      <c r="B146" s="56" t="s">
        <v>3557</v>
      </c>
      <c r="C146" s="56"/>
      <c r="D146" s="56" t="s">
        <v>2210</v>
      </c>
      <c r="E146" s="56" t="s">
        <v>3558</v>
      </c>
    </row>
    <row r="147" spans="1:5" ht="94" customHeight="1" x14ac:dyDescent="0.2">
      <c r="A147" s="57" t="s">
        <v>678</v>
      </c>
      <c r="B147" s="57" t="s">
        <v>3559</v>
      </c>
      <c r="C147" s="57"/>
      <c r="D147" s="57" t="s">
        <v>2211</v>
      </c>
      <c r="E147" s="57" t="s">
        <v>3558</v>
      </c>
    </row>
    <row r="148" spans="1:5" ht="94" customHeight="1" x14ac:dyDescent="0.2">
      <c r="A148" s="56" t="s">
        <v>678</v>
      </c>
      <c r="B148" s="56" t="s">
        <v>2160</v>
      </c>
      <c r="C148" s="56"/>
      <c r="D148" s="56" t="s">
        <v>2212</v>
      </c>
      <c r="E148" s="56" t="s">
        <v>3558</v>
      </c>
    </row>
    <row r="149" spans="1:5" ht="94" customHeight="1" x14ac:dyDescent="0.2">
      <c r="A149" s="57" t="s">
        <v>678</v>
      </c>
      <c r="B149" s="57" t="s">
        <v>3560</v>
      </c>
      <c r="C149" s="57"/>
      <c r="D149" s="57" t="s">
        <v>1551</v>
      </c>
      <c r="E149" s="57" t="s">
        <v>3558</v>
      </c>
    </row>
    <row r="150" spans="1:5" ht="94" customHeight="1" x14ac:dyDescent="0.2">
      <c r="A150" s="56" t="s">
        <v>678</v>
      </c>
      <c r="B150" s="56" t="s">
        <v>3561</v>
      </c>
      <c r="C150" s="56"/>
      <c r="D150" s="56" t="s">
        <v>2213</v>
      </c>
      <c r="E150" s="56" t="s">
        <v>3558</v>
      </c>
    </row>
    <row r="151" spans="1:5" ht="94" customHeight="1" x14ac:dyDescent="0.2">
      <c r="A151" s="57" t="s">
        <v>678</v>
      </c>
      <c r="B151" s="57" t="s">
        <v>3562</v>
      </c>
      <c r="C151" s="57"/>
      <c r="D151" s="57" t="s">
        <v>2214</v>
      </c>
      <c r="E151" s="57" t="s">
        <v>3563</v>
      </c>
    </row>
    <row r="152" spans="1:5" ht="94" customHeight="1" x14ac:dyDescent="0.2">
      <c r="A152" s="56" t="s">
        <v>678</v>
      </c>
      <c r="B152" s="56" t="s">
        <v>3564</v>
      </c>
      <c r="C152" s="56"/>
      <c r="D152" s="56" t="s">
        <v>2215</v>
      </c>
      <c r="E152" s="56" t="s">
        <v>3563</v>
      </c>
    </row>
    <row r="153" spans="1:5" ht="94" customHeight="1" x14ac:dyDescent="0.2">
      <c r="A153" s="57" t="s">
        <v>678</v>
      </c>
      <c r="B153" s="57" t="s">
        <v>2165</v>
      </c>
      <c r="C153" s="57"/>
      <c r="D153" s="57" t="s">
        <v>2216</v>
      </c>
      <c r="E153" s="57" t="s">
        <v>3563</v>
      </c>
    </row>
    <row r="154" spans="1:5" ht="94" customHeight="1" x14ac:dyDescent="0.2">
      <c r="A154" s="56" t="s">
        <v>678</v>
      </c>
      <c r="B154" s="56" t="s">
        <v>3565</v>
      </c>
      <c r="C154" s="56"/>
      <c r="D154" s="56" t="s">
        <v>55</v>
      </c>
      <c r="E154" s="56" t="s">
        <v>3563</v>
      </c>
    </row>
    <row r="155" spans="1:5" ht="94" customHeight="1" x14ac:dyDescent="0.2">
      <c r="A155" s="57" t="s">
        <v>678</v>
      </c>
      <c r="B155" s="57" t="s">
        <v>3566</v>
      </c>
      <c r="C155" s="57"/>
      <c r="D155" s="57" t="s">
        <v>2217</v>
      </c>
      <c r="E155" s="57" t="s">
        <v>3563</v>
      </c>
    </row>
    <row r="156" spans="1:5" ht="94" customHeight="1" x14ac:dyDescent="0.2">
      <c r="A156" s="56" t="s">
        <v>3567</v>
      </c>
      <c r="B156" s="56" t="s">
        <v>3380</v>
      </c>
      <c r="C156" s="56" t="s">
        <v>2461</v>
      </c>
      <c r="D156" s="56" t="s">
        <v>3568</v>
      </c>
      <c r="E156" s="56" t="s">
        <v>3569</v>
      </c>
    </row>
    <row r="157" spans="1:5" ht="94" customHeight="1" x14ac:dyDescent="0.2">
      <c r="A157" s="57" t="s">
        <v>3567</v>
      </c>
      <c r="B157" s="57" t="s">
        <v>3383</v>
      </c>
      <c r="C157" s="57" t="s">
        <v>2461</v>
      </c>
      <c r="D157" s="57" t="s">
        <v>3568</v>
      </c>
      <c r="E157" s="57" t="s">
        <v>3569</v>
      </c>
    </row>
    <row r="158" spans="1:5" ht="94" customHeight="1" x14ac:dyDescent="0.2">
      <c r="A158" s="56" t="s">
        <v>2625</v>
      </c>
      <c r="B158" s="56" t="s">
        <v>3380</v>
      </c>
      <c r="C158" s="56" t="s">
        <v>2461</v>
      </c>
      <c r="D158" s="56" t="s">
        <v>3568</v>
      </c>
      <c r="E158" s="56" t="s">
        <v>3569</v>
      </c>
    </row>
    <row r="159" spans="1:5" ht="94" customHeight="1" x14ac:dyDescent="0.2">
      <c r="A159" s="57" t="s">
        <v>2625</v>
      </c>
      <c r="B159" s="57" t="s">
        <v>3383</v>
      </c>
      <c r="C159" s="57" t="s">
        <v>2461</v>
      </c>
      <c r="D159" s="57" t="s">
        <v>3568</v>
      </c>
      <c r="E159" s="57" t="s">
        <v>3569</v>
      </c>
    </row>
  </sheetData>
  <autoFilter ref="A3:E159" xr:uid="{00000000-0009-0000-0000-000044000000}"/>
  <mergeCells count="2">
    <mergeCell ref="A2:E2"/>
    <mergeCell ref="A1:E1"/>
  </mergeCells>
  <printOptions horizontalCentered="1"/>
  <pageMargins left="0.75" right="0.75" top="1" bottom="1" header="0.5" footer="0.5"/>
  <pageSetup paperSize="8" fitToHeight="0" orientation="landscape"/>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rgb="FF548235"/>
  </sheetPr>
  <dimension ref="A1:Y148"/>
  <sheetViews>
    <sheetView showGridLines="0" rightToLeft="1" workbookViewId="0">
      <pane xSplit="5" ySplit="3" topLeftCell="F4" activePane="bottomRight" state="frozen"/>
      <selection pane="topRight"/>
      <selection pane="bottomLeft"/>
      <selection pane="bottomRight"/>
    </sheetView>
  </sheetViews>
  <sheetFormatPr baseColWidth="10" defaultColWidth="8.83203125" defaultRowHeight="15" x14ac:dyDescent="0.2"/>
  <cols>
    <col min="1" max="1" width="14" customWidth="1"/>
    <col min="2" max="2" width="10" customWidth="1"/>
    <col min="3" max="3" width="26" customWidth="1"/>
    <col min="4" max="4" width="13" customWidth="1"/>
    <col min="5" max="5" width="22" customWidth="1"/>
    <col min="6" max="6" width="24" customWidth="1"/>
    <col min="7" max="7" width="8" customWidth="1"/>
    <col min="8" max="8" width="20" customWidth="1"/>
    <col min="9" max="9" width="30" customWidth="1"/>
    <col min="10" max="10" width="8" customWidth="1"/>
    <col min="11" max="11" width="22" customWidth="1"/>
    <col min="12" max="12" width="9" customWidth="1"/>
    <col min="13" max="13" width="36" customWidth="1"/>
    <col min="14" max="14" width="9" customWidth="1"/>
    <col min="15" max="15" width="18" customWidth="1"/>
    <col min="16" max="16" width="16" customWidth="1"/>
    <col min="17" max="18" width="8" customWidth="1"/>
    <col min="19" max="19" width="24" customWidth="1"/>
    <col min="20" max="21" width="9" customWidth="1"/>
    <col min="22" max="22" width="24" customWidth="1"/>
    <col min="23" max="23" width="8" customWidth="1"/>
    <col min="24" max="24" width="16" customWidth="1"/>
    <col min="25" max="25" width="40" customWidth="1"/>
  </cols>
  <sheetData>
    <row r="1" spans="1:25" ht="30" customHeight="1" x14ac:dyDescent="0.2">
      <c r="A1" s="87" t="s">
        <v>3570</v>
      </c>
      <c r="B1" s="76"/>
      <c r="C1" s="76"/>
      <c r="D1" s="76"/>
      <c r="E1" s="76"/>
      <c r="F1" s="76"/>
      <c r="G1" s="76"/>
      <c r="H1" s="76"/>
      <c r="I1" s="76"/>
      <c r="J1" s="76"/>
      <c r="K1" s="76"/>
      <c r="L1" s="76"/>
      <c r="M1" s="76"/>
      <c r="N1" s="76"/>
      <c r="O1" s="76"/>
      <c r="P1" s="76"/>
      <c r="Q1" s="76"/>
      <c r="R1" s="76"/>
      <c r="S1" s="76"/>
      <c r="T1" s="76"/>
      <c r="U1" s="76"/>
      <c r="V1" s="76"/>
      <c r="W1" s="76"/>
      <c r="X1" s="76"/>
      <c r="Y1" s="76"/>
    </row>
    <row r="2" spans="1:25" ht="22" customHeight="1" x14ac:dyDescent="0.2">
      <c r="A2" s="85" t="s">
        <v>3571</v>
      </c>
      <c r="B2" s="76"/>
      <c r="C2" s="76"/>
      <c r="D2" s="76"/>
      <c r="E2" s="76"/>
      <c r="F2" s="76"/>
      <c r="G2" s="76"/>
      <c r="H2" s="76"/>
      <c r="I2" s="76"/>
      <c r="J2" s="76"/>
      <c r="K2" s="76"/>
      <c r="L2" s="76"/>
      <c r="M2" s="76"/>
      <c r="N2" s="76"/>
      <c r="O2" s="76"/>
      <c r="P2" s="76"/>
      <c r="Q2" s="76"/>
      <c r="R2" s="76"/>
      <c r="S2" s="76"/>
      <c r="T2" s="76"/>
      <c r="U2" s="76"/>
      <c r="V2" s="76"/>
      <c r="W2" s="76"/>
      <c r="X2" s="76"/>
      <c r="Y2" s="76"/>
    </row>
    <row r="3" spans="1:25" ht="42" customHeight="1" x14ac:dyDescent="0.2">
      <c r="A3" s="24" t="s">
        <v>3572</v>
      </c>
      <c r="B3" s="24" t="s">
        <v>94</v>
      </c>
      <c r="C3" s="24" t="s">
        <v>3573</v>
      </c>
      <c r="D3" s="24" t="s">
        <v>3574</v>
      </c>
      <c r="E3" s="24" t="s">
        <v>1685</v>
      </c>
      <c r="F3" s="24" t="s">
        <v>3575</v>
      </c>
      <c r="G3" s="24" t="s">
        <v>3576</v>
      </c>
      <c r="H3" s="24" t="s">
        <v>3577</v>
      </c>
      <c r="I3" s="24" t="s">
        <v>3578</v>
      </c>
      <c r="J3" s="24" t="s">
        <v>3579</v>
      </c>
      <c r="K3" s="24" t="s">
        <v>3580</v>
      </c>
      <c r="L3" s="24" t="s">
        <v>3581</v>
      </c>
      <c r="M3" s="24" t="s">
        <v>3582</v>
      </c>
      <c r="N3" s="24" t="s">
        <v>943</v>
      </c>
      <c r="O3" s="24" t="s">
        <v>3583</v>
      </c>
      <c r="P3" s="24" t="s">
        <v>3584</v>
      </c>
      <c r="Q3" s="24" t="s">
        <v>3585</v>
      </c>
      <c r="R3" s="24" t="s">
        <v>3586</v>
      </c>
      <c r="S3" s="24" t="s">
        <v>3587</v>
      </c>
      <c r="T3" s="24" t="s">
        <v>3588</v>
      </c>
      <c r="U3" s="24" t="s">
        <v>3589</v>
      </c>
      <c r="V3" s="24" t="s">
        <v>3590</v>
      </c>
      <c r="W3" s="24" t="s">
        <v>3591</v>
      </c>
      <c r="X3" s="24" t="s">
        <v>3592</v>
      </c>
      <c r="Y3" s="24" t="s">
        <v>4</v>
      </c>
    </row>
    <row r="4" spans="1:25" ht="29" customHeight="1" x14ac:dyDescent="0.2">
      <c r="A4" s="23" t="s">
        <v>3593</v>
      </c>
      <c r="B4" s="23" t="s">
        <v>109</v>
      </c>
      <c r="C4" s="23" t="s">
        <v>3594</v>
      </c>
      <c r="D4" s="23" t="s">
        <v>3595</v>
      </c>
      <c r="E4" s="23" t="s">
        <v>3596</v>
      </c>
      <c r="F4" s="23" t="s">
        <v>3597</v>
      </c>
      <c r="G4" s="23" t="s">
        <v>3598</v>
      </c>
      <c r="H4" s="23" t="s">
        <v>3599</v>
      </c>
      <c r="I4" s="23"/>
      <c r="J4" s="23" t="s">
        <v>3600</v>
      </c>
      <c r="K4" s="23" t="s">
        <v>3601</v>
      </c>
      <c r="L4" s="23" t="s">
        <v>3602</v>
      </c>
      <c r="M4" s="23" t="s">
        <v>3603</v>
      </c>
      <c r="N4" s="23">
        <v>0</v>
      </c>
      <c r="O4" s="23" t="s">
        <v>3604</v>
      </c>
      <c r="P4" s="23"/>
      <c r="Q4" s="23"/>
      <c r="R4" s="23"/>
      <c r="S4" s="23"/>
      <c r="T4" s="23" t="str">
        <f t="shared" ref="T4:T35" si="0">IF(AND(ISNUMBER(Q4),ISNUMBER(R4),R4&gt;0),Q4/R4,"")</f>
        <v/>
      </c>
      <c r="U4" s="23">
        <f t="shared" ref="U4:U35" si="1">IF(AND(D4="MEMBER",ISNUMBER(Q4),ISNUMBER(R4),R4&gt;0),1,0)</f>
        <v>0</v>
      </c>
      <c r="V4" s="23" t="s">
        <v>3605</v>
      </c>
      <c r="W4" s="23" t="s">
        <v>3606</v>
      </c>
      <c r="X4" s="23" t="s">
        <v>1008</v>
      </c>
      <c r="Y4" s="23"/>
    </row>
    <row r="5" spans="1:25" ht="20" customHeight="1" x14ac:dyDescent="0.2">
      <c r="A5" s="25" t="s">
        <v>3607</v>
      </c>
      <c r="B5" s="25" t="s">
        <v>109</v>
      </c>
      <c r="C5" s="25" t="s">
        <v>3608</v>
      </c>
      <c r="D5" s="25" t="s">
        <v>3595</v>
      </c>
      <c r="E5" s="25" t="s">
        <v>3609</v>
      </c>
      <c r="F5" s="25"/>
      <c r="G5" s="25" t="s">
        <v>1160</v>
      </c>
      <c r="H5" s="25" t="s">
        <v>3599</v>
      </c>
      <c r="I5" s="25"/>
      <c r="J5" s="25" t="s">
        <v>3600</v>
      </c>
      <c r="K5" s="25" t="s">
        <v>3610</v>
      </c>
      <c r="L5" s="25" t="s">
        <v>3611</v>
      </c>
      <c r="M5" s="25" t="s">
        <v>3610</v>
      </c>
      <c r="N5" s="25">
        <v>1</v>
      </c>
      <c r="O5" s="25" t="s">
        <v>3612</v>
      </c>
      <c r="P5" s="25"/>
      <c r="Q5" s="25"/>
      <c r="R5" s="25"/>
      <c r="S5" s="25"/>
      <c r="T5" s="25" t="str">
        <f t="shared" si="0"/>
        <v/>
      </c>
      <c r="U5" s="25">
        <f t="shared" si="1"/>
        <v>0</v>
      </c>
      <c r="V5" s="25" t="s">
        <v>3605</v>
      </c>
      <c r="W5" s="25" t="s">
        <v>3606</v>
      </c>
      <c r="X5" s="25" t="s">
        <v>1008</v>
      </c>
      <c r="Y5" s="25"/>
    </row>
    <row r="6" spans="1:25" ht="20" customHeight="1" x14ac:dyDescent="0.2">
      <c r="A6" s="23" t="s">
        <v>3613</v>
      </c>
      <c r="B6" s="23" t="s">
        <v>109</v>
      </c>
      <c r="C6" s="23" t="s">
        <v>3608</v>
      </c>
      <c r="D6" s="23" t="s">
        <v>3595</v>
      </c>
      <c r="E6" s="23" t="s">
        <v>3614</v>
      </c>
      <c r="F6" s="23"/>
      <c r="G6" s="23" t="s">
        <v>1160</v>
      </c>
      <c r="H6" s="23" t="s">
        <v>3599</v>
      </c>
      <c r="I6" s="23"/>
      <c r="J6" s="23" t="s">
        <v>3600</v>
      </c>
      <c r="K6" s="23" t="s">
        <v>3615</v>
      </c>
      <c r="L6" s="23" t="s">
        <v>3616</v>
      </c>
      <c r="M6" s="23" t="s">
        <v>3615</v>
      </c>
      <c r="N6" s="23">
        <v>1</v>
      </c>
      <c r="O6" s="23" t="s">
        <v>3612</v>
      </c>
      <c r="P6" s="23"/>
      <c r="Q6" s="23"/>
      <c r="R6" s="23"/>
      <c r="S6" s="23"/>
      <c r="T6" s="23" t="str">
        <f t="shared" si="0"/>
        <v/>
      </c>
      <c r="U6" s="23">
        <f t="shared" si="1"/>
        <v>0</v>
      </c>
      <c r="V6" s="23" t="s">
        <v>3605</v>
      </c>
      <c r="W6" s="23" t="s">
        <v>3606</v>
      </c>
      <c r="X6" s="23" t="s">
        <v>1008</v>
      </c>
      <c r="Y6" s="23"/>
    </row>
    <row r="7" spans="1:25" ht="20" customHeight="1" x14ac:dyDescent="0.2">
      <c r="A7" s="25" t="s">
        <v>3617</v>
      </c>
      <c r="B7" s="25" t="s">
        <v>109</v>
      </c>
      <c r="C7" s="25" t="s">
        <v>3608</v>
      </c>
      <c r="D7" s="25" t="s">
        <v>3595</v>
      </c>
      <c r="E7" s="25" t="s">
        <v>3618</v>
      </c>
      <c r="F7" s="25"/>
      <c r="G7" s="25" t="s">
        <v>1160</v>
      </c>
      <c r="H7" s="25" t="s">
        <v>3599</v>
      </c>
      <c r="I7" s="25"/>
      <c r="J7" s="25" t="s">
        <v>3600</v>
      </c>
      <c r="K7" s="25" t="s">
        <v>3619</v>
      </c>
      <c r="L7" s="25" t="s">
        <v>3611</v>
      </c>
      <c r="M7" s="25" t="s">
        <v>3619</v>
      </c>
      <c r="N7" s="25">
        <v>1</v>
      </c>
      <c r="O7" s="25" t="s">
        <v>3612</v>
      </c>
      <c r="P7" s="25"/>
      <c r="Q7" s="25"/>
      <c r="R7" s="25"/>
      <c r="S7" s="25"/>
      <c r="T7" s="25" t="str">
        <f t="shared" si="0"/>
        <v/>
      </c>
      <c r="U7" s="25">
        <f t="shared" si="1"/>
        <v>0</v>
      </c>
      <c r="V7" s="25" t="s">
        <v>3605</v>
      </c>
      <c r="W7" s="25" t="s">
        <v>3606</v>
      </c>
      <c r="X7" s="25" t="s">
        <v>1008</v>
      </c>
      <c r="Y7" s="25"/>
    </row>
    <row r="8" spans="1:25" ht="20" customHeight="1" x14ac:dyDescent="0.2">
      <c r="A8" s="23" t="s">
        <v>3620</v>
      </c>
      <c r="B8" s="23" t="s">
        <v>109</v>
      </c>
      <c r="C8" s="23" t="s">
        <v>3608</v>
      </c>
      <c r="D8" s="23" t="s">
        <v>3595</v>
      </c>
      <c r="E8" s="23" t="s">
        <v>3621</v>
      </c>
      <c r="F8" s="23"/>
      <c r="G8" s="23" t="s">
        <v>1160</v>
      </c>
      <c r="H8" s="23" t="s">
        <v>3599</v>
      </c>
      <c r="I8" s="23"/>
      <c r="J8" s="23" t="s">
        <v>3600</v>
      </c>
      <c r="K8" s="23" t="s">
        <v>3619</v>
      </c>
      <c r="L8" s="23" t="s">
        <v>3611</v>
      </c>
      <c r="M8" s="23" t="s">
        <v>3619</v>
      </c>
      <c r="N8" s="23">
        <v>1</v>
      </c>
      <c r="O8" s="23" t="s">
        <v>3612</v>
      </c>
      <c r="P8" s="23"/>
      <c r="Q8" s="23"/>
      <c r="R8" s="23"/>
      <c r="S8" s="23"/>
      <c r="T8" s="23" t="str">
        <f t="shared" si="0"/>
        <v/>
      </c>
      <c r="U8" s="23">
        <f t="shared" si="1"/>
        <v>0</v>
      </c>
      <c r="V8" s="23" t="s">
        <v>3605</v>
      </c>
      <c r="W8" s="23" t="s">
        <v>3606</v>
      </c>
      <c r="X8" s="23" t="s">
        <v>1008</v>
      </c>
      <c r="Y8" s="23"/>
    </row>
    <row r="9" spans="1:25" ht="29" customHeight="1" x14ac:dyDescent="0.2">
      <c r="A9" s="25" t="s">
        <v>3622</v>
      </c>
      <c r="B9" s="25" t="s">
        <v>109</v>
      </c>
      <c r="C9" s="25" t="s">
        <v>3623</v>
      </c>
      <c r="D9" s="25" t="s">
        <v>3624</v>
      </c>
      <c r="E9" s="25" t="s">
        <v>3625</v>
      </c>
      <c r="F9" s="25"/>
      <c r="G9" s="25" t="s">
        <v>1160</v>
      </c>
      <c r="H9" s="25" t="s">
        <v>3626</v>
      </c>
      <c r="I9" s="25"/>
      <c r="J9" s="25" t="s">
        <v>3600</v>
      </c>
      <c r="K9" s="25" t="s">
        <v>3627</v>
      </c>
      <c r="L9" s="25" t="s">
        <v>3616</v>
      </c>
      <c r="M9" s="25" t="s">
        <v>3628</v>
      </c>
      <c r="N9" s="25">
        <v>1</v>
      </c>
      <c r="O9" s="25" t="s">
        <v>3629</v>
      </c>
      <c r="P9" s="25"/>
      <c r="Q9" s="25"/>
      <c r="R9" s="25"/>
      <c r="S9" s="25"/>
      <c r="T9" s="25" t="str">
        <f t="shared" si="0"/>
        <v/>
      </c>
      <c r="U9" s="25">
        <f t="shared" si="1"/>
        <v>0</v>
      </c>
      <c r="V9" s="25" t="s">
        <v>3605</v>
      </c>
      <c r="W9" s="25" t="s">
        <v>3606</v>
      </c>
      <c r="X9" s="25" t="s">
        <v>1008</v>
      </c>
      <c r="Y9" s="25" t="s">
        <v>3630</v>
      </c>
    </row>
    <row r="10" spans="1:25" ht="29" customHeight="1" x14ac:dyDescent="0.2">
      <c r="A10" s="23" t="s">
        <v>3631</v>
      </c>
      <c r="B10" s="23" t="s">
        <v>117</v>
      </c>
      <c r="C10" s="23" t="s">
        <v>3632</v>
      </c>
      <c r="D10" s="23" t="s">
        <v>3595</v>
      </c>
      <c r="E10" s="23" t="s">
        <v>121</v>
      </c>
      <c r="F10" s="23" t="s">
        <v>3633</v>
      </c>
      <c r="G10" s="23" t="s">
        <v>3598</v>
      </c>
      <c r="H10" s="23"/>
      <c r="I10" s="23"/>
      <c r="J10" s="23" t="s">
        <v>3600</v>
      </c>
      <c r="K10" s="23" t="s">
        <v>3634</v>
      </c>
      <c r="L10" s="23" t="s">
        <v>3635</v>
      </c>
      <c r="M10" s="23"/>
      <c r="N10" s="23">
        <v>0</v>
      </c>
      <c r="O10" s="23" t="s">
        <v>3636</v>
      </c>
      <c r="P10" s="23"/>
      <c r="Q10" s="23">
        <v>3</v>
      </c>
      <c r="R10" s="23"/>
      <c r="S10" s="23"/>
      <c r="T10" s="23" t="str">
        <f t="shared" si="0"/>
        <v/>
      </c>
      <c r="U10" s="23">
        <f t="shared" si="1"/>
        <v>0</v>
      </c>
      <c r="V10" s="23" t="s">
        <v>3637</v>
      </c>
      <c r="W10" s="23" t="s">
        <v>3638</v>
      </c>
      <c r="X10" s="23" t="s">
        <v>1008</v>
      </c>
      <c r="Y10" s="23"/>
    </row>
    <row r="11" spans="1:25" ht="29" customHeight="1" x14ac:dyDescent="0.2">
      <c r="A11" s="25" t="s">
        <v>3639</v>
      </c>
      <c r="B11" s="25" t="s">
        <v>117</v>
      </c>
      <c r="C11" s="25" t="s">
        <v>3640</v>
      </c>
      <c r="D11" s="25" t="s">
        <v>3595</v>
      </c>
      <c r="E11" s="25" t="s">
        <v>2711</v>
      </c>
      <c r="F11" s="25" t="s">
        <v>3633</v>
      </c>
      <c r="G11" s="25" t="s">
        <v>3598</v>
      </c>
      <c r="H11" s="25"/>
      <c r="I11" s="25"/>
      <c r="J11" s="25" t="s">
        <v>3600</v>
      </c>
      <c r="K11" s="25" t="s">
        <v>3641</v>
      </c>
      <c r="L11" s="25" t="s">
        <v>3642</v>
      </c>
      <c r="M11" s="25" t="s">
        <v>3643</v>
      </c>
      <c r="N11" s="25">
        <v>0</v>
      </c>
      <c r="O11" s="25" t="s">
        <v>3636</v>
      </c>
      <c r="P11" s="25"/>
      <c r="Q11" s="25">
        <v>3</v>
      </c>
      <c r="R11" s="25"/>
      <c r="S11" s="25"/>
      <c r="T11" s="25" t="str">
        <f t="shared" si="0"/>
        <v/>
      </c>
      <c r="U11" s="25">
        <f t="shared" si="1"/>
        <v>0</v>
      </c>
      <c r="V11" s="25" t="s">
        <v>3637</v>
      </c>
      <c r="W11" s="25" t="s">
        <v>3638</v>
      </c>
      <c r="X11" s="25" t="s">
        <v>1008</v>
      </c>
      <c r="Y11" s="25"/>
    </row>
    <row r="12" spans="1:25" ht="20" customHeight="1" x14ac:dyDescent="0.2">
      <c r="A12" s="23" t="s">
        <v>3644</v>
      </c>
      <c r="B12" s="23" t="s">
        <v>117</v>
      </c>
      <c r="C12" s="23" t="s">
        <v>3640</v>
      </c>
      <c r="D12" s="23" t="s">
        <v>3595</v>
      </c>
      <c r="E12" s="23" t="s">
        <v>3645</v>
      </c>
      <c r="F12" s="23"/>
      <c r="G12" s="23" t="s">
        <v>1160</v>
      </c>
      <c r="H12" s="23"/>
      <c r="I12" s="23"/>
      <c r="J12" s="23" t="s">
        <v>3600</v>
      </c>
      <c r="K12" s="23" t="s">
        <v>3646</v>
      </c>
      <c r="L12" s="23" t="s">
        <v>3635</v>
      </c>
      <c r="M12" s="23"/>
      <c r="N12" s="23">
        <v>0</v>
      </c>
      <c r="O12" s="23" t="s">
        <v>3636</v>
      </c>
      <c r="P12" s="23"/>
      <c r="Q12" s="23">
        <v>3</v>
      </c>
      <c r="R12" s="23"/>
      <c r="S12" s="23"/>
      <c r="T12" s="23" t="str">
        <f t="shared" si="0"/>
        <v/>
      </c>
      <c r="U12" s="23">
        <f t="shared" si="1"/>
        <v>0</v>
      </c>
      <c r="V12" s="23" t="s">
        <v>3637</v>
      </c>
      <c r="W12" s="23" t="s">
        <v>3638</v>
      </c>
      <c r="X12" s="23" t="s">
        <v>1008</v>
      </c>
      <c r="Y12" s="23"/>
    </row>
    <row r="13" spans="1:25" ht="43.5" customHeight="1" x14ac:dyDescent="0.2">
      <c r="A13" s="25" t="s">
        <v>3647</v>
      </c>
      <c r="B13" s="25" t="s">
        <v>117</v>
      </c>
      <c r="C13" s="25" t="s">
        <v>3640</v>
      </c>
      <c r="D13" s="25" t="s">
        <v>3595</v>
      </c>
      <c r="E13" s="25" t="s">
        <v>3648</v>
      </c>
      <c r="F13" s="25"/>
      <c r="G13" s="25" t="s">
        <v>1160</v>
      </c>
      <c r="H13" s="25"/>
      <c r="I13" s="25"/>
      <c r="J13" s="25" t="s">
        <v>3600</v>
      </c>
      <c r="K13" s="25" t="s">
        <v>3649</v>
      </c>
      <c r="L13" s="25" t="s">
        <v>3650</v>
      </c>
      <c r="M13" s="25" t="s">
        <v>3651</v>
      </c>
      <c r="N13" s="25">
        <v>1</v>
      </c>
      <c r="O13" s="25" t="s">
        <v>3636</v>
      </c>
      <c r="P13" s="25"/>
      <c r="Q13" s="25">
        <v>3</v>
      </c>
      <c r="R13" s="25"/>
      <c r="S13" s="25"/>
      <c r="T13" s="25" t="str">
        <f t="shared" si="0"/>
        <v/>
      </c>
      <c r="U13" s="25">
        <f t="shared" si="1"/>
        <v>0</v>
      </c>
      <c r="V13" s="25" t="s">
        <v>3637</v>
      </c>
      <c r="W13" s="25" t="s">
        <v>3638</v>
      </c>
      <c r="X13" s="25" t="s">
        <v>1008</v>
      </c>
      <c r="Y13" s="25"/>
    </row>
    <row r="14" spans="1:25" ht="20" customHeight="1" x14ac:dyDescent="0.2">
      <c r="A14" s="23" t="s">
        <v>3652</v>
      </c>
      <c r="B14" s="23" t="s">
        <v>117</v>
      </c>
      <c r="C14" s="23" t="s">
        <v>3640</v>
      </c>
      <c r="D14" s="23" t="s">
        <v>3595</v>
      </c>
      <c r="E14" s="23" t="s">
        <v>3653</v>
      </c>
      <c r="F14" s="23"/>
      <c r="G14" s="23" t="s">
        <v>1160</v>
      </c>
      <c r="H14" s="23"/>
      <c r="I14" s="23"/>
      <c r="J14" s="23" t="s">
        <v>3600</v>
      </c>
      <c r="K14" s="23" t="s">
        <v>3654</v>
      </c>
      <c r="L14" s="23" t="s">
        <v>3635</v>
      </c>
      <c r="M14" s="23"/>
      <c r="N14" s="23">
        <v>0</v>
      </c>
      <c r="O14" s="23" t="s">
        <v>3636</v>
      </c>
      <c r="P14" s="23"/>
      <c r="Q14" s="23">
        <v>3</v>
      </c>
      <c r="R14" s="23"/>
      <c r="S14" s="23"/>
      <c r="T14" s="23" t="str">
        <f t="shared" si="0"/>
        <v/>
      </c>
      <c r="U14" s="23">
        <f t="shared" si="1"/>
        <v>0</v>
      </c>
      <c r="V14" s="23" t="s">
        <v>3637</v>
      </c>
      <c r="W14" s="23" t="s">
        <v>3638</v>
      </c>
      <c r="X14" s="23" t="s">
        <v>1008</v>
      </c>
      <c r="Y14" s="23"/>
    </row>
    <row r="15" spans="1:25" ht="20" customHeight="1" x14ac:dyDescent="0.2">
      <c r="A15" s="25" t="s">
        <v>3655</v>
      </c>
      <c r="B15" s="25" t="s">
        <v>117</v>
      </c>
      <c r="C15" s="25" t="s">
        <v>3656</v>
      </c>
      <c r="D15" s="25" t="s">
        <v>3624</v>
      </c>
      <c r="E15" s="25" t="s">
        <v>3657</v>
      </c>
      <c r="F15" s="25"/>
      <c r="G15" s="25" t="s">
        <v>1160</v>
      </c>
      <c r="H15" s="25"/>
      <c r="I15" s="25"/>
      <c r="J15" s="25" t="s">
        <v>3600</v>
      </c>
      <c r="K15" s="25" t="s">
        <v>3654</v>
      </c>
      <c r="L15" s="25" t="s">
        <v>3650</v>
      </c>
      <c r="M15" s="25" t="s">
        <v>3658</v>
      </c>
      <c r="N15" s="25">
        <v>1</v>
      </c>
      <c r="O15" s="25" t="s">
        <v>3659</v>
      </c>
      <c r="P15" s="25"/>
      <c r="Q15" s="25">
        <v>19</v>
      </c>
      <c r="R15" s="25"/>
      <c r="S15" s="25"/>
      <c r="T15" s="25" t="str">
        <f t="shared" si="0"/>
        <v/>
      </c>
      <c r="U15" s="25">
        <f t="shared" si="1"/>
        <v>0</v>
      </c>
      <c r="V15" s="25" t="s">
        <v>3637</v>
      </c>
      <c r="W15" s="25" t="s">
        <v>3638</v>
      </c>
      <c r="X15" s="25" t="s">
        <v>1008</v>
      </c>
      <c r="Y15" s="25" t="s">
        <v>3660</v>
      </c>
    </row>
    <row r="16" spans="1:25" ht="29" customHeight="1" x14ac:dyDescent="0.2">
      <c r="A16" s="23" t="s">
        <v>3661</v>
      </c>
      <c r="B16" s="23" t="s">
        <v>117</v>
      </c>
      <c r="C16" s="23" t="s">
        <v>3662</v>
      </c>
      <c r="D16" s="23" t="s">
        <v>3663</v>
      </c>
      <c r="E16" s="23" t="s">
        <v>3664</v>
      </c>
      <c r="F16" s="23"/>
      <c r="G16" s="23" t="s">
        <v>3600</v>
      </c>
      <c r="H16" s="23"/>
      <c r="I16" s="23"/>
      <c r="J16" s="23" t="s">
        <v>3600</v>
      </c>
      <c r="K16" s="23" t="s">
        <v>3654</v>
      </c>
      <c r="L16" s="23" t="s">
        <v>3650</v>
      </c>
      <c r="M16" s="23" t="s">
        <v>3665</v>
      </c>
      <c r="N16" s="23">
        <v>1</v>
      </c>
      <c r="O16" s="23"/>
      <c r="P16" s="23" t="s">
        <v>3666</v>
      </c>
      <c r="Q16" s="23">
        <v>15</v>
      </c>
      <c r="R16" s="23"/>
      <c r="S16" s="23"/>
      <c r="T16" s="23" t="str">
        <f t="shared" si="0"/>
        <v/>
      </c>
      <c r="U16" s="23">
        <f t="shared" si="1"/>
        <v>0</v>
      </c>
      <c r="V16" s="23" t="s">
        <v>3637</v>
      </c>
      <c r="W16" s="23" t="s">
        <v>3638</v>
      </c>
      <c r="X16" s="23" t="s">
        <v>1008</v>
      </c>
      <c r="Y16" s="23" t="s">
        <v>3667</v>
      </c>
    </row>
    <row r="17" spans="1:25" ht="29" customHeight="1" x14ac:dyDescent="0.2">
      <c r="A17" s="25" t="s">
        <v>3668</v>
      </c>
      <c r="B17" s="25" t="s">
        <v>117</v>
      </c>
      <c r="C17" s="25" t="s">
        <v>3669</v>
      </c>
      <c r="D17" s="25" t="s">
        <v>3663</v>
      </c>
      <c r="E17" s="25" t="s">
        <v>3670</v>
      </c>
      <c r="F17" s="25"/>
      <c r="G17" s="25" t="s">
        <v>3600</v>
      </c>
      <c r="H17" s="25"/>
      <c r="I17" s="25"/>
      <c r="J17" s="25" t="s">
        <v>3600</v>
      </c>
      <c r="K17" s="25" t="s">
        <v>3649</v>
      </c>
      <c r="L17" s="25" t="s">
        <v>3635</v>
      </c>
      <c r="M17" s="25"/>
      <c r="N17" s="25">
        <v>0</v>
      </c>
      <c r="O17" s="25"/>
      <c r="P17" s="25" t="s">
        <v>3671</v>
      </c>
      <c r="Q17" s="25">
        <v>16</v>
      </c>
      <c r="R17" s="25"/>
      <c r="S17" s="25"/>
      <c r="T17" s="25" t="str">
        <f t="shared" si="0"/>
        <v/>
      </c>
      <c r="U17" s="25">
        <f t="shared" si="1"/>
        <v>0</v>
      </c>
      <c r="V17" s="25" t="s">
        <v>3637</v>
      </c>
      <c r="W17" s="25" t="s">
        <v>3638</v>
      </c>
      <c r="X17" s="25" t="s">
        <v>1008</v>
      </c>
      <c r="Y17" s="25" t="s">
        <v>2681</v>
      </c>
    </row>
    <row r="18" spans="1:25" ht="20" customHeight="1" x14ac:dyDescent="0.2">
      <c r="A18" s="23" t="s">
        <v>3672</v>
      </c>
      <c r="B18" s="23" t="s">
        <v>117</v>
      </c>
      <c r="C18" s="23" t="s">
        <v>3669</v>
      </c>
      <c r="D18" s="23" t="s">
        <v>3663</v>
      </c>
      <c r="E18" s="23" t="s">
        <v>3673</v>
      </c>
      <c r="F18" s="23"/>
      <c r="G18" s="23" t="s">
        <v>3600</v>
      </c>
      <c r="H18" s="23"/>
      <c r="I18" s="23"/>
      <c r="J18" s="23" t="s">
        <v>3600</v>
      </c>
      <c r="K18" s="23" t="s">
        <v>3654</v>
      </c>
      <c r="L18" s="23" t="s">
        <v>3611</v>
      </c>
      <c r="M18" s="23" t="s">
        <v>3674</v>
      </c>
      <c r="N18" s="23">
        <v>1</v>
      </c>
      <c r="O18" s="23"/>
      <c r="P18" s="23" t="s">
        <v>3675</v>
      </c>
      <c r="Q18" s="23">
        <v>16</v>
      </c>
      <c r="R18" s="23"/>
      <c r="S18" s="23"/>
      <c r="T18" s="23" t="str">
        <f t="shared" si="0"/>
        <v/>
      </c>
      <c r="U18" s="23">
        <f t="shared" si="1"/>
        <v>0</v>
      </c>
      <c r="V18" s="23" t="s">
        <v>3637</v>
      </c>
      <c r="W18" s="23" t="s">
        <v>3638</v>
      </c>
      <c r="X18" s="23" t="s">
        <v>1008</v>
      </c>
      <c r="Y18" s="23" t="s">
        <v>2681</v>
      </c>
    </row>
    <row r="19" spans="1:25" ht="29" customHeight="1" x14ac:dyDescent="0.2">
      <c r="A19" s="25" t="s">
        <v>3676</v>
      </c>
      <c r="B19" s="25" t="s">
        <v>117</v>
      </c>
      <c r="C19" s="25" t="s">
        <v>3669</v>
      </c>
      <c r="D19" s="25" t="s">
        <v>3663</v>
      </c>
      <c r="E19" s="25" t="s">
        <v>3677</v>
      </c>
      <c r="F19" s="25"/>
      <c r="G19" s="25" t="s">
        <v>3600</v>
      </c>
      <c r="H19" s="25"/>
      <c r="I19" s="25"/>
      <c r="J19" s="25" t="s">
        <v>3600</v>
      </c>
      <c r="K19" s="25" t="s">
        <v>3654</v>
      </c>
      <c r="L19" s="25" t="s">
        <v>3611</v>
      </c>
      <c r="M19" s="25" t="s">
        <v>3678</v>
      </c>
      <c r="N19" s="25">
        <v>1</v>
      </c>
      <c r="O19" s="25"/>
      <c r="P19" s="25" t="s">
        <v>3675</v>
      </c>
      <c r="Q19" s="25">
        <v>16</v>
      </c>
      <c r="R19" s="25"/>
      <c r="S19" s="25"/>
      <c r="T19" s="25" t="str">
        <f t="shared" si="0"/>
        <v/>
      </c>
      <c r="U19" s="25">
        <f t="shared" si="1"/>
        <v>0</v>
      </c>
      <c r="V19" s="25" t="s">
        <v>3637</v>
      </c>
      <c r="W19" s="25" t="s">
        <v>3638</v>
      </c>
      <c r="X19" s="25" t="s">
        <v>1008</v>
      </c>
      <c r="Y19" s="25" t="s">
        <v>2681</v>
      </c>
    </row>
    <row r="20" spans="1:25" ht="29" customHeight="1" x14ac:dyDescent="0.2">
      <c r="A20" s="23" t="s">
        <v>3679</v>
      </c>
      <c r="B20" s="23" t="s">
        <v>117</v>
      </c>
      <c r="C20" s="23" t="s">
        <v>3669</v>
      </c>
      <c r="D20" s="23" t="s">
        <v>3663</v>
      </c>
      <c r="E20" s="23" t="s">
        <v>3680</v>
      </c>
      <c r="F20" s="23"/>
      <c r="G20" s="23" t="s">
        <v>3600</v>
      </c>
      <c r="H20" s="23"/>
      <c r="I20" s="23"/>
      <c r="J20" s="23" t="s">
        <v>3600</v>
      </c>
      <c r="K20" s="23" t="s">
        <v>3654</v>
      </c>
      <c r="L20" s="23" t="s">
        <v>3611</v>
      </c>
      <c r="M20" s="23" t="s">
        <v>3681</v>
      </c>
      <c r="N20" s="23">
        <v>1</v>
      </c>
      <c r="O20" s="23"/>
      <c r="P20" s="23" t="s">
        <v>3675</v>
      </c>
      <c r="Q20" s="23">
        <v>6</v>
      </c>
      <c r="R20" s="23"/>
      <c r="S20" s="23"/>
      <c r="T20" s="23" t="str">
        <f t="shared" si="0"/>
        <v/>
      </c>
      <c r="U20" s="23">
        <f t="shared" si="1"/>
        <v>0</v>
      </c>
      <c r="V20" s="23" t="s">
        <v>3637</v>
      </c>
      <c r="W20" s="23" t="s">
        <v>3638</v>
      </c>
      <c r="X20" s="23" t="s">
        <v>1008</v>
      </c>
      <c r="Y20" s="23" t="s">
        <v>2681</v>
      </c>
    </row>
    <row r="21" spans="1:25" ht="43.5" customHeight="1" x14ac:dyDescent="0.2">
      <c r="A21" s="25" t="s">
        <v>3682</v>
      </c>
      <c r="B21" s="25" t="s">
        <v>126</v>
      </c>
      <c r="C21" s="25" t="s">
        <v>3632</v>
      </c>
      <c r="D21" s="25" t="s">
        <v>3595</v>
      </c>
      <c r="E21" s="25" t="s">
        <v>3683</v>
      </c>
      <c r="F21" s="25" t="s">
        <v>3633</v>
      </c>
      <c r="G21" s="25" t="s">
        <v>3598</v>
      </c>
      <c r="H21" s="25"/>
      <c r="I21" s="25" t="s">
        <v>3684</v>
      </c>
      <c r="J21" s="25" t="s">
        <v>3598</v>
      </c>
      <c r="K21" s="25" t="s">
        <v>3685</v>
      </c>
      <c r="L21" s="25" t="s">
        <v>3642</v>
      </c>
      <c r="M21" s="25" t="s">
        <v>3686</v>
      </c>
      <c r="N21" s="25">
        <v>0</v>
      </c>
      <c r="O21" s="25" t="s">
        <v>3687</v>
      </c>
      <c r="P21" s="25"/>
      <c r="Q21" s="25">
        <v>1</v>
      </c>
      <c r="R21" s="25"/>
      <c r="S21" s="25"/>
      <c r="T21" s="25" t="str">
        <f t="shared" si="0"/>
        <v/>
      </c>
      <c r="U21" s="25">
        <f t="shared" si="1"/>
        <v>0</v>
      </c>
      <c r="V21" s="25" t="s">
        <v>3688</v>
      </c>
      <c r="W21" s="25" t="s">
        <v>3689</v>
      </c>
      <c r="X21" s="25" t="s">
        <v>1008</v>
      </c>
      <c r="Y21" s="25" t="s">
        <v>3690</v>
      </c>
    </row>
    <row r="22" spans="1:25" ht="43.5" customHeight="1" x14ac:dyDescent="0.2">
      <c r="A22" s="23" t="s">
        <v>3691</v>
      </c>
      <c r="B22" s="23" t="s">
        <v>126</v>
      </c>
      <c r="C22" s="23" t="s">
        <v>3692</v>
      </c>
      <c r="D22" s="23" t="s">
        <v>3595</v>
      </c>
      <c r="E22" s="23" t="s">
        <v>3693</v>
      </c>
      <c r="F22" s="23"/>
      <c r="G22" s="23" t="s">
        <v>1160</v>
      </c>
      <c r="H22" s="23"/>
      <c r="I22" s="23" t="s">
        <v>3692</v>
      </c>
      <c r="J22" s="23" t="s">
        <v>3598</v>
      </c>
      <c r="K22" s="23" t="s">
        <v>3694</v>
      </c>
      <c r="L22" s="23" t="s">
        <v>3611</v>
      </c>
      <c r="M22" s="23" t="s">
        <v>3695</v>
      </c>
      <c r="N22" s="23">
        <v>1</v>
      </c>
      <c r="O22" s="23" t="s">
        <v>3696</v>
      </c>
      <c r="P22" s="23"/>
      <c r="Q22" s="23">
        <v>14</v>
      </c>
      <c r="R22" s="23">
        <v>14</v>
      </c>
      <c r="S22" s="23" t="s">
        <v>3697</v>
      </c>
      <c r="T22" s="23">
        <f t="shared" si="0"/>
        <v>1</v>
      </c>
      <c r="U22" s="23">
        <f t="shared" si="1"/>
        <v>1</v>
      </c>
      <c r="V22" s="23" t="s">
        <v>3688</v>
      </c>
      <c r="W22" s="23" t="s">
        <v>3689</v>
      </c>
      <c r="X22" s="23" t="s">
        <v>1008</v>
      </c>
      <c r="Y22" s="23"/>
    </row>
    <row r="23" spans="1:25" ht="43.5" customHeight="1" x14ac:dyDescent="0.2">
      <c r="A23" s="25" t="s">
        <v>3698</v>
      </c>
      <c r="B23" s="25" t="s">
        <v>126</v>
      </c>
      <c r="C23" s="25" t="s">
        <v>3692</v>
      </c>
      <c r="D23" s="25" t="s">
        <v>3595</v>
      </c>
      <c r="E23" s="25" t="s">
        <v>3699</v>
      </c>
      <c r="F23" s="25"/>
      <c r="G23" s="25" t="s">
        <v>1160</v>
      </c>
      <c r="H23" s="25"/>
      <c r="I23" s="25" t="s">
        <v>3692</v>
      </c>
      <c r="J23" s="25" t="s">
        <v>3598</v>
      </c>
      <c r="K23" s="25" t="s">
        <v>3619</v>
      </c>
      <c r="L23" s="25" t="s">
        <v>3611</v>
      </c>
      <c r="M23" s="25" t="s">
        <v>3700</v>
      </c>
      <c r="N23" s="25">
        <v>1</v>
      </c>
      <c r="O23" s="25" t="s">
        <v>3696</v>
      </c>
      <c r="P23" s="25"/>
      <c r="Q23" s="25">
        <v>14</v>
      </c>
      <c r="R23" s="25">
        <v>14</v>
      </c>
      <c r="S23" s="25" t="s">
        <v>3697</v>
      </c>
      <c r="T23" s="25">
        <f t="shared" si="0"/>
        <v>1</v>
      </c>
      <c r="U23" s="25">
        <f t="shared" si="1"/>
        <v>1</v>
      </c>
      <c r="V23" s="25" t="s">
        <v>3688</v>
      </c>
      <c r="W23" s="25" t="s">
        <v>3689</v>
      </c>
      <c r="X23" s="25" t="s">
        <v>1008</v>
      </c>
      <c r="Y23" s="25"/>
    </row>
    <row r="24" spans="1:25" ht="29" customHeight="1" x14ac:dyDescent="0.2">
      <c r="A24" s="23" t="s">
        <v>3701</v>
      </c>
      <c r="B24" s="23" t="s">
        <v>131</v>
      </c>
      <c r="C24" s="23" t="s">
        <v>3632</v>
      </c>
      <c r="D24" s="23" t="s">
        <v>3595</v>
      </c>
      <c r="E24" s="23" t="s">
        <v>2889</v>
      </c>
      <c r="F24" s="23" t="s">
        <v>3702</v>
      </c>
      <c r="G24" s="23" t="s">
        <v>3598</v>
      </c>
      <c r="H24" s="23" t="s">
        <v>3703</v>
      </c>
      <c r="I24" s="23"/>
      <c r="J24" s="23" t="s">
        <v>3600</v>
      </c>
      <c r="K24" s="23" t="s">
        <v>3627</v>
      </c>
      <c r="L24" s="23" t="s">
        <v>3616</v>
      </c>
      <c r="M24" s="23" t="s">
        <v>3704</v>
      </c>
      <c r="N24" s="23">
        <v>1</v>
      </c>
      <c r="O24" s="23" t="s">
        <v>3705</v>
      </c>
      <c r="P24" s="23"/>
      <c r="Q24" s="23">
        <v>14</v>
      </c>
      <c r="R24" s="23"/>
      <c r="S24" s="23"/>
      <c r="T24" s="23" t="str">
        <f t="shared" si="0"/>
        <v/>
      </c>
      <c r="U24" s="23">
        <f t="shared" si="1"/>
        <v>0</v>
      </c>
      <c r="V24" s="23" t="s">
        <v>3706</v>
      </c>
      <c r="W24" s="23" t="s">
        <v>3707</v>
      </c>
      <c r="X24" s="23" t="s">
        <v>1008</v>
      </c>
      <c r="Y24" s="23"/>
    </row>
    <row r="25" spans="1:25" ht="29" customHeight="1" x14ac:dyDescent="0.2">
      <c r="A25" s="25" t="s">
        <v>3708</v>
      </c>
      <c r="B25" s="25" t="s">
        <v>131</v>
      </c>
      <c r="C25" s="25" t="s">
        <v>3640</v>
      </c>
      <c r="D25" s="25" t="s">
        <v>3595</v>
      </c>
      <c r="E25" s="25" t="s">
        <v>3709</v>
      </c>
      <c r="F25" s="25"/>
      <c r="G25" s="25" t="s">
        <v>1160</v>
      </c>
      <c r="H25" s="25"/>
      <c r="I25" s="25"/>
      <c r="J25" s="25" t="s">
        <v>3600</v>
      </c>
      <c r="K25" s="25" t="s">
        <v>3710</v>
      </c>
      <c r="L25" s="25" t="s">
        <v>3616</v>
      </c>
      <c r="M25" s="25" t="s">
        <v>3711</v>
      </c>
      <c r="N25" s="25">
        <v>1</v>
      </c>
      <c r="O25" s="25" t="s">
        <v>3712</v>
      </c>
      <c r="P25" s="25"/>
      <c r="Q25" s="25">
        <v>14</v>
      </c>
      <c r="R25" s="25"/>
      <c r="S25" s="25"/>
      <c r="T25" s="25" t="str">
        <f t="shared" si="0"/>
        <v/>
      </c>
      <c r="U25" s="25">
        <f t="shared" si="1"/>
        <v>0</v>
      </c>
      <c r="V25" s="25" t="s">
        <v>3706</v>
      </c>
      <c r="W25" s="25" t="s">
        <v>3707</v>
      </c>
      <c r="X25" s="25" t="s">
        <v>1008</v>
      </c>
      <c r="Y25" s="25"/>
    </row>
    <row r="26" spans="1:25" ht="29" customHeight="1" x14ac:dyDescent="0.2">
      <c r="A26" s="23" t="s">
        <v>3713</v>
      </c>
      <c r="B26" s="23" t="s">
        <v>131</v>
      </c>
      <c r="C26" s="23" t="s">
        <v>3640</v>
      </c>
      <c r="D26" s="23" t="s">
        <v>3595</v>
      </c>
      <c r="E26" s="23" t="s">
        <v>3714</v>
      </c>
      <c r="F26" s="23"/>
      <c r="G26" s="23" t="s">
        <v>1160</v>
      </c>
      <c r="H26" s="23"/>
      <c r="I26" s="23"/>
      <c r="J26" s="23" t="s">
        <v>3600</v>
      </c>
      <c r="K26" s="23" t="s">
        <v>3715</v>
      </c>
      <c r="L26" s="23" t="s">
        <v>3611</v>
      </c>
      <c r="M26" s="23" t="s">
        <v>3716</v>
      </c>
      <c r="N26" s="23">
        <v>1</v>
      </c>
      <c r="O26" s="23" t="s">
        <v>3717</v>
      </c>
      <c r="P26" s="23"/>
      <c r="Q26" s="23">
        <v>14</v>
      </c>
      <c r="R26" s="23"/>
      <c r="S26" s="23"/>
      <c r="T26" s="23" t="str">
        <f t="shared" si="0"/>
        <v/>
      </c>
      <c r="U26" s="23">
        <f t="shared" si="1"/>
        <v>0</v>
      </c>
      <c r="V26" s="23" t="s">
        <v>3706</v>
      </c>
      <c r="W26" s="23" t="s">
        <v>3707</v>
      </c>
      <c r="X26" s="23" t="s">
        <v>1008</v>
      </c>
      <c r="Y26" s="23"/>
    </row>
    <row r="27" spans="1:25" ht="43.5" customHeight="1" x14ac:dyDescent="0.2">
      <c r="A27" s="25" t="s">
        <v>3718</v>
      </c>
      <c r="B27" s="25" t="s">
        <v>135</v>
      </c>
      <c r="C27" s="25" t="s">
        <v>3632</v>
      </c>
      <c r="D27" s="25" t="s">
        <v>3595</v>
      </c>
      <c r="E27" s="25" t="s">
        <v>3719</v>
      </c>
      <c r="F27" s="25"/>
      <c r="G27" s="25" t="s">
        <v>3720</v>
      </c>
      <c r="H27" s="25"/>
      <c r="I27" s="25"/>
      <c r="J27" s="25" t="s">
        <v>3600</v>
      </c>
      <c r="K27" s="25" t="s">
        <v>3721</v>
      </c>
      <c r="L27" s="25" t="s">
        <v>3602</v>
      </c>
      <c r="M27" s="25" t="s">
        <v>3722</v>
      </c>
      <c r="N27" s="25">
        <v>0</v>
      </c>
      <c r="O27" s="25" t="s">
        <v>3723</v>
      </c>
      <c r="P27" s="25"/>
      <c r="Q27" s="25"/>
      <c r="R27" s="25"/>
      <c r="S27" s="25"/>
      <c r="T27" s="25" t="str">
        <f t="shared" si="0"/>
        <v/>
      </c>
      <c r="U27" s="25">
        <f t="shared" si="1"/>
        <v>0</v>
      </c>
      <c r="V27" s="25" t="s">
        <v>3724</v>
      </c>
      <c r="W27" s="25" t="s">
        <v>3292</v>
      </c>
      <c r="X27" s="25" t="s">
        <v>3725</v>
      </c>
      <c r="Y27" s="25" t="s">
        <v>3726</v>
      </c>
    </row>
    <row r="28" spans="1:25" ht="29" customHeight="1" x14ac:dyDescent="0.2">
      <c r="A28" s="23" t="s">
        <v>3727</v>
      </c>
      <c r="B28" s="23" t="s">
        <v>135</v>
      </c>
      <c r="C28" s="23" t="s">
        <v>3640</v>
      </c>
      <c r="D28" s="23" t="s">
        <v>3595</v>
      </c>
      <c r="E28" s="23" t="s">
        <v>2786</v>
      </c>
      <c r="F28" s="23" t="s">
        <v>3728</v>
      </c>
      <c r="G28" s="23" t="s">
        <v>3598</v>
      </c>
      <c r="H28" s="23"/>
      <c r="I28" s="23"/>
      <c r="J28" s="23" t="s">
        <v>3600</v>
      </c>
      <c r="K28" s="23" t="s">
        <v>3729</v>
      </c>
      <c r="L28" s="23" t="s">
        <v>3642</v>
      </c>
      <c r="M28" s="23" t="s">
        <v>3730</v>
      </c>
      <c r="N28" s="23">
        <v>0</v>
      </c>
      <c r="O28" s="23" t="s">
        <v>3731</v>
      </c>
      <c r="P28" s="23"/>
      <c r="Q28" s="23"/>
      <c r="R28" s="23"/>
      <c r="S28" s="23"/>
      <c r="T28" s="23" t="str">
        <f t="shared" si="0"/>
        <v/>
      </c>
      <c r="U28" s="23">
        <f t="shared" si="1"/>
        <v>0</v>
      </c>
      <c r="V28" s="23" t="s">
        <v>3724</v>
      </c>
      <c r="W28" s="23" t="s">
        <v>3292</v>
      </c>
      <c r="X28" s="23" t="s">
        <v>1008</v>
      </c>
      <c r="Y28" s="23" t="s">
        <v>3732</v>
      </c>
    </row>
    <row r="29" spans="1:25" ht="20" customHeight="1" x14ac:dyDescent="0.2">
      <c r="A29" s="25" t="s">
        <v>3733</v>
      </c>
      <c r="B29" s="25" t="s">
        <v>135</v>
      </c>
      <c r="C29" s="25" t="s">
        <v>3640</v>
      </c>
      <c r="D29" s="25" t="s">
        <v>3595</v>
      </c>
      <c r="E29" s="25" t="s">
        <v>3734</v>
      </c>
      <c r="F29" s="25"/>
      <c r="G29" s="25" t="s">
        <v>1160</v>
      </c>
      <c r="H29" s="25"/>
      <c r="I29" s="25"/>
      <c r="J29" s="25" t="s">
        <v>3600</v>
      </c>
      <c r="K29" s="25" t="s">
        <v>3715</v>
      </c>
      <c r="L29" s="25" t="s">
        <v>3611</v>
      </c>
      <c r="M29" s="25" t="s">
        <v>3735</v>
      </c>
      <c r="N29" s="25">
        <v>1</v>
      </c>
      <c r="O29" s="25" t="s">
        <v>3736</v>
      </c>
      <c r="P29" s="25"/>
      <c r="Q29" s="25"/>
      <c r="R29" s="25"/>
      <c r="S29" s="25"/>
      <c r="T29" s="25" t="str">
        <f t="shared" si="0"/>
        <v/>
      </c>
      <c r="U29" s="25">
        <f t="shared" si="1"/>
        <v>0</v>
      </c>
      <c r="V29" s="25" t="s">
        <v>3724</v>
      </c>
      <c r="W29" s="25" t="s">
        <v>3292</v>
      </c>
      <c r="X29" s="25" t="s">
        <v>1008</v>
      </c>
      <c r="Y29" s="25"/>
    </row>
    <row r="30" spans="1:25" ht="20" customHeight="1" x14ac:dyDescent="0.2">
      <c r="A30" s="23" t="s">
        <v>3737</v>
      </c>
      <c r="B30" s="23" t="s">
        <v>135</v>
      </c>
      <c r="C30" s="23" t="s">
        <v>3640</v>
      </c>
      <c r="D30" s="23" t="s">
        <v>3595</v>
      </c>
      <c r="E30" s="23" t="s">
        <v>3738</v>
      </c>
      <c r="F30" s="23"/>
      <c r="G30" s="23" t="s">
        <v>1160</v>
      </c>
      <c r="H30" s="23"/>
      <c r="I30" s="23"/>
      <c r="J30" s="23" t="s">
        <v>3600</v>
      </c>
      <c r="K30" s="23" t="s">
        <v>3619</v>
      </c>
      <c r="L30" s="23" t="s">
        <v>3611</v>
      </c>
      <c r="M30" s="23" t="s">
        <v>3739</v>
      </c>
      <c r="N30" s="23">
        <v>1</v>
      </c>
      <c r="O30" s="23" t="s">
        <v>3740</v>
      </c>
      <c r="P30" s="23"/>
      <c r="Q30" s="23"/>
      <c r="R30" s="23"/>
      <c r="S30" s="23"/>
      <c r="T30" s="23" t="str">
        <f t="shared" si="0"/>
        <v/>
      </c>
      <c r="U30" s="23">
        <f t="shared" si="1"/>
        <v>0</v>
      </c>
      <c r="V30" s="23" t="s">
        <v>3724</v>
      </c>
      <c r="W30" s="23" t="s">
        <v>3292</v>
      </c>
      <c r="X30" s="23" t="s">
        <v>1008</v>
      </c>
      <c r="Y30" s="23"/>
    </row>
    <row r="31" spans="1:25" ht="29" customHeight="1" x14ac:dyDescent="0.2">
      <c r="A31" s="25" t="s">
        <v>3741</v>
      </c>
      <c r="B31" s="25" t="s">
        <v>135</v>
      </c>
      <c r="C31" s="25" t="s">
        <v>3640</v>
      </c>
      <c r="D31" s="25" t="s">
        <v>3595</v>
      </c>
      <c r="E31" s="25" t="s">
        <v>3742</v>
      </c>
      <c r="F31" s="25"/>
      <c r="G31" s="25" t="s">
        <v>1160</v>
      </c>
      <c r="H31" s="25"/>
      <c r="I31" s="25"/>
      <c r="J31" s="25" t="s">
        <v>3600</v>
      </c>
      <c r="K31" s="25" t="s">
        <v>3619</v>
      </c>
      <c r="L31" s="25" t="s">
        <v>3611</v>
      </c>
      <c r="M31" s="25" t="s">
        <v>3743</v>
      </c>
      <c r="N31" s="25">
        <v>1</v>
      </c>
      <c r="O31" s="25" t="s">
        <v>3744</v>
      </c>
      <c r="P31" s="25"/>
      <c r="Q31" s="25"/>
      <c r="R31" s="25"/>
      <c r="S31" s="25"/>
      <c r="T31" s="25" t="str">
        <f t="shared" si="0"/>
        <v/>
      </c>
      <c r="U31" s="25">
        <f t="shared" si="1"/>
        <v>0</v>
      </c>
      <c r="V31" s="25" t="s">
        <v>3724</v>
      </c>
      <c r="W31" s="25" t="s">
        <v>3292</v>
      </c>
      <c r="X31" s="25" t="s">
        <v>1008</v>
      </c>
      <c r="Y31" s="25"/>
    </row>
    <row r="32" spans="1:25" ht="20" customHeight="1" x14ac:dyDescent="0.2">
      <c r="A32" s="23" t="s">
        <v>3745</v>
      </c>
      <c r="B32" s="23" t="s">
        <v>137</v>
      </c>
      <c r="C32" s="23" t="s">
        <v>3632</v>
      </c>
      <c r="D32" s="23" t="s">
        <v>3595</v>
      </c>
      <c r="E32" s="23" t="s">
        <v>3746</v>
      </c>
      <c r="F32" s="23" t="s">
        <v>3728</v>
      </c>
      <c r="G32" s="23" t="s">
        <v>3598</v>
      </c>
      <c r="H32" s="23"/>
      <c r="I32" s="23"/>
      <c r="J32" s="23" t="s">
        <v>3600</v>
      </c>
      <c r="K32" s="23" t="s">
        <v>3747</v>
      </c>
      <c r="L32" s="23" t="s">
        <v>3642</v>
      </c>
      <c r="M32" s="23" t="s">
        <v>3748</v>
      </c>
      <c r="N32" s="23">
        <v>0</v>
      </c>
      <c r="O32" s="23" t="s">
        <v>3749</v>
      </c>
      <c r="P32" s="23"/>
      <c r="Q32" s="23"/>
      <c r="R32" s="23"/>
      <c r="S32" s="23"/>
      <c r="T32" s="23" t="str">
        <f t="shared" si="0"/>
        <v/>
      </c>
      <c r="U32" s="23">
        <f t="shared" si="1"/>
        <v>0</v>
      </c>
      <c r="V32" s="23" t="s">
        <v>3750</v>
      </c>
      <c r="W32" s="23" t="s">
        <v>3751</v>
      </c>
      <c r="X32" s="23" t="s">
        <v>1008</v>
      </c>
      <c r="Y32" s="23"/>
    </row>
    <row r="33" spans="1:25" ht="29" customHeight="1" x14ac:dyDescent="0.2">
      <c r="A33" s="25" t="s">
        <v>3752</v>
      </c>
      <c r="B33" s="25" t="s">
        <v>137</v>
      </c>
      <c r="C33" s="25" t="s">
        <v>3640</v>
      </c>
      <c r="D33" s="25" t="s">
        <v>3595</v>
      </c>
      <c r="E33" s="25" t="s">
        <v>3753</v>
      </c>
      <c r="F33" s="25" t="s">
        <v>3728</v>
      </c>
      <c r="G33" s="25" t="s">
        <v>3598</v>
      </c>
      <c r="H33" s="25"/>
      <c r="I33" s="25"/>
      <c r="J33" s="25" t="s">
        <v>3600</v>
      </c>
      <c r="K33" s="25" t="s">
        <v>3754</v>
      </c>
      <c r="L33" s="25" t="s">
        <v>3642</v>
      </c>
      <c r="M33" s="25" t="s">
        <v>3755</v>
      </c>
      <c r="N33" s="25">
        <v>0</v>
      </c>
      <c r="O33" s="25" t="s">
        <v>3756</v>
      </c>
      <c r="P33" s="25"/>
      <c r="Q33" s="25"/>
      <c r="R33" s="25"/>
      <c r="S33" s="25"/>
      <c r="T33" s="25" t="str">
        <f t="shared" si="0"/>
        <v/>
      </c>
      <c r="U33" s="25">
        <f t="shared" si="1"/>
        <v>0</v>
      </c>
      <c r="V33" s="25" t="s">
        <v>3750</v>
      </c>
      <c r="W33" s="25" t="s">
        <v>3751</v>
      </c>
      <c r="X33" s="25" t="s">
        <v>1008</v>
      </c>
      <c r="Y33" s="25" t="s">
        <v>3757</v>
      </c>
    </row>
    <row r="34" spans="1:25" ht="29" customHeight="1" x14ac:dyDescent="0.2">
      <c r="A34" s="23" t="s">
        <v>3758</v>
      </c>
      <c r="B34" s="23" t="s">
        <v>137</v>
      </c>
      <c r="C34" s="23" t="s">
        <v>3640</v>
      </c>
      <c r="D34" s="23" t="s">
        <v>3595</v>
      </c>
      <c r="E34" s="23" t="s">
        <v>3759</v>
      </c>
      <c r="F34" s="23"/>
      <c r="G34" s="23" t="s">
        <v>1160</v>
      </c>
      <c r="H34" s="23"/>
      <c r="I34" s="23"/>
      <c r="J34" s="23" t="s">
        <v>3600</v>
      </c>
      <c r="K34" s="23" t="s">
        <v>3760</v>
      </c>
      <c r="L34" s="23" t="s">
        <v>3650</v>
      </c>
      <c r="M34" s="23" t="s">
        <v>3761</v>
      </c>
      <c r="N34" s="23">
        <v>1</v>
      </c>
      <c r="O34" s="23" t="s">
        <v>3762</v>
      </c>
      <c r="P34" s="23"/>
      <c r="Q34" s="23"/>
      <c r="R34" s="23"/>
      <c r="S34" s="23"/>
      <c r="T34" s="23" t="str">
        <f t="shared" si="0"/>
        <v/>
      </c>
      <c r="U34" s="23">
        <f t="shared" si="1"/>
        <v>0</v>
      </c>
      <c r="V34" s="23" t="s">
        <v>3750</v>
      </c>
      <c r="W34" s="23" t="s">
        <v>3751</v>
      </c>
      <c r="X34" s="23" t="s">
        <v>1008</v>
      </c>
      <c r="Y34" s="23"/>
    </row>
    <row r="35" spans="1:25" ht="29" customHeight="1" x14ac:dyDescent="0.2">
      <c r="A35" s="25" t="s">
        <v>3763</v>
      </c>
      <c r="B35" s="25" t="s">
        <v>137</v>
      </c>
      <c r="C35" s="25" t="s">
        <v>3640</v>
      </c>
      <c r="D35" s="25" t="s">
        <v>3595</v>
      </c>
      <c r="E35" s="25" t="s">
        <v>3764</v>
      </c>
      <c r="F35" s="25"/>
      <c r="G35" s="25" t="s">
        <v>1160</v>
      </c>
      <c r="H35" s="25"/>
      <c r="I35" s="25"/>
      <c r="J35" s="25" t="s">
        <v>3600</v>
      </c>
      <c r="K35" s="25" t="s">
        <v>3765</v>
      </c>
      <c r="L35" s="25" t="s">
        <v>3650</v>
      </c>
      <c r="M35" s="25" t="s">
        <v>3766</v>
      </c>
      <c r="N35" s="25">
        <v>1</v>
      </c>
      <c r="O35" s="25" t="s">
        <v>3762</v>
      </c>
      <c r="P35" s="25"/>
      <c r="Q35" s="25"/>
      <c r="R35" s="25"/>
      <c r="S35" s="25"/>
      <c r="T35" s="25" t="str">
        <f t="shared" si="0"/>
        <v/>
      </c>
      <c r="U35" s="25">
        <f t="shared" si="1"/>
        <v>0</v>
      </c>
      <c r="V35" s="25" t="s">
        <v>3767</v>
      </c>
      <c r="W35" s="25" t="s">
        <v>3768</v>
      </c>
      <c r="X35" s="25" t="s">
        <v>1008</v>
      </c>
      <c r="Y35" s="25"/>
    </row>
    <row r="36" spans="1:25" ht="29" customHeight="1" x14ac:dyDescent="0.2">
      <c r="A36" s="23" t="s">
        <v>3769</v>
      </c>
      <c r="B36" s="23" t="s">
        <v>137</v>
      </c>
      <c r="C36" s="23" t="s">
        <v>3640</v>
      </c>
      <c r="D36" s="23" t="s">
        <v>3595</v>
      </c>
      <c r="E36" s="23" t="s">
        <v>3770</v>
      </c>
      <c r="F36" s="23"/>
      <c r="G36" s="23" t="s">
        <v>1160</v>
      </c>
      <c r="H36" s="23"/>
      <c r="I36" s="23"/>
      <c r="J36" s="23" t="s">
        <v>3600</v>
      </c>
      <c r="K36" s="23" t="s">
        <v>3771</v>
      </c>
      <c r="L36" s="23" t="s">
        <v>3635</v>
      </c>
      <c r="M36" s="23" t="s">
        <v>3772</v>
      </c>
      <c r="N36" s="23">
        <v>0</v>
      </c>
      <c r="O36" s="23" t="s">
        <v>3762</v>
      </c>
      <c r="P36" s="23"/>
      <c r="Q36" s="23"/>
      <c r="R36" s="23"/>
      <c r="S36" s="23"/>
      <c r="T36" s="23" t="str">
        <f t="shared" ref="T36:T67" si="2">IF(AND(ISNUMBER(Q36),ISNUMBER(R36),R36&gt;0),Q36/R36,"")</f>
        <v/>
      </c>
      <c r="U36" s="23">
        <f t="shared" ref="U36:U67" si="3">IF(AND(D36="MEMBER",ISNUMBER(Q36),ISNUMBER(R36),R36&gt;0),1,0)</f>
        <v>0</v>
      </c>
      <c r="V36" s="23" t="s">
        <v>3767</v>
      </c>
      <c r="W36" s="23" t="s">
        <v>3768</v>
      </c>
      <c r="X36" s="23" t="s">
        <v>1008</v>
      </c>
      <c r="Y36" s="23"/>
    </row>
    <row r="37" spans="1:25" ht="29" customHeight="1" x14ac:dyDescent="0.2">
      <c r="A37" s="25" t="s">
        <v>3773</v>
      </c>
      <c r="B37" s="25" t="s">
        <v>140</v>
      </c>
      <c r="C37" s="25" t="s">
        <v>3632</v>
      </c>
      <c r="D37" s="25" t="s">
        <v>3595</v>
      </c>
      <c r="E37" s="25" t="s">
        <v>3738</v>
      </c>
      <c r="F37" s="25" t="s">
        <v>3728</v>
      </c>
      <c r="G37" s="25" t="s">
        <v>3598</v>
      </c>
      <c r="H37" s="25"/>
      <c r="I37" s="25"/>
      <c r="J37" s="25" t="s">
        <v>3600</v>
      </c>
      <c r="K37" s="25" t="s">
        <v>3619</v>
      </c>
      <c r="L37" s="25" t="s">
        <v>3611</v>
      </c>
      <c r="M37" s="25" t="s">
        <v>3774</v>
      </c>
      <c r="N37" s="25">
        <v>1</v>
      </c>
      <c r="O37" s="25" t="s">
        <v>3775</v>
      </c>
      <c r="P37" s="25"/>
      <c r="Q37" s="25">
        <v>5</v>
      </c>
      <c r="R37" s="25"/>
      <c r="S37" s="25"/>
      <c r="T37" s="25" t="str">
        <f t="shared" si="2"/>
        <v/>
      </c>
      <c r="U37" s="25">
        <f t="shared" si="3"/>
        <v>0</v>
      </c>
      <c r="V37" s="25" t="s">
        <v>3776</v>
      </c>
      <c r="W37" s="25" t="s">
        <v>3606</v>
      </c>
      <c r="X37" s="25" t="s">
        <v>1008</v>
      </c>
      <c r="Y37" s="25"/>
    </row>
    <row r="38" spans="1:25" ht="29" customHeight="1" x14ac:dyDescent="0.2">
      <c r="A38" s="23" t="s">
        <v>3777</v>
      </c>
      <c r="B38" s="23" t="s">
        <v>140</v>
      </c>
      <c r="C38" s="23" t="s">
        <v>3640</v>
      </c>
      <c r="D38" s="23" t="s">
        <v>3595</v>
      </c>
      <c r="E38" s="23" t="s">
        <v>3778</v>
      </c>
      <c r="F38" s="23"/>
      <c r="G38" s="23" t="s">
        <v>1160</v>
      </c>
      <c r="H38" s="23"/>
      <c r="I38" s="23"/>
      <c r="J38" s="23" t="s">
        <v>3600</v>
      </c>
      <c r="K38" s="23" t="s">
        <v>3779</v>
      </c>
      <c r="L38" s="23" t="s">
        <v>3611</v>
      </c>
      <c r="M38" s="23" t="s">
        <v>3780</v>
      </c>
      <c r="N38" s="23">
        <v>1</v>
      </c>
      <c r="O38" s="23" t="s">
        <v>3775</v>
      </c>
      <c r="P38" s="23"/>
      <c r="Q38" s="23">
        <v>5</v>
      </c>
      <c r="R38" s="23"/>
      <c r="S38" s="23"/>
      <c r="T38" s="23" t="str">
        <f t="shared" si="2"/>
        <v/>
      </c>
      <c r="U38" s="23">
        <f t="shared" si="3"/>
        <v>0</v>
      </c>
      <c r="V38" s="23" t="s">
        <v>3776</v>
      </c>
      <c r="W38" s="23" t="s">
        <v>3606</v>
      </c>
      <c r="X38" s="23" t="s">
        <v>1008</v>
      </c>
      <c r="Y38" s="23"/>
    </row>
    <row r="39" spans="1:25" ht="29" customHeight="1" x14ac:dyDescent="0.2">
      <c r="A39" s="25" t="s">
        <v>3781</v>
      </c>
      <c r="B39" s="25" t="s">
        <v>140</v>
      </c>
      <c r="C39" s="25" t="s">
        <v>3640</v>
      </c>
      <c r="D39" s="25" t="s">
        <v>3595</v>
      </c>
      <c r="E39" s="25" t="s">
        <v>3782</v>
      </c>
      <c r="F39" s="25"/>
      <c r="G39" s="25" t="s">
        <v>1160</v>
      </c>
      <c r="H39" s="25"/>
      <c r="I39" s="25"/>
      <c r="J39" s="25" t="s">
        <v>3600</v>
      </c>
      <c r="K39" s="25" t="s">
        <v>3779</v>
      </c>
      <c r="L39" s="25" t="s">
        <v>3611</v>
      </c>
      <c r="M39" s="25" t="s">
        <v>3783</v>
      </c>
      <c r="N39" s="25">
        <v>1</v>
      </c>
      <c r="O39" s="25" t="s">
        <v>3784</v>
      </c>
      <c r="P39" s="25"/>
      <c r="Q39" s="25">
        <v>17</v>
      </c>
      <c r="R39" s="25">
        <v>17</v>
      </c>
      <c r="S39" s="25" t="s">
        <v>3785</v>
      </c>
      <c r="T39" s="25">
        <f t="shared" si="2"/>
        <v>1</v>
      </c>
      <c r="U39" s="25">
        <f t="shared" si="3"/>
        <v>1</v>
      </c>
      <c r="V39" s="25" t="s">
        <v>3776</v>
      </c>
      <c r="W39" s="25" t="s">
        <v>3606</v>
      </c>
      <c r="X39" s="25" t="s">
        <v>1008</v>
      </c>
      <c r="Y39" s="25" t="s">
        <v>3786</v>
      </c>
    </row>
    <row r="40" spans="1:25" ht="29" customHeight="1" x14ac:dyDescent="0.2">
      <c r="A40" s="23" t="s">
        <v>3787</v>
      </c>
      <c r="B40" s="23" t="s">
        <v>140</v>
      </c>
      <c r="C40" s="23" t="s">
        <v>3640</v>
      </c>
      <c r="D40" s="23" t="s">
        <v>3595</v>
      </c>
      <c r="E40" s="23" t="s">
        <v>3788</v>
      </c>
      <c r="F40" s="23"/>
      <c r="G40" s="23" t="s">
        <v>1160</v>
      </c>
      <c r="H40" s="23"/>
      <c r="I40" s="23"/>
      <c r="J40" s="23" t="s">
        <v>3600</v>
      </c>
      <c r="K40" s="23" t="s">
        <v>3779</v>
      </c>
      <c r="L40" s="23" t="s">
        <v>3611</v>
      </c>
      <c r="M40" s="23" t="s">
        <v>3789</v>
      </c>
      <c r="N40" s="23">
        <v>1</v>
      </c>
      <c r="O40" s="23" t="s">
        <v>3775</v>
      </c>
      <c r="P40" s="23"/>
      <c r="Q40" s="23">
        <v>5</v>
      </c>
      <c r="R40" s="23"/>
      <c r="S40" s="23"/>
      <c r="T40" s="23" t="str">
        <f t="shared" si="2"/>
        <v/>
      </c>
      <c r="U40" s="23">
        <f t="shared" si="3"/>
        <v>0</v>
      </c>
      <c r="V40" s="23" t="s">
        <v>3776</v>
      </c>
      <c r="W40" s="23" t="s">
        <v>3606</v>
      </c>
      <c r="X40" s="23" t="s">
        <v>1008</v>
      </c>
      <c r="Y40" s="23"/>
    </row>
    <row r="41" spans="1:25" ht="20" customHeight="1" x14ac:dyDescent="0.2">
      <c r="A41" s="25" t="s">
        <v>3790</v>
      </c>
      <c r="B41" s="25" t="s">
        <v>140</v>
      </c>
      <c r="C41" s="25" t="s">
        <v>3640</v>
      </c>
      <c r="D41" s="25" t="s">
        <v>3595</v>
      </c>
      <c r="E41" s="25" t="s">
        <v>3791</v>
      </c>
      <c r="F41" s="25"/>
      <c r="G41" s="25" t="s">
        <v>1160</v>
      </c>
      <c r="H41" s="25"/>
      <c r="I41" s="25"/>
      <c r="J41" s="25" t="s">
        <v>3600</v>
      </c>
      <c r="K41" s="25" t="s">
        <v>3792</v>
      </c>
      <c r="L41" s="25" t="s">
        <v>3602</v>
      </c>
      <c r="M41" s="25" t="s">
        <v>3793</v>
      </c>
      <c r="N41" s="25">
        <v>0</v>
      </c>
      <c r="O41" s="25" t="s">
        <v>3794</v>
      </c>
      <c r="P41" s="25"/>
      <c r="Q41" s="25">
        <v>17</v>
      </c>
      <c r="R41" s="25">
        <v>17</v>
      </c>
      <c r="S41" s="25" t="s">
        <v>3785</v>
      </c>
      <c r="T41" s="25">
        <f t="shared" si="2"/>
        <v>1</v>
      </c>
      <c r="U41" s="25">
        <f t="shared" si="3"/>
        <v>1</v>
      </c>
      <c r="V41" s="25" t="s">
        <v>3776</v>
      </c>
      <c r="W41" s="25" t="s">
        <v>3606</v>
      </c>
      <c r="X41" s="25" t="s">
        <v>1008</v>
      </c>
      <c r="Y41" s="25"/>
    </row>
    <row r="42" spans="1:25" ht="29" customHeight="1" x14ac:dyDescent="0.2">
      <c r="A42" s="23" t="s">
        <v>3795</v>
      </c>
      <c r="B42" s="23" t="s">
        <v>143</v>
      </c>
      <c r="C42" s="23" t="s">
        <v>3796</v>
      </c>
      <c r="D42" s="23" t="s">
        <v>3595</v>
      </c>
      <c r="E42" s="23" t="s">
        <v>3797</v>
      </c>
      <c r="F42" s="23" t="s">
        <v>3798</v>
      </c>
      <c r="G42" s="23" t="s">
        <v>3598</v>
      </c>
      <c r="H42" s="23" t="s">
        <v>3799</v>
      </c>
      <c r="I42" s="23"/>
      <c r="J42" s="23" t="s">
        <v>3600</v>
      </c>
      <c r="K42" s="23" t="s">
        <v>3779</v>
      </c>
      <c r="L42" s="23" t="s">
        <v>3611</v>
      </c>
      <c r="M42" s="23" t="s">
        <v>3800</v>
      </c>
      <c r="N42" s="23">
        <v>1</v>
      </c>
      <c r="O42" s="23"/>
      <c r="P42" s="23"/>
      <c r="Q42" s="23">
        <v>20</v>
      </c>
      <c r="R42" s="23">
        <v>20</v>
      </c>
      <c r="S42" s="23" t="s">
        <v>3801</v>
      </c>
      <c r="T42" s="23">
        <f t="shared" si="2"/>
        <v>1</v>
      </c>
      <c r="U42" s="23">
        <f t="shared" si="3"/>
        <v>1</v>
      </c>
      <c r="V42" s="23" t="s">
        <v>3802</v>
      </c>
      <c r="W42" s="23" t="s">
        <v>3803</v>
      </c>
      <c r="X42" s="23" t="s">
        <v>1008</v>
      </c>
      <c r="Y42" s="23" t="s">
        <v>3804</v>
      </c>
    </row>
    <row r="43" spans="1:25" ht="29" customHeight="1" x14ac:dyDescent="0.2">
      <c r="A43" s="25" t="s">
        <v>3805</v>
      </c>
      <c r="B43" s="25" t="s">
        <v>143</v>
      </c>
      <c r="C43" s="25" t="s">
        <v>3806</v>
      </c>
      <c r="D43" s="25" t="s">
        <v>3595</v>
      </c>
      <c r="E43" s="25" t="s">
        <v>3807</v>
      </c>
      <c r="F43" s="25"/>
      <c r="G43" s="25" t="s">
        <v>1160</v>
      </c>
      <c r="H43" s="25"/>
      <c r="I43" s="25" t="s">
        <v>3806</v>
      </c>
      <c r="J43" s="25" t="s">
        <v>3598</v>
      </c>
      <c r="K43" s="25" t="s">
        <v>3715</v>
      </c>
      <c r="L43" s="25" t="s">
        <v>3611</v>
      </c>
      <c r="M43" s="25" t="s">
        <v>3808</v>
      </c>
      <c r="N43" s="25">
        <v>1</v>
      </c>
      <c r="O43" s="25"/>
      <c r="P43" s="25"/>
      <c r="Q43" s="25">
        <v>20</v>
      </c>
      <c r="R43" s="25">
        <v>20</v>
      </c>
      <c r="S43" s="25" t="s">
        <v>3801</v>
      </c>
      <c r="T43" s="25">
        <f t="shared" si="2"/>
        <v>1</v>
      </c>
      <c r="U43" s="25">
        <f t="shared" si="3"/>
        <v>1</v>
      </c>
      <c r="V43" s="25" t="s">
        <v>3802</v>
      </c>
      <c r="W43" s="25" t="s">
        <v>3803</v>
      </c>
      <c r="X43" s="25" t="s">
        <v>1008</v>
      </c>
      <c r="Y43" s="25" t="s">
        <v>3809</v>
      </c>
    </row>
    <row r="44" spans="1:25" ht="29" customHeight="1" x14ac:dyDescent="0.2">
      <c r="A44" s="23" t="s">
        <v>3810</v>
      </c>
      <c r="B44" s="23" t="s">
        <v>143</v>
      </c>
      <c r="C44" s="23" t="s">
        <v>3806</v>
      </c>
      <c r="D44" s="23" t="s">
        <v>3595</v>
      </c>
      <c r="E44" s="23" t="s">
        <v>3811</v>
      </c>
      <c r="F44" s="23"/>
      <c r="G44" s="23" t="s">
        <v>1160</v>
      </c>
      <c r="H44" s="23"/>
      <c r="I44" s="23" t="s">
        <v>3806</v>
      </c>
      <c r="J44" s="23" t="s">
        <v>3598</v>
      </c>
      <c r="K44" s="23" t="s">
        <v>3715</v>
      </c>
      <c r="L44" s="23" t="s">
        <v>3611</v>
      </c>
      <c r="M44" s="23" t="s">
        <v>3812</v>
      </c>
      <c r="N44" s="23">
        <v>1</v>
      </c>
      <c r="O44" s="23"/>
      <c r="P44" s="23"/>
      <c r="Q44" s="23">
        <v>20</v>
      </c>
      <c r="R44" s="23">
        <v>20</v>
      </c>
      <c r="S44" s="23" t="s">
        <v>3801</v>
      </c>
      <c r="T44" s="23">
        <f t="shared" si="2"/>
        <v>1</v>
      </c>
      <c r="U44" s="23">
        <f t="shared" si="3"/>
        <v>1</v>
      </c>
      <c r="V44" s="23" t="s">
        <v>3802</v>
      </c>
      <c r="W44" s="23" t="s">
        <v>3803</v>
      </c>
      <c r="X44" s="23" t="s">
        <v>1008</v>
      </c>
      <c r="Y44" s="23" t="s">
        <v>3809</v>
      </c>
    </row>
    <row r="45" spans="1:25" ht="29" customHeight="1" x14ac:dyDescent="0.2">
      <c r="A45" s="25" t="s">
        <v>3813</v>
      </c>
      <c r="B45" s="25" t="s">
        <v>143</v>
      </c>
      <c r="C45" s="25" t="s">
        <v>3656</v>
      </c>
      <c r="D45" s="25" t="s">
        <v>3624</v>
      </c>
      <c r="E45" s="25" t="s">
        <v>3814</v>
      </c>
      <c r="F45" s="25"/>
      <c r="G45" s="25" t="s">
        <v>1160</v>
      </c>
      <c r="H45" s="25"/>
      <c r="I45" s="25"/>
      <c r="J45" s="25" t="s">
        <v>3600</v>
      </c>
      <c r="K45" s="25" t="s">
        <v>3792</v>
      </c>
      <c r="L45" s="25" t="s">
        <v>3650</v>
      </c>
      <c r="M45" s="25" t="s">
        <v>3815</v>
      </c>
      <c r="N45" s="25">
        <v>1</v>
      </c>
      <c r="O45" s="25"/>
      <c r="P45" s="25"/>
      <c r="Q45" s="25"/>
      <c r="R45" s="25"/>
      <c r="S45" s="25"/>
      <c r="T45" s="25" t="str">
        <f t="shared" si="2"/>
        <v/>
      </c>
      <c r="U45" s="25">
        <f t="shared" si="3"/>
        <v>0</v>
      </c>
      <c r="V45" s="25" t="s">
        <v>3802</v>
      </c>
      <c r="W45" s="25" t="s">
        <v>3803</v>
      </c>
      <c r="X45" s="25" t="s">
        <v>1008</v>
      </c>
      <c r="Y45" s="25" t="s">
        <v>3660</v>
      </c>
    </row>
    <row r="46" spans="1:25" ht="29" customHeight="1" x14ac:dyDescent="0.2">
      <c r="A46" s="23" t="s">
        <v>3816</v>
      </c>
      <c r="B46" s="23" t="s">
        <v>20</v>
      </c>
      <c r="C46" s="23" t="s">
        <v>3817</v>
      </c>
      <c r="D46" s="23" t="s">
        <v>3595</v>
      </c>
      <c r="E46" s="23" t="s">
        <v>147</v>
      </c>
      <c r="F46" s="23" t="s">
        <v>3818</v>
      </c>
      <c r="G46" s="23" t="s">
        <v>3598</v>
      </c>
      <c r="H46" s="23"/>
      <c r="I46" s="23"/>
      <c r="J46" s="23" t="s">
        <v>3600</v>
      </c>
      <c r="K46" s="23" t="s">
        <v>3819</v>
      </c>
      <c r="L46" s="23" t="s">
        <v>3642</v>
      </c>
      <c r="M46" s="23" t="s">
        <v>3820</v>
      </c>
      <c r="N46" s="23">
        <v>0</v>
      </c>
      <c r="O46" s="23" t="s">
        <v>3821</v>
      </c>
      <c r="P46" s="23"/>
      <c r="Q46" s="23">
        <v>4</v>
      </c>
      <c r="R46" s="23"/>
      <c r="S46" s="23"/>
      <c r="T46" s="23" t="str">
        <f t="shared" si="2"/>
        <v/>
      </c>
      <c r="U46" s="23">
        <f t="shared" si="3"/>
        <v>0</v>
      </c>
      <c r="V46" s="23" t="s">
        <v>3822</v>
      </c>
      <c r="W46" s="23" t="s">
        <v>3823</v>
      </c>
      <c r="X46" s="23" t="s">
        <v>1008</v>
      </c>
      <c r="Y46" s="23" t="s">
        <v>3824</v>
      </c>
    </row>
    <row r="47" spans="1:25" ht="29" customHeight="1" x14ac:dyDescent="0.2">
      <c r="A47" s="25" t="s">
        <v>3825</v>
      </c>
      <c r="B47" s="25" t="s">
        <v>20</v>
      </c>
      <c r="C47" s="25" t="s">
        <v>3826</v>
      </c>
      <c r="D47" s="25" t="s">
        <v>3595</v>
      </c>
      <c r="E47" s="25" t="s">
        <v>3827</v>
      </c>
      <c r="F47" s="25"/>
      <c r="G47" s="25" t="s">
        <v>1160</v>
      </c>
      <c r="H47" s="25"/>
      <c r="I47" s="25" t="s">
        <v>3826</v>
      </c>
      <c r="J47" s="25" t="s">
        <v>3598</v>
      </c>
      <c r="K47" s="25" t="s">
        <v>3828</v>
      </c>
      <c r="L47" s="25" t="s">
        <v>3611</v>
      </c>
      <c r="M47" s="25" t="s">
        <v>3829</v>
      </c>
      <c r="N47" s="25">
        <v>1</v>
      </c>
      <c r="O47" s="25"/>
      <c r="P47" s="25"/>
      <c r="Q47" s="25">
        <v>4</v>
      </c>
      <c r="R47" s="25"/>
      <c r="S47" s="25"/>
      <c r="T47" s="25" t="str">
        <f t="shared" si="2"/>
        <v/>
      </c>
      <c r="U47" s="25">
        <f t="shared" si="3"/>
        <v>0</v>
      </c>
      <c r="V47" s="25" t="s">
        <v>3822</v>
      </c>
      <c r="W47" s="25" t="s">
        <v>3823</v>
      </c>
      <c r="X47" s="25" t="s">
        <v>1008</v>
      </c>
      <c r="Y47" s="25" t="s">
        <v>3830</v>
      </c>
    </row>
    <row r="48" spans="1:25" ht="20" customHeight="1" x14ac:dyDescent="0.2">
      <c r="A48" s="23" t="s">
        <v>3831</v>
      </c>
      <c r="B48" s="23" t="s">
        <v>20</v>
      </c>
      <c r="C48" s="23" t="s">
        <v>3826</v>
      </c>
      <c r="D48" s="23" t="s">
        <v>3595</v>
      </c>
      <c r="E48" s="23" t="s">
        <v>3832</v>
      </c>
      <c r="F48" s="23"/>
      <c r="G48" s="23" t="s">
        <v>1160</v>
      </c>
      <c r="H48" s="23"/>
      <c r="I48" s="23" t="s">
        <v>3826</v>
      </c>
      <c r="J48" s="23" t="s">
        <v>3598</v>
      </c>
      <c r="K48" s="23" t="s">
        <v>3779</v>
      </c>
      <c r="L48" s="23" t="s">
        <v>3611</v>
      </c>
      <c r="M48" s="23" t="s">
        <v>3833</v>
      </c>
      <c r="N48" s="23">
        <v>1</v>
      </c>
      <c r="O48" s="23"/>
      <c r="P48" s="23"/>
      <c r="Q48" s="23">
        <v>17</v>
      </c>
      <c r="R48" s="23"/>
      <c r="S48" s="23"/>
      <c r="T48" s="23" t="str">
        <f t="shared" si="2"/>
        <v/>
      </c>
      <c r="U48" s="23">
        <f t="shared" si="3"/>
        <v>0</v>
      </c>
      <c r="V48" s="23" t="s">
        <v>3822</v>
      </c>
      <c r="W48" s="23" t="s">
        <v>3823</v>
      </c>
      <c r="X48" s="23" t="s">
        <v>1008</v>
      </c>
      <c r="Y48" s="23"/>
    </row>
    <row r="49" spans="1:25" ht="29" customHeight="1" x14ac:dyDescent="0.2">
      <c r="A49" s="25" t="s">
        <v>3834</v>
      </c>
      <c r="B49" s="25" t="s">
        <v>20</v>
      </c>
      <c r="C49" s="25" t="s">
        <v>3826</v>
      </c>
      <c r="D49" s="25" t="s">
        <v>3595</v>
      </c>
      <c r="E49" s="25" t="s">
        <v>3835</v>
      </c>
      <c r="F49" s="25"/>
      <c r="G49" s="25" t="s">
        <v>1160</v>
      </c>
      <c r="H49" s="25"/>
      <c r="I49" s="25" t="s">
        <v>3826</v>
      </c>
      <c r="J49" s="25" t="s">
        <v>3598</v>
      </c>
      <c r="K49" s="25" t="s">
        <v>3836</v>
      </c>
      <c r="L49" s="25" t="s">
        <v>3650</v>
      </c>
      <c r="M49" s="25" t="s">
        <v>3837</v>
      </c>
      <c r="N49" s="25">
        <v>1</v>
      </c>
      <c r="O49" s="25"/>
      <c r="P49" s="25"/>
      <c r="Q49" s="25">
        <v>19</v>
      </c>
      <c r="R49" s="25"/>
      <c r="S49" s="25"/>
      <c r="T49" s="25" t="str">
        <f t="shared" si="2"/>
        <v/>
      </c>
      <c r="U49" s="25">
        <f t="shared" si="3"/>
        <v>0</v>
      </c>
      <c r="V49" s="25" t="s">
        <v>3822</v>
      </c>
      <c r="W49" s="25" t="s">
        <v>3823</v>
      </c>
      <c r="X49" s="25" t="s">
        <v>1008</v>
      </c>
      <c r="Y49" s="25"/>
    </row>
    <row r="50" spans="1:25" ht="29" customHeight="1" x14ac:dyDescent="0.2">
      <c r="A50" s="23" t="s">
        <v>3838</v>
      </c>
      <c r="B50" s="23" t="s">
        <v>20</v>
      </c>
      <c r="C50" s="23" t="s">
        <v>3826</v>
      </c>
      <c r="D50" s="23" t="s">
        <v>3595</v>
      </c>
      <c r="E50" s="23" t="s">
        <v>3839</v>
      </c>
      <c r="F50" s="23"/>
      <c r="G50" s="23" t="s">
        <v>1160</v>
      </c>
      <c r="H50" s="23"/>
      <c r="I50" s="23" t="s">
        <v>3826</v>
      </c>
      <c r="J50" s="23" t="s">
        <v>3598</v>
      </c>
      <c r="K50" s="23" t="s">
        <v>3828</v>
      </c>
      <c r="L50" s="23" t="s">
        <v>3611</v>
      </c>
      <c r="M50" s="23" t="s">
        <v>3840</v>
      </c>
      <c r="N50" s="23">
        <v>1</v>
      </c>
      <c r="O50" s="23"/>
      <c r="P50" s="23"/>
      <c r="Q50" s="23">
        <v>19</v>
      </c>
      <c r="R50" s="23"/>
      <c r="S50" s="23"/>
      <c r="T50" s="23" t="str">
        <f t="shared" si="2"/>
        <v/>
      </c>
      <c r="U50" s="23">
        <f t="shared" si="3"/>
        <v>0</v>
      </c>
      <c r="V50" s="23" t="s">
        <v>3822</v>
      </c>
      <c r="W50" s="23" t="s">
        <v>3823</v>
      </c>
      <c r="X50" s="23" t="s">
        <v>1008</v>
      </c>
      <c r="Y50" s="23"/>
    </row>
    <row r="51" spans="1:25" ht="29" customHeight="1" x14ac:dyDescent="0.2">
      <c r="A51" s="25" t="s">
        <v>3841</v>
      </c>
      <c r="B51" s="25" t="s">
        <v>151</v>
      </c>
      <c r="C51" s="25" t="s">
        <v>3842</v>
      </c>
      <c r="D51" s="25" t="s">
        <v>3595</v>
      </c>
      <c r="E51" s="25" t="s">
        <v>3843</v>
      </c>
      <c r="F51" s="25" t="s">
        <v>3633</v>
      </c>
      <c r="G51" s="25" t="s">
        <v>3598</v>
      </c>
      <c r="H51" s="25"/>
      <c r="I51" s="25"/>
      <c r="J51" s="25" t="s">
        <v>3600</v>
      </c>
      <c r="K51" s="25" t="s">
        <v>3844</v>
      </c>
      <c r="L51" s="25" t="s">
        <v>3611</v>
      </c>
      <c r="M51" s="25" t="s">
        <v>3845</v>
      </c>
      <c r="N51" s="25">
        <v>1</v>
      </c>
      <c r="O51" s="25" t="s">
        <v>3629</v>
      </c>
      <c r="P51" s="25"/>
      <c r="Q51" s="25">
        <v>9</v>
      </c>
      <c r="R51" s="25">
        <v>9</v>
      </c>
      <c r="S51" s="25" t="s">
        <v>3697</v>
      </c>
      <c r="T51" s="25">
        <f t="shared" si="2"/>
        <v>1</v>
      </c>
      <c r="U51" s="25">
        <f t="shared" si="3"/>
        <v>1</v>
      </c>
      <c r="V51" s="25" t="s">
        <v>3846</v>
      </c>
      <c r="W51" s="25" t="s">
        <v>3847</v>
      </c>
      <c r="X51" s="25" t="s">
        <v>1008</v>
      </c>
      <c r="Y51" s="25" t="s">
        <v>3848</v>
      </c>
    </row>
    <row r="52" spans="1:25" ht="29" customHeight="1" x14ac:dyDescent="0.2">
      <c r="A52" s="23" t="s">
        <v>3849</v>
      </c>
      <c r="B52" s="23" t="s">
        <v>151</v>
      </c>
      <c r="C52" s="23" t="s">
        <v>3640</v>
      </c>
      <c r="D52" s="23" t="s">
        <v>3595</v>
      </c>
      <c r="E52" s="23" t="s">
        <v>3850</v>
      </c>
      <c r="F52" s="23"/>
      <c r="G52" s="23" t="s">
        <v>1160</v>
      </c>
      <c r="H52" s="23"/>
      <c r="I52" s="23"/>
      <c r="J52" s="23" t="s">
        <v>3600</v>
      </c>
      <c r="K52" s="23" t="s">
        <v>3851</v>
      </c>
      <c r="L52" s="23" t="s">
        <v>3611</v>
      </c>
      <c r="M52" s="23" t="s">
        <v>3852</v>
      </c>
      <c r="N52" s="23">
        <v>1</v>
      </c>
      <c r="O52" s="23" t="s">
        <v>3629</v>
      </c>
      <c r="P52" s="23"/>
      <c r="Q52" s="23">
        <v>9</v>
      </c>
      <c r="R52" s="23">
        <v>9</v>
      </c>
      <c r="S52" s="23" t="s">
        <v>3697</v>
      </c>
      <c r="T52" s="23">
        <f t="shared" si="2"/>
        <v>1</v>
      </c>
      <c r="U52" s="23">
        <f t="shared" si="3"/>
        <v>1</v>
      </c>
      <c r="V52" s="23" t="s">
        <v>3846</v>
      </c>
      <c r="W52" s="23" t="s">
        <v>3847</v>
      </c>
      <c r="X52" s="23" t="s">
        <v>1008</v>
      </c>
      <c r="Y52" s="23"/>
    </row>
    <row r="53" spans="1:25" ht="20" customHeight="1" x14ac:dyDescent="0.2">
      <c r="A53" s="25" t="s">
        <v>3853</v>
      </c>
      <c r="B53" s="25" t="s">
        <v>151</v>
      </c>
      <c r="C53" s="25" t="s">
        <v>3640</v>
      </c>
      <c r="D53" s="25" t="s">
        <v>3595</v>
      </c>
      <c r="E53" s="25" t="s">
        <v>3854</v>
      </c>
      <c r="F53" s="25"/>
      <c r="G53" s="25" t="s">
        <v>1160</v>
      </c>
      <c r="H53" s="25"/>
      <c r="I53" s="25"/>
      <c r="J53" s="25" t="s">
        <v>3600</v>
      </c>
      <c r="K53" s="25" t="s">
        <v>3844</v>
      </c>
      <c r="L53" s="25" t="s">
        <v>3611</v>
      </c>
      <c r="M53" s="25" t="s">
        <v>3855</v>
      </c>
      <c r="N53" s="25">
        <v>1</v>
      </c>
      <c r="O53" s="25" t="s">
        <v>3629</v>
      </c>
      <c r="P53" s="25"/>
      <c r="Q53" s="25">
        <v>9</v>
      </c>
      <c r="R53" s="25">
        <v>9</v>
      </c>
      <c r="S53" s="25" t="s">
        <v>3697</v>
      </c>
      <c r="T53" s="25">
        <f t="shared" si="2"/>
        <v>1</v>
      </c>
      <c r="U53" s="25">
        <f t="shared" si="3"/>
        <v>1</v>
      </c>
      <c r="V53" s="25" t="s">
        <v>3846</v>
      </c>
      <c r="W53" s="25" t="s">
        <v>3847</v>
      </c>
      <c r="X53" s="25" t="s">
        <v>1008</v>
      </c>
      <c r="Y53" s="25"/>
    </row>
    <row r="54" spans="1:25" ht="29" customHeight="1" x14ac:dyDescent="0.2">
      <c r="A54" s="23" t="s">
        <v>3856</v>
      </c>
      <c r="B54" s="23" t="s">
        <v>151</v>
      </c>
      <c r="C54" s="23" t="s">
        <v>3857</v>
      </c>
      <c r="D54" s="23" t="s">
        <v>3595</v>
      </c>
      <c r="E54" s="23" t="s">
        <v>3858</v>
      </c>
      <c r="F54" s="23" t="s">
        <v>3859</v>
      </c>
      <c r="G54" s="23" t="s">
        <v>3600</v>
      </c>
      <c r="H54" s="23"/>
      <c r="I54" s="23"/>
      <c r="J54" s="23" t="s">
        <v>3600</v>
      </c>
      <c r="K54" s="23" t="s">
        <v>3860</v>
      </c>
      <c r="L54" s="23" t="s">
        <v>3602</v>
      </c>
      <c r="M54" s="23" t="s">
        <v>3861</v>
      </c>
      <c r="N54" s="23">
        <v>0</v>
      </c>
      <c r="O54" s="23" t="s">
        <v>3862</v>
      </c>
      <c r="P54" s="23"/>
      <c r="Q54" s="23">
        <v>9</v>
      </c>
      <c r="R54" s="23">
        <v>9</v>
      </c>
      <c r="S54" s="23" t="s">
        <v>3697</v>
      </c>
      <c r="T54" s="23">
        <f t="shared" si="2"/>
        <v>1</v>
      </c>
      <c r="U54" s="23">
        <f t="shared" si="3"/>
        <v>1</v>
      </c>
      <c r="V54" s="23" t="s">
        <v>3846</v>
      </c>
      <c r="W54" s="23" t="s">
        <v>3847</v>
      </c>
      <c r="X54" s="23" t="s">
        <v>1008</v>
      </c>
      <c r="Y54" s="23"/>
    </row>
    <row r="55" spans="1:25" ht="20" customHeight="1" x14ac:dyDescent="0.2">
      <c r="A55" s="25" t="s">
        <v>3863</v>
      </c>
      <c r="B55" s="25" t="s">
        <v>151</v>
      </c>
      <c r="C55" s="25" t="s">
        <v>3640</v>
      </c>
      <c r="D55" s="25" t="s">
        <v>3595</v>
      </c>
      <c r="E55" s="25" t="s">
        <v>3864</v>
      </c>
      <c r="F55" s="25"/>
      <c r="G55" s="25" t="s">
        <v>1160</v>
      </c>
      <c r="H55" s="25"/>
      <c r="I55" s="25"/>
      <c r="J55" s="25" t="s">
        <v>3600</v>
      </c>
      <c r="K55" s="25" t="s">
        <v>3865</v>
      </c>
      <c r="L55" s="25" t="s">
        <v>3642</v>
      </c>
      <c r="M55" s="25" t="s">
        <v>3866</v>
      </c>
      <c r="N55" s="25">
        <v>0</v>
      </c>
      <c r="O55" s="25" t="s">
        <v>3867</v>
      </c>
      <c r="P55" s="25"/>
      <c r="Q55" s="25">
        <v>9</v>
      </c>
      <c r="R55" s="25">
        <v>9</v>
      </c>
      <c r="S55" s="25" t="s">
        <v>3697</v>
      </c>
      <c r="T55" s="25">
        <f t="shared" si="2"/>
        <v>1</v>
      </c>
      <c r="U55" s="25">
        <f t="shared" si="3"/>
        <v>1</v>
      </c>
      <c r="V55" s="25" t="s">
        <v>3846</v>
      </c>
      <c r="W55" s="25" t="s">
        <v>3847</v>
      </c>
      <c r="X55" s="25" t="s">
        <v>1008</v>
      </c>
      <c r="Y55" s="25"/>
    </row>
    <row r="56" spans="1:25" ht="20" customHeight="1" x14ac:dyDescent="0.2">
      <c r="A56" s="23" t="s">
        <v>3868</v>
      </c>
      <c r="B56" s="23" t="s">
        <v>151</v>
      </c>
      <c r="C56" s="23" t="s">
        <v>3640</v>
      </c>
      <c r="D56" s="23" t="s">
        <v>3595</v>
      </c>
      <c r="E56" s="23" t="s">
        <v>3869</v>
      </c>
      <c r="F56" s="23"/>
      <c r="G56" s="23" t="s">
        <v>1160</v>
      </c>
      <c r="H56" s="23"/>
      <c r="I56" s="23"/>
      <c r="J56" s="23" t="s">
        <v>3600</v>
      </c>
      <c r="K56" s="23" t="s">
        <v>3844</v>
      </c>
      <c r="L56" s="23" t="s">
        <v>3611</v>
      </c>
      <c r="M56" s="23" t="s">
        <v>3870</v>
      </c>
      <c r="N56" s="23">
        <v>1</v>
      </c>
      <c r="O56" s="23" t="s">
        <v>3862</v>
      </c>
      <c r="P56" s="23"/>
      <c r="Q56" s="23">
        <v>9</v>
      </c>
      <c r="R56" s="23">
        <v>9</v>
      </c>
      <c r="S56" s="23" t="s">
        <v>3697</v>
      </c>
      <c r="T56" s="23">
        <f t="shared" si="2"/>
        <v>1</v>
      </c>
      <c r="U56" s="23">
        <f t="shared" si="3"/>
        <v>1</v>
      </c>
      <c r="V56" s="23" t="s">
        <v>3846</v>
      </c>
      <c r="W56" s="23" t="s">
        <v>3847</v>
      </c>
      <c r="X56" s="23" t="s">
        <v>1008</v>
      </c>
      <c r="Y56" s="23"/>
    </row>
    <row r="57" spans="1:25" ht="29" customHeight="1" x14ac:dyDescent="0.2">
      <c r="A57" s="25" t="s">
        <v>3871</v>
      </c>
      <c r="B57" s="25" t="s">
        <v>151</v>
      </c>
      <c r="C57" s="25" t="s">
        <v>3640</v>
      </c>
      <c r="D57" s="25" t="s">
        <v>3595</v>
      </c>
      <c r="E57" s="25" t="s">
        <v>3872</v>
      </c>
      <c r="F57" s="25"/>
      <c r="G57" s="25" t="s">
        <v>1160</v>
      </c>
      <c r="H57" s="25"/>
      <c r="I57" s="25"/>
      <c r="J57" s="25" t="s">
        <v>3600</v>
      </c>
      <c r="K57" s="25" t="s">
        <v>3873</v>
      </c>
      <c r="L57" s="25" t="s">
        <v>3611</v>
      </c>
      <c r="M57" s="25" t="s">
        <v>3874</v>
      </c>
      <c r="N57" s="25">
        <v>1</v>
      </c>
      <c r="O57" s="25" t="s">
        <v>3862</v>
      </c>
      <c r="P57" s="25"/>
      <c r="Q57" s="25">
        <v>9</v>
      </c>
      <c r="R57" s="25">
        <v>9</v>
      </c>
      <c r="S57" s="25" t="s">
        <v>3697</v>
      </c>
      <c r="T57" s="25">
        <f t="shared" si="2"/>
        <v>1</v>
      </c>
      <c r="U57" s="25">
        <f t="shared" si="3"/>
        <v>1</v>
      </c>
      <c r="V57" s="25" t="s">
        <v>3846</v>
      </c>
      <c r="W57" s="25" t="s">
        <v>3847</v>
      </c>
      <c r="X57" s="25" t="s">
        <v>1008</v>
      </c>
      <c r="Y57" s="25"/>
    </row>
    <row r="58" spans="1:25" ht="29" customHeight="1" x14ac:dyDescent="0.2">
      <c r="A58" s="23" t="s">
        <v>3875</v>
      </c>
      <c r="B58" s="23" t="s">
        <v>151</v>
      </c>
      <c r="C58" s="23" t="s">
        <v>3876</v>
      </c>
      <c r="D58" s="23" t="s">
        <v>3624</v>
      </c>
      <c r="E58" s="23" t="s">
        <v>3877</v>
      </c>
      <c r="F58" s="23"/>
      <c r="G58" s="23" t="s">
        <v>1160</v>
      </c>
      <c r="H58" s="23"/>
      <c r="I58" s="23"/>
      <c r="J58" s="23" t="s">
        <v>3600</v>
      </c>
      <c r="K58" s="23" t="s">
        <v>3844</v>
      </c>
      <c r="L58" s="23" t="s">
        <v>3611</v>
      </c>
      <c r="M58" s="23" t="s">
        <v>3878</v>
      </c>
      <c r="N58" s="23">
        <v>1</v>
      </c>
      <c r="O58" s="23" t="s">
        <v>3879</v>
      </c>
      <c r="P58" s="23"/>
      <c r="Q58" s="23">
        <v>7</v>
      </c>
      <c r="R58" s="23">
        <v>9</v>
      </c>
      <c r="S58" s="23" t="s">
        <v>3697</v>
      </c>
      <c r="T58" s="23">
        <f t="shared" si="2"/>
        <v>0.77777777777777779</v>
      </c>
      <c r="U58" s="23">
        <f t="shared" si="3"/>
        <v>0</v>
      </c>
      <c r="V58" s="23" t="s">
        <v>3846</v>
      </c>
      <c r="W58" s="23" t="s">
        <v>3847</v>
      </c>
      <c r="X58" s="23" t="s">
        <v>1008</v>
      </c>
      <c r="Y58" s="23" t="s">
        <v>3880</v>
      </c>
    </row>
    <row r="59" spans="1:25" ht="29" customHeight="1" x14ac:dyDescent="0.2">
      <c r="A59" s="25" t="s">
        <v>3881</v>
      </c>
      <c r="B59" s="25" t="s">
        <v>157</v>
      </c>
      <c r="C59" s="25" t="s">
        <v>3632</v>
      </c>
      <c r="D59" s="25" t="s">
        <v>3882</v>
      </c>
      <c r="E59" s="25" t="s">
        <v>3883</v>
      </c>
      <c r="F59" s="25" t="s">
        <v>3597</v>
      </c>
      <c r="G59" s="25" t="s">
        <v>3598</v>
      </c>
      <c r="H59" s="25" t="s">
        <v>3884</v>
      </c>
      <c r="I59" s="25" t="s">
        <v>3885</v>
      </c>
      <c r="J59" s="25" t="s">
        <v>1160</v>
      </c>
      <c r="K59" s="25" t="s">
        <v>3886</v>
      </c>
      <c r="L59" s="25" t="s">
        <v>3642</v>
      </c>
      <c r="M59" s="25" t="s">
        <v>3887</v>
      </c>
      <c r="N59" s="25">
        <v>0</v>
      </c>
      <c r="O59" s="25" t="s">
        <v>3888</v>
      </c>
      <c r="P59" s="25"/>
      <c r="Q59" s="25"/>
      <c r="R59" s="25"/>
      <c r="S59" s="25"/>
      <c r="T59" s="25" t="str">
        <f t="shared" si="2"/>
        <v/>
      </c>
      <c r="U59" s="25">
        <f t="shared" si="3"/>
        <v>0</v>
      </c>
      <c r="V59" s="25" t="s">
        <v>3889</v>
      </c>
      <c r="W59" s="25" t="s">
        <v>3890</v>
      </c>
      <c r="X59" s="25" t="s">
        <v>3891</v>
      </c>
      <c r="Y59" s="25" t="s">
        <v>3892</v>
      </c>
    </row>
    <row r="60" spans="1:25" ht="29" customHeight="1" x14ac:dyDescent="0.2">
      <c r="A60" s="23" t="s">
        <v>3893</v>
      </c>
      <c r="B60" s="23" t="s">
        <v>157</v>
      </c>
      <c r="C60" s="23" t="s">
        <v>3640</v>
      </c>
      <c r="D60" s="23" t="s">
        <v>3595</v>
      </c>
      <c r="E60" s="23" t="s">
        <v>3894</v>
      </c>
      <c r="F60" s="23" t="s">
        <v>3597</v>
      </c>
      <c r="G60" s="23" t="s">
        <v>3598</v>
      </c>
      <c r="H60" s="23" t="s">
        <v>3895</v>
      </c>
      <c r="I60" s="23" t="s">
        <v>3885</v>
      </c>
      <c r="J60" s="23" t="s">
        <v>1160</v>
      </c>
      <c r="K60" s="23" t="s">
        <v>3619</v>
      </c>
      <c r="L60" s="23" t="s">
        <v>3611</v>
      </c>
      <c r="M60" s="23" t="s">
        <v>3896</v>
      </c>
      <c r="N60" s="23">
        <v>1</v>
      </c>
      <c r="O60" s="23" t="s">
        <v>2702</v>
      </c>
      <c r="P60" s="23"/>
      <c r="Q60" s="23"/>
      <c r="R60" s="23"/>
      <c r="S60" s="23"/>
      <c r="T60" s="23" t="str">
        <f t="shared" si="2"/>
        <v/>
      </c>
      <c r="U60" s="23">
        <f t="shared" si="3"/>
        <v>0</v>
      </c>
      <c r="V60" s="23" t="s">
        <v>3889</v>
      </c>
      <c r="W60" s="23" t="s">
        <v>3890</v>
      </c>
      <c r="X60" s="23" t="s">
        <v>3897</v>
      </c>
      <c r="Y60" s="23"/>
    </row>
    <row r="61" spans="1:25" ht="29" customHeight="1" x14ac:dyDescent="0.2">
      <c r="A61" s="25" t="s">
        <v>3898</v>
      </c>
      <c r="B61" s="25" t="s">
        <v>157</v>
      </c>
      <c r="C61" s="25" t="s">
        <v>3640</v>
      </c>
      <c r="D61" s="25" t="s">
        <v>3595</v>
      </c>
      <c r="E61" s="25" t="s">
        <v>3609</v>
      </c>
      <c r="F61" s="25" t="s">
        <v>3597</v>
      </c>
      <c r="G61" s="25" t="s">
        <v>3598</v>
      </c>
      <c r="H61" s="25" t="s">
        <v>3895</v>
      </c>
      <c r="I61" s="25" t="s">
        <v>3885</v>
      </c>
      <c r="J61" s="25" t="s">
        <v>1160</v>
      </c>
      <c r="K61" s="25" t="s">
        <v>3899</v>
      </c>
      <c r="L61" s="25" t="s">
        <v>3611</v>
      </c>
      <c r="M61" s="25" t="s">
        <v>3900</v>
      </c>
      <c r="N61" s="25">
        <v>1</v>
      </c>
      <c r="O61" s="25" t="s">
        <v>3901</v>
      </c>
      <c r="P61" s="25"/>
      <c r="Q61" s="25"/>
      <c r="R61" s="25"/>
      <c r="S61" s="25"/>
      <c r="T61" s="25" t="str">
        <f t="shared" si="2"/>
        <v/>
      </c>
      <c r="U61" s="25">
        <f t="shared" si="3"/>
        <v>0</v>
      </c>
      <c r="V61" s="25" t="s">
        <v>3889</v>
      </c>
      <c r="W61" s="25" t="s">
        <v>3890</v>
      </c>
      <c r="X61" s="25" t="s">
        <v>3897</v>
      </c>
      <c r="Y61" s="25"/>
    </row>
    <row r="62" spans="1:25" ht="29" customHeight="1" x14ac:dyDescent="0.2">
      <c r="A62" s="23" t="s">
        <v>3902</v>
      </c>
      <c r="B62" s="23" t="s">
        <v>159</v>
      </c>
      <c r="C62" s="23" t="s">
        <v>3640</v>
      </c>
      <c r="D62" s="23" t="s">
        <v>3595</v>
      </c>
      <c r="E62" s="23" t="s">
        <v>3903</v>
      </c>
      <c r="F62" s="23"/>
      <c r="G62" s="23" t="s">
        <v>1160</v>
      </c>
      <c r="H62" s="23"/>
      <c r="I62" s="23"/>
      <c r="J62" s="23" t="s">
        <v>3600</v>
      </c>
      <c r="K62" s="23" t="s">
        <v>3619</v>
      </c>
      <c r="L62" s="23" t="s">
        <v>3611</v>
      </c>
      <c r="M62" s="23" t="s">
        <v>3904</v>
      </c>
      <c r="N62" s="23">
        <v>1</v>
      </c>
      <c r="O62" s="23" t="s">
        <v>3905</v>
      </c>
      <c r="P62" s="23"/>
      <c r="Q62" s="23">
        <v>11</v>
      </c>
      <c r="R62" s="23">
        <v>11</v>
      </c>
      <c r="S62" s="23" t="s">
        <v>3697</v>
      </c>
      <c r="T62" s="23">
        <f t="shared" si="2"/>
        <v>1</v>
      </c>
      <c r="U62" s="23">
        <f t="shared" si="3"/>
        <v>1</v>
      </c>
      <c r="V62" s="23" t="s">
        <v>3906</v>
      </c>
      <c r="W62" s="23" t="s">
        <v>3384</v>
      </c>
      <c r="X62" s="23" t="s">
        <v>1008</v>
      </c>
      <c r="Y62" s="23"/>
    </row>
    <row r="63" spans="1:25" ht="29" customHeight="1" x14ac:dyDescent="0.2">
      <c r="A63" s="25" t="s">
        <v>3907</v>
      </c>
      <c r="B63" s="25" t="s">
        <v>159</v>
      </c>
      <c r="C63" s="25" t="s">
        <v>3640</v>
      </c>
      <c r="D63" s="25" t="s">
        <v>3595</v>
      </c>
      <c r="E63" s="25" t="s">
        <v>3908</v>
      </c>
      <c r="F63" s="25"/>
      <c r="G63" s="25" t="s">
        <v>1160</v>
      </c>
      <c r="H63" s="25"/>
      <c r="I63" s="25"/>
      <c r="J63" s="25" t="s">
        <v>3600</v>
      </c>
      <c r="K63" s="25" t="s">
        <v>3828</v>
      </c>
      <c r="L63" s="25" t="s">
        <v>3611</v>
      </c>
      <c r="M63" s="25" t="s">
        <v>3909</v>
      </c>
      <c r="N63" s="25">
        <v>1</v>
      </c>
      <c r="O63" s="25" t="s">
        <v>3905</v>
      </c>
      <c r="P63" s="25"/>
      <c r="Q63" s="25">
        <v>11</v>
      </c>
      <c r="R63" s="25">
        <v>11</v>
      </c>
      <c r="S63" s="25" t="s">
        <v>3697</v>
      </c>
      <c r="T63" s="25">
        <f t="shared" si="2"/>
        <v>1</v>
      </c>
      <c r="U63" s="25">
        <f t="shared" si="3"/>
        <v>1</v>
      </c>
      <c r="V63" s="25" t="s">
        <v>3906</v>
      </c>
      <c r="W63" s="25" t="s">
        <v>3384</v>
      </c>
      <c r="X63" s="25" t="s">
        <v>1008</v>
      </c>
      <c r="Y63" s="25"/>
    </row>
    <row r="64" spans="1:25" ht="29" customHeight="1" x14ac:dyDescent="0.2">
      <c r="A64" s="23" t="s">
        <v>3910</v>
      </c>
      <c r="B64" s="23" t="s">
        <v>159</v>
      </c>
      <c r="C64" s="23" t="s">
        <v>3640</v>
      </c>
      <c r="D64" s="23" t="s">
        <v>3595</v>
      </c>
      <c r="E64" s="23" t="s">
        <v>3911</v>
      </c>
      <c r="F64" s="23"/>
      <c r="G64" s="23" t="s">
        <v>1160</v>
      </c>
      <c r="H64" s="23"/>
      <c r="I64" s="23"/>
      <c r="J64" s="23" t="s">
        <v>3600</v>
      </c>
      <c r="K64" s="23" t="s">
        <v>3715</v>
      </c>
      <c r="L64" s="23" t="s">
        <v>3611</v>
      </c>
      <c r="M64" s="23" t="s">
        <v>3912</v>
      </c>
      <c r="N64" s="23">
        <v>1</v>
      </c>
      <c r="O64" s="23" t="s">
        <v>3905</v>
      </c>
      <c r="P64" s="23"/>
      <c r="Q64" s="23">
        <v>11</v>
      </c>
      <c r="R64" s="23">
        <v>11</v>
      </c>
      <c r="S64" s="23" t="s">
        <v>3697</v>
      </c>
      <c r="T64" s="23">
        <f t="shared" si="2"/>
        <v>1</v>
      </c>
      <c r="U64" s="23">
        <f t="shared" si="3"/>
        <v>1</v>
      </c>
      <c r="V64" s="23" t="s">
        <v>3906</v>
      </c>
      <c r="W64" s="23" t="s">
        <v>3384</v>
      </c>
      <c r="X64" s="23" t="s">
        <v>1008</v>
      </c>
      <c r="Y64" s="23"/>
    </row>
    <row r="65" spans="1:25" ht="29" customHeight="1" x14ac:dyDescent="0.2">
      <c r="A65" s="25" t="s">
        <v>3913</v>
      </c>
      <c r="B65" s="25" t="s">
        <v>159</v>
      </c>
      <c r="C65" s="25" t="s">
        <v>3640</v>
      </c>
      <c r="D65" s="25" t="s">
        <v>3595</v>
      </c>
      <c r="E65" s="25" t="s">
        <v>3914</v>
      </c>
      <c r="F65" s="25"/>
      <c r="G65" s="25" t="s">
        <v>1160</v>
      </c>
      <c r="H65" s="25"/>
      <c r="I65" s="25"/>
      <c r="J65" s="25" t="s">
        <v>3600</v>
      </c>
      <c r="K65" s="25" t="s">
        <v>3915</v>
      </c>
      <c r="L65" s="25" t="s">
        <v>3635</v>
      </c>
      <c r="M65" s="25" t="s">
        <v>3916</v>
      </c>
      <c r="N65" s="25">
        <v>0</v>
      </c>
      <c r="O65" s="25" t="s">
        <v>3917</v>
      </c>
      <c r="P65" s="25"/>
      <c r="Q65" s="25">
        <v>11</v>
      </c>
      <c r="R65" s="25">
        <v>11</v>
      </c>
      <c r="S65" s="25" t="s">
        <v>3697</v>
      </c>
      <c r="T65" s="25">
        <f t="shared" si="2"/>
        <v>1</v>
      </c>
      <c r="U65" s="25">
        <f t="shared" si="3"/>
        <v>1</v>
      </c>
      <c r="V65" s="25" t="s">
        <v>3906</v>
      </c>
      <c r="W65" s="25" t="s">
        <v>3384</v>
      </c>
      <c r="X65" s="25" t="s">
        <v>1008</v>
      </c>
      <c r="Y65" s="25"/>
    </row>
    <row r="66" spans="1:25" ht="43.5" customHeight="1" x14ac:dyDescent="0.2">
      <c r="A66" s="23" t="s">
        <v>3918</v>
      </c>
      <c r="B66" s="23" t="s">
        <v>162</v>
      </c>
      <c r="C66" s="23" t="s">
        <v>3632</v>
      </c>
      <c r="D66" s="23" t="s">
        <v>3595</v>
      </c>
      <c r="E66" s="23" t="s">
        <v>3919</v>
      </c>
      <c r="F66" s="23" t="s">
        <v>3728</v>
      </c>
      <c r="G66" s="23" t="s">
        <v>3598</v>
      </c>
      <c r="H66" s="23"/>
      <c r="I66" s="23"/>
      <c r="J66" s="23" t="s">
        <v>3600</v>
      </c>
      <c r="K66" s="23" t="s">
        <v>3715</v>
      </c>
      <c r="L66" s="23" t="s">
        <v>3611</v>
      </c>
      <c r="M66" s="23" t="s">
        <v>3920</v>
      </c>
      <c r="N66" s="23">
        <v>1</v>
      </c>
      <c r="O66" s="23" t="s">
        <v>3921</v>
      </c>
      <c r="P66" s="23"/>
      <c r="Q66" s="23">
        <v>11</v>
      </c>
      <c r="R66" s="23">
        <v>12</v>
      </c>
      <c r="S66" s="23" t="s">
        <v>3697</v>
      </c>
      <c r="T66" s="23">
        <f t="shared" si="2"/>
        <v>0.91666666666666663</v>
      </c>
      <c r="U66" s="23">
        <f t="shared" si="3"/>
        <v>1</v>
      </c>
      <c r="V66" s="23" t="s">
        <v>3922</v>
      </c>
      <c r="W66" s="23" t="s">
        <v>3923</v>
      </c>
      <c r="X66" s="23" t="s">
        <v>1008</v>
      </c>
      <c r="Y66" s="23" t="s">
        <v>3924</v>
      </c>
    </row>
    <row r="67" spans="1:25" ht="43.5" customHeight="1" x14ac:dyDescent="0.2">
      <c r="A67" s="25" t="s">
        <v>3925</v>
      </c>
      <c r="B67" s="25" t="s">
        <v>162</v>
      </c>
      <c r="C67" s="25" t="s">
        <v>3640</v>
      </c>
      <c r="D67" s="25" t="s">
        <v>3595</v>
      </c>
      <c r="E67" s="25" t="s">
        <v>3926</v>
      </c>
      <c r="F67" s="25"/>
      <c r="G67" s="25" t="s">
        <v>1160</v>
      </c>
      <c r="H67" s="25"/>
      <c r="I67" s="25"/>
      <c r="J67" s="25" t="s">
        <v>3600</v>
      </c>
      <c r="K67" s="25" t="s">
        <v>3619</v>
      </c>
      <c r="L67" s="25" t="s">
        <v>3611</v>
      </c>
      <c r="M67" s="25" t="s">
        <v>3927</v>
      </c>
      <c r="N67" s="25">
        <v>1</v>
      </c>
      <c r="O67" s="25" t="s">
        <v>3928</v>
      </c>
      <c r="P67" s="25"/>
      <c r="Q67" s="25">
        <v>10</v>
      </c>
      <c r="R67" s="25">
        <v>12</v>
      </c>
      <c r="S67" s="25" t="s">
        <v>3697</v>
      </c>
      <c r="T67" s="25">
        <f t="shared" si="2"/>
        <v>0.83333333333333337</v>
      </c>
      <c r="U67" s="25">
        <f t="shared" si="3"/>
        <v>1</v>
      </c>
      <c r="V67" s="25" t="s">
        <v>3922</v>
      </c>
      <c r="W67" s="25" t="s">
        <v>3923</v>
      </c>
      <c r="X67" s="25" t="s">
        <v>1008</v>
      </c>
      <c r="Y67" s="25"/>
    </row>
    <row r="68" spans="1:25" ht="29" customHeight="1" x14ac:dyDescent="0.2">
      <c r="A68" s="23" t="s">
        <v>3929</v>
      </c>
      <c r="B68" s="23" t="s">
        <v>162</v>
      </c>
      <c r="C68" s="23" t="s">
        <v>3640</v>
      </c>
      <c r="D68" s="23" t="s">
        <v>3595</v>
      </c>
      <c r="E68" s="23" t="s">
        <v>3807</v>
      </c>
      <c r="F68" s="23"/>
      <c r="G68" s="23" t="s">
        <v>1160</v>
      </c>
      <c r="H68" s="23"/>
      <c r="I68" s="23"/>
      <c r="J68" s="23" t="s">
        <v>3600</v>
      </c>
      <c r="K68" s="23" t="s">
        <v>3619</v>
      </c>
      <c r="L68" s="23" t="s">
        <v>3611</v>
      </c>
      <c r="M68" s="23" t="s">
        <v>3930</v>
      </c>
      <c r="N68" s="23">
        <v>1</v>
      </c>
      <c r="O68" s="23" t="s">
        <v>3931</v>
      </c>
      <c r="P68" s="23"/>
      <c r="Q68" s="23">
        <v>12</v>
      </c>
      <c r="R68" s="23">
        <v>12</v>
      </c>
      <c r="S68" s="23" t="s">
        <v>3697</v>
      </c>
      <c r="T68" s="23">
        <f t="shared" ref="T68:T99" si="4">IF(AND(ISNUMBER(Q68),ISNUMBER(R68),R68&gt;0),Q68/R68,"")</f>
        <v>1</v>
      </c>
      <c r="U68" s="23">
        <f t="shared" ref="U68:U99" si="5">IF(AND(D68="MEMBER",ISNUMBER(Q68),ISNUMBER(R68),R68&gt;0),1,0)</f>
        <v>1</v>
      </c>
      <c r="V68" s="23" t="s">
        <v>3922</v>
      </c>
      <c r="W68" s="23" t="s">
        <v>3923</v>
      </c>
      <c r="X68" s="23" t="s">
        <v>1008</v>
      </c>
      <c r="Y68" s="23"/>
    </row>
    <row r="69" spans="1:25" ht="29" customHeight="1" x14ac:dyDescent="0.2">
      <c r="A69" s="25" t="s">
        <v>3932</v>
      </c>
      <c r="B69" s="25" t="s">
        <v>162</v>
      </c>
      <c r="C69" s="25" t="s">
        <v>3640</v>
      </c>
      <c r="D69" s="25" t="s">
        <v>3595</v>
      </c>
      <c r="E69" s="25" t="s">
        <v>3933</v>
      </c>
      <c r="F69" s="25"/>
      <c r="G69" s="25" t="s">
        <v>1160</v>
      </c>
      <c r="H69" s="25"/>
      <c r="I69" s="25"/>
      <c r="J69" s="25" t="s">
        <v>3600</v>
      </c>
      <c r="K69" s="25" t="s">
        <v>3619</v>
      </c>
      <c r="L69" s="25" t="s">
        <v>3611</v>
      </c>
      <c r="M69" s="25" t="s">
        <v>3934</v>
      </c>
      <c r="N69" s="25">
        <v>1</v>
      </c>
      <c r="O69" s="25" t="s">
        <v>3935</v>
      </c>
      <c r="P69" s="25"/>
      <c r="Q69" s="25">
        <v>11</v>
      </c>
      <c r="R69" s="25">
        <v>12</v>
      </c>
      <c r="S69" s="25" t="s">
        <v>3697</v>
      </c>
      <c r="T69" s="25">
        <f t="shared" si="4"/>
        <v>0.91666666666666663</v>
      </c>
      <c r="U69" s="25">
        <f t="shared" si="5"/>
        <v>1</v>
      </c>
      <c r="V69" s="25" t="s">
        <v>3922</v>
      </c>
      <c r="W69" s="25" t="s">
        <v>3923</v>
      </c>
      <c r="X69" s="25" t="s">
        <v>1008</v>
      </c>
      <c r="Y69" s="25"/>
    </row>
    <row r="70" spans="1:25" ht="29" customHeight="1" x14ac:dyDescent="0.2">
      <c r="A70" s="23" t="s">
        <v>3936</v>
      </c>
      <c r="B70" s="23" t="s">
        <v>162</v>
      </c>
      <c r="C70" s="23" t="s">
        <v>3640</v>
      </c>
      <c r="D70" s="23" t="s">
        <v>3595</v>
      </c>
      <c r="E70" s="23" t="s">
        <v>3937</v>
      </c>
      <c r="F70" s="23"/>
      <c r="G70" s="23" t="s">
        <v>1160</v>
      </c>
      <c r="H70" s="23"/>
      <c r="I70" s="23"/>
      <c r="J70" s="23" t="s">
        <v>3600</v>
      </c>
      <c r="K70" s="23" t="s">
        <v>3938</v>
      </c>
      <c r="L70" s="23" t="s">
        <v>3616</v>
      </c>
      <c r="M70" s="23" t="s">
        <v>3939</v>
      </c>
      <c r="N70" s="23">
        <v>1</v>
      </c>
      <c r="O70" s="23" t="s">
        <v>3940</v>
      </c>
      <c r="P70" s="23"/>
      <c r="Q70" s="23">
        <v>12</v>
      </c>
      <c r="R70" s="23">
        <v>12</v>
      </c>
      <c r="S70" s="23" t="s">
        <v>3697</v>
      </c>
      <c r="T70" s="23">
        <f t="shared" si="4"/>
        <v>1</v>
      </c>
      <c r="U70" s="23">
        <f t="shared" si="5"/>
        <v>1</v>
      </c>
      <c r="V70" s="23" t="s">
        <v>3922</v>
      </c>
      <c r="W70" s="23" t="s">
        <v>3923</v>
      </c>
      <c r="X70" s="23" t="s">
        <v>1008</v>
      </c>
      <c r="Y70" s="23"/>
    </row>
    <row r="71" spans="1:25" ht="29" customHeight="1" x14ac:dyDescent="0.2">
      <c r="A71" s="25" t="s">
        <v>3941</v>
      </c>
      <c r="B71" s="25" t="s">
        <v>165</v>
      </c>
      <c r="C71" s="25" t="s">
        <v>3632</v>
      </c>
      <c r="D71" s="25" t="s">
        <v>3595</v>
      </c>
      <c r="E71" s="25" t="s">
        <v>3942</v>
      </c>
      <c r="F71" s="25" t="s">
        <v>3943</v>
      </c>
      <c r="G71" s="25" t="s">
        <v>3598</v>
      </c>
      <c r="H71" s="25" t="s">
        <v>3944</v>
      </c>
      <c r="I71" s="25" t="s">
        <v>3885</v>
      </c>
      <c r="J71" s="25" t="s">
        <v>1160</v>
      </c>
      <c r="K71" s="25" t="s">
        <v>3844</v>
      </c>
      <c r="L71" s="25" t="s">
        <v>3611</v>
      </c>
      <c r="M71" s="25" t="s">
        <v>3945</v>
      </c>
      <c r="N71" s="25">
        <v>1</v>
      </c>
      <c r="O71" s="25" t="s">
        <v>3946</v>
      </c>
      <c r="P71" s="25"/>
      <c r="Q71" s="25"/>
      <c r="R71" s="25"/>
      <c r="S71" s="25"/>
      <c r="T71" s="25" t="str">
        <f t="shared" si="4"/>
        <v/>
      </c>
      <c r="U71" s="25">
        <f t="shared" si="5"/>
        <v>0</v>
      </c>
      <c r="V71" s="25" t="s">
        <v>3947</v>
      </c>
      <c r="W71" s="25" t="s">
        <v>3890</v>
      </c>
      <c r="X71" s="25" t="s">
        <v>1008</v>
      </c>
      <c r="Y71" s="25"/>
    </row>
    <row r="72" spans="1:25" ht="29" customHeight="1" x14ac:dyDescent="0.2">
      <c r="A72" s="23" t="s">
        <v>3948</v>
      </c>
      <c r="B72" s="23" t="s">
        <v>165</v>
      </c>
      <c r="C72" s="23" t="s">
        <v>3640</v>
      </c>
      <c r="D72" s="23" t="s">
        <v>3595</v>
      </c>
      <c r="E72" s="23" t="s">
        <v>3949</v>
      </c>
      <c r="F72" s="23"/>
      <c r="G72" s="23" t="s">
        <v>1160</v>
      </c>
      <c r="H72" s="23" t="s">
        <v>3950</v>
      </c>
      <c r="I72" s="23" t="s">
        <v>3951</v>
      </c>
      <c r="J72" s="23" t="s">
        <v>3598</v>
      </c>
      <c r="K72" s="23" t="s">
        <v>3952</v>
      </c>
      <c r="L72" s="23" t="s">
        <v>3650</v>
      </c>
      <c r="M72" s="23" t="s">
        <v>3953</v>
      </c>
      <c r="N72" s="23">
        <v>1</v>
      </c>
      <c r="O72" s="23" t="s">
        <v>3954</v>
      </c>
      <c r="P72" s="23"/>
      <c r="Q72" s="23"/>
      <c r="R72" s="23"/>
      <c r="S72" s="23"/>
      <c r="T72" s="23" t="str">
        <f t="shared" si="4"/>
        <v/>
      </c>
      <c r="U72" s="23">
        <f t="shared" si="5"/>
        <v>0</v>
      </c>
      <c r="V72" s="23" t="s">
        <v>3947</v>
      </c>
      <c r="W72" s="23" t="s">
        <v>3890</v>
      </c>
      <c r="X72" s="23" t="s">
        <v>1008</v>
      </c>
      <c r="Y72" s="23"/>
    </row>
    <row r="73" spans="1:25" ht="29" customHeight="1" x14ac:dyDescent="0.2">
      <c r="A73" s="25" t="s">
        <v>3955</v>
      </c>
      <c r="B73" s="25" t="s">
        <v>165</v>
      </c>
      <c r="C73" s="25" t="s">
        <v>3640</v>
      </c>
      <c r="D73" s="25" t="s">
        <v>3595</v>
      </c>
      <c r="E73" s="25" t="s">
        <v>3956</v>
      </c>
      <c r="F73" s="25"/>
      <c r="G73" s="25" t="s">
        <v>1160</v>
      </c>
      <c r="H73" s="25" t="s">
        <v>3950</v>
      </c>
      <c r="I73" s="25" t="s">
        <v>3951</v>
      </c>
      <c r="J73" s="25" t="s">
        <v>3598</v>
      </c>
      <c r="K73" s="25" t="s">
        <v>3957</v>
      </c>
      <c r="L73" s="25" t="s">
        <v>3602</v>
      </c>
      <c r="M73" s="25" t="s">
        <v>3958</v>
      </c>
      <c r="N73" s="25">
        <v>1</v>
      </c>
      <c r="O73" s="25" t="s">
        <v>3959</v>
      </c>
      <c r="P73" s="25"/>
      <c r="Q73" s="25"/>
      <c r="R73" s="25"/>
      <c r="S73" s="25"/>
      <c r="T73" s="25" t="str">
        <f t="shared" si="4"/>
        <v/>
      </c>
      <c r="U73" s="25">
        <f t="shared" si="5"/>
        <v>0</v>
      </c>
      <c r="V73" s="25" t="s">
        <v>3947</v>
      </c>
      <c r="W73" s="25" t="s">
        <v>3890</v>
      </c>
      <c r="X73" s="25" t="s">
        <v>1008</v>
      </c>
      <c r="Y73" s="25"/>
    </row>
    <row r="74" spans="1:25" ht="29" customHeight="1" x14ac:dyDescent="0.2">
      <c r="A74" s="23" t="s">
        <v>3960</v>
      </c>
      <c r="B74" s="23" t="s">
        <v>165</v>
      </c>
      <c r="C74" s="23" t="s">
        <v>3640</v>
      </c>
      <c r="D74" s="23" t="s">
        <v>3595</v>
      </c>
      <c r="E74" s="23" t="s">
        <v>3961</v>
      </c>
      <c r="F74" s="23"/>
      <c r="G74" s="23" t="s">
        <v>1160</v>
      </c>
      <c r="H74" s="23" t="s">
        <v>3950</v>
      </c>
      <c r="I74" s="23" t="s">
        <v>3951</v>
      </c>
      <c r="J74" s="23" t="s">
        <v>3598</v>
      </c>
      <c r="K74" s="23" t="s">
        <v>3844</v>
      </c>
      <c r="L74" s="23" t="s">
        <v>3611</v>
      </c>
      <c r="M74" s="23" t="s">
        <v>3962</v>
      </c>
      <c r="N74" s="23">
        <v>1</v>
      </c>
      <c r="O74" s="23" t="s">
        <v>2849</v>
      </c>
      <c r="P74" s="23"/>
      <c r="Q74" s="23"/>
      <c r="R74" s="23"/>
      <c r="S74" s="23"/>
      <c r="T74" s="23" t="str">
        <f t="shared" si="4"/>
        <v/>
      </c>
      <c r="U74" s="23">
        <f t="shared" si="5"/>
        <v>0</v>
      </c>
      <c r="V74" s="23" t="s">
        <v>3947</v>
      </c>
      <c r="W74" s="23" t="s">
        <v>3890</v>
      </c>
      <c r="X74" s="23" t="s">
        <v>1008</v>
      </c>
      <c r="Y74" s="23"/>
    </row>
    <row r="75" spans="1:25" ht="29" customHeight="1" x14ac:dyDescent="0.2">
      <c r="A75" s="25" t="s">
        <v>3963</v>
      </c>
      <c r="B75" s="25" t="s">
        <v>165</v>
      </c>
      <c r="C75" s="25" t="s">
        <v>3640</v>
      </c>
      <c r="D75" s="25" t="s">
        <v>3882</v>
      </c>
      <c r="E75" s="25" t="s">
        <v>3964</v>
      </c>
      <c r="F75" s="25"/>
      <c r="G75" s="25" t="s">
        <v>1160</v>
      </c>
      <c r="H75" s="25" t="s">
        <v>3950</v>
      </c>
      <c r="I75" s="25" t="s">
        <v>3951</v>
      </c>
      <c r="J75" s="25" t="s">
        <v>3598</v>
      </c>
      <c r="K75" s="25" t="s">
        <v>3851</v>
      </c>
      <c r="L75" s="25" t="s">
        <v>3611</v>
      </c>
      <c r="M75" s="25" t="s">
        <v>3965</v>
      </c>
      <c r="N75" s="25">
        <v>1</v>
      </c>
      <c r="O75" s="25" t="s">
        <v>3966</v>
      </c>
      <c r="P75" s="25"/>
      <c r="Q75" s="25"/>
      <c r="R75" s="25"/>
      <c r="S75" s="25"/>
      <c r="T75" s="25" t="str">
        <f t="shared" si="4"/>
        <v/>
      </c>
      <c r="U75" s="25">
        <f t="shared" si="5"/>
        <v>0</v>
      </c>
      <c r="V75" s="25" t="s">
        <v>3947</v>
      </c>
      <c r="W75" s="25" t="s">
        <v>3890</v>
      </c>
      <c r="X75" s="25" t="s">
        <v>3891</v>
      </c>
      <c r="Y75" s="25" t="s">
        <v>3967</v>
      </c>
    </row>
    <row r="76" spans="1:25" ht="29" customHeight="1" x14ac:dyDescent="0.2">
      <c r="A76" s="23" t="s">
        <v>3968</v>
      </c>
      <c r="B76" s="23" t="s">
        <v>168</v>
      </c>
      <c r="C76" s="23" t="s">
        <v>3632</v>
      </c>
      <c r="D76" s="23" t="s">
        <v>3595</v>
      </c>
      <c r="E76" s="23" t="s">
        <v>3969</v>
      </c>
      <c r="F76" s="23" t="s">
        <v>3597</v>
      </c>
      <c r="G76" s="23" t="s">
        <v>3598</v>
      </c>
      <c r="H76" s="23" t="s">
        <v>3970</v>
      </c>
      <c r="I76" s="23"/>
      <c r="J76" s="23" t="s">
        <v>3600</v>
      </c>
      <c r="K76" s="23" t="s">
        <v>3627</v>
      </c>
      <c r="L76" s="23" t="s">
        <v>3616</v>
      </c>
      <c r="M76" s="23" t="s">
        <v>3971</v>
      </c>
      <c r="N76" s="23">
        <v>1</v>
      </c>
      <c r="O76" s="23" t="s">
        <v>3972</v>
      </c>
      <c r="P76" s="23"/>
      <c r="Q76" s="23"/>
      <c r="R76" s="23"/>
      <c r="S76" s="23"/>
      <c r="T76" s="23" t="str">
        <f t="shared" si="4"/>
        <v/>
      </c>
      <c r="U76" s="23">
        <f t="shared" si="5"/>
        <v>0</v>
      </c>
      <c r="V76" s="23" t="s">
        <v>3973</v>
      </c>
      <c r="W76" s="23" t="s">
        <v>3974</v>
      </c>
      <c r="X76" s="23" t="s">
        <v>1008</v>
      </c>
      <c r="Y76" s="23"/>
    </row>
    <row r="77" spans="1:25" ht="29" customHeight="1" x14ac:dyDescent="0.2">
      <c r="A77" s="25" t="s">
        <v>3975</v>
      </c>
      <c r="B77" s="25" t="s">
        <v>168</v>
      </c>
      <c r="C77" s="25" t="s">
        <v>3640</v>
      </c>
      <c r="D77" s="25" t="s">
        <v>3595</v>
      </c>
      <c r="E77" s="25" t="s">
        <v>3976</v>
      </c>
      <c r="F77" s="25"/>
      <c r="G77" s="25" t="s">
        <v>1160</v>
      </c>
      <c r="H77" s="25" t="s">
        <v>3977</v>
      </c>
      <c r="I77" s="25"/>
      <c r="J77" s="25" t="s">
        <v>3600</v>
      </c>
      <c r="K77" s="25" t="s">
        <v>3978</v>
      </c>
      <c r="L77" s="25" t="s">
        <v>3650</v>
      </c>
      <c r="M77" s="25" t="s">
        <v>3979</v>
      </c>
      <c r="N77" s="25">
        <v>1</v>
      </c>
      <c r="O77" s="25" t="s">
        <v>3980</v>
      </c>
      <c r="P77" s="25"/>
      <c r="Q77" s="25"/>
      <c r="R77" s="25"/>
      <c r="S77" s="25"/>
      <c r="T77" s="25" t="str">
        <f t="shared" si="4"/>
        <v/>
      </c>
      <c r="U77" s="25">
        <f t="shared" si="5"/>
        <v>0</v>
      </c>
      <c r="V77" s="25" t="s">
        <v>3973</v>
      </c>
      <c r="W77" s="25" t="s">
        <v>3974</v>
      </c>
      <c r="X77" s="25" t="s">
        <v>1008</v>
      </c>
      <c r="Y77" s="25"/>
    </row>
    <row r="78" spans="1:25" ht="29" customHeight="1" x14ac:dyDescent="0.2">
      <c r="A78" s="23" t="s">
        <v>3981</v>
      </c>
      <c r="B78" s="23" t="s">
        <v>168</v>
      </c>
      <c r="C78" s="23" t="s">
        <v>3640</v>
      </c>
      <c r="D78" s="23" t="s">
        <v>3595</v>
      </c>
      <c r="E78" s="23" t="s">
        <v>3778</v>
      </c>
      <c r="F78" s="23"/>
      <c r="G78" s="23" t="s">
        <v>1160</v>
      </c>
      <c r="H78" s="23" t="s">
        <v>3977</v>
      </c>
      <c r="I78" s="23"/>
      <c r="J78" s="23" t="s">
        <v>3600</v>
      </c>
      <c r="K78" s="23" t="s">
        <v>3844</v>
      </c>
      <c r="L78" s="23" t="s">
        <v>3611</v>
      </c>
      <c r="M78" s="23" t="s">
        <v>3982</v>
      </c>
      <c r="N78" s="23">
        <v>1</v>
      </c>
      <c r="O78" s="23" t="s">
        <v>3983</v>
      </c>
      <c r="P78" s="23"/>
      <c r="Q78" s="23"/>
      <c r="R78" s="23"/>
      <c r="S78" s="23"/>
      <c r="T78" s="23" t="str">
        <f t="shared" si="4"/>
        <v/>
      </c>
      <c r="U78" s="23">
        <f t="shared" si="5"/>
        <v>0</v>
      </c>
      <c r="V78" s="23" t="s">
        <v>3973</v>
      </c>
      <c r="W78" s="23" t="s">
        <v>3974</v>
      </c>
      <c r="X78" s="23" t="s">
        <v>1008</v>
      </c>
      <c r="Y78" s="23"/>
    </row>
    <row r="79" spans="1:25" ht="20" customHeight="1" x14ac:dyDescent="0.2">
      <c r="A79" s="25" t="s">
        <v>3984</v>
      </c>
      <c r="B79" s="25" t="s">
        <v>171</v>
      </c>
      <c r="C79" s="25" t="s">
        <v>3985</v>
      </c>
      <c r="D79" s="25" t="s">
        <v>3595</v>
      </c>
      <c r="E79" s="25" t="s">
        <v>3986</v>
      </c>
      <c r="F79" s="25" t="s">
        <v>3728</v>
      </c>
      <c r="G79" s="25" t="s">
        <v>3598</v>
      </c>
      <c r="H79" s="25"/>
      <c r="I79" s="25"/>
      <c r="J79" s="25" t="s">
        <v>3600</v>
      </c>
      <c r="K79" s="25" t="s">
        <v>3987</v>
      </c>
      <c r="L79" s="25" t="s">
        <v>3642</v>
      </c>
      <c r="M79" s="25" t="s">
        <v>3988</v>
      </c>
      <c r="N79" s="25">
        <v>0</v>
      </c>
      <c r="O79" s="25" t="s">
        <v>3917</v>
      </c>
      <c r="P79" s="25"/>
      <c r="Q79" s="25">
        <v>22</v>
      </c>
      <c r="R79" s="25">
        <v>22</v>
      </c>
      <c r="S79" s="25" t="s">
        <v>3697</v>
      </c>
      <c r="T79" s="25">
        <f t="shared" si="4"/>
        <v>1</v>
      </c>
      <c r="U79" s="25">
        <f t="shared" si="5"/>
        <v>1</v>
      </c>
      <c r="V79" s="25" t="s">
        <v>3989</v>
      </c>
      <c r="W79" s="25" t="s">
        <v>3890</v>
      </c>
      <c r="X79" s="25" t="s">
        <v>1008</v>
      </c>
      <c r="Y79" s="25"/>
    </row>
    <row r="80" spans="1:25" ht="20" customHeight="1" x14ac:dyDescent="0.2">
      <c r="A80" s="23" t="s">
        <v>3990</v>
      </c>
      <c r="B80" s="23" t="s">
        <v>171</v>
      </c>
      <c r="C80" s="23" t="s">
        <v>3078</v>
      </c>
      <c r="D80" s="23" t="s">
        <v>3595</v>
      </c>
      <c r="E80" s="23" t="s">
        <v>3991</v>
      </c>
      <c r="F80" s="23"/>
      <c r="G80" s="23" t="s">
        <v>1160</v>
      </c>
      <c r="H80" s="23"/>
      <c r="I80" s="23"/>
      <c r="J80" s="23" t="s">
        <v>3600</v>
      </c>
      <c r="K80" s="23" t="s">
        <v>3992</v>
      </c>
      <c r="L80" s="23" t="s">
        <v>3602</v>
      </c>
      <c r="M80" s="23" t="s">
        <v>3722</v>
      </c>
      <c r="N80" s="23">
        <v>0</v>
      </c>
      <c r="O80" s="23" t="s">
        <v>3917</v>
      </c>
      <c r="P80" s="23"/>
      <c r="Q80" s="23">
        <v>22</v>
      </c>
      <c r="R80" s="23">
        <v>22</v>
      </c>
      <c r="S80" s="23" t="s">
        <v>3697</v>
      </c>
      <c r="T80" s="23">
        <f t="shared" si="4"/>
        <v>1</v>
      </c>
      <c r="U80" s="23">
        <f t="shared" si="5"/>
        <v>1</v>
      </c>
      <c r="V80" s="23" t="s">
        <v>3989</v>
      </c>
      <c r="W80" s="23" t="s">
        <v>3890</v>
      </c>
      <c r="X80" s="23" t="s">
        <v>1008</v>
      </c>
      <c r="Y80" s="23"/>
    </row>
    <row r="81" spans="1:25" ht="20" customHeight="1" x14ac:dyDescent="0.2">
      <c r="A81" s="25" t="s">
        <v>3993</v>
      </c>
      <c r="B81" s="25" t="s">
        <v>171</v>
      </c>
      <c r="C81" s="25" t="s">
        <v>3078</v>
      </c>
      <c r="D81" s="25" t="s">
        <v>3595</v>
      </c>
      <c r="E81" s="25" t="s">
        <v>3994</v>
      </c>
      <c r="F81" s="25"/>
      <c r="G81" s="25" t="s">
        <v>1160</v>
      </c>
      <c r="H81" s="25"/>
      <c r="I81" s="25"/>
      <c r="J81" s="25" t="s">
        <v>3600</v>
      </c>
      <c r="K81" s="25" t="s">
        <v>3779</v>
      </c>
      <c r="L81" s="25" t="s">
        <v>3611</v>
      </c>
      <c r="M81" s="25" t="s">
        <v>3995</v>
      </c>
      <c r="N81" s="25">
        <v>1</v>
      </c>
      <c r="O81" s="25" t="s">
        <v>3996</v>
      </c>
      <c r="P81" s="25"/>
      <c r="Q81" s="25">
        <v>22</v>
      </c>
      <c r="R81" s="25">
        <v>22</v>
      </c>
      <c r="S81" s="25" t="s">
        <v>3697</v>
      </c>
      <c r="T81" s="25">
        <f t="shared" si="4"/>
        <v>1</v>
      </c>
      <c r="U81" s="25">
        <f t="shared" si="5"/>
        <v>1</v>
      </c>
      <c r="V81" s="25" t="s">
        <v>3989</v>
      </c>
      <c r="W81" s="25" t="s">
        <v>3890</v>
      </c>
      <c r="X81" s="25" t="s">
        <v>1008</v>
      </c>
      <c r="Y81" s="25"/>
    </row>
    <row r="82" spans="1:25" ht="20" customHeight="1" x14ac:dyDescent="0.2">
      <c r="A82" s="23" t="s">
        <v>3997</v>
      </c>
      <c r="B82" s="23" t="s">
        <v>171</v>
      </c>
      <c r="C82" s="23" t="s">
        <v>3078</v>
      </c>
      <c r="D82" s="23" t="s">
        <v>3595</v>
      </c>
      <c r="E82" s="23" t="s">
        <v>3998</v>
      </c>
      <c r="F82" s="23"/>
      <c r="G82" s="23" t="s">
        <v>1160</v>
      </c>
      <c r="H82" s="23"/>
      <c r="I82" s="23"/>
      <c r="J82" s="23" t="s">
        <v>3600</v>
      </c>
      <c r="K82" s="23" t="s">
        <v>3779</v>
      </c>
      <c r="L82" s="23" t="s">
        <v>3611</v>
      </c>
      <c r="M82" s="23" t="s">
        <v>3995</v>
      </c>
      <c r="N82" s="23">
        <v>1</v>
      </c>
      <c r="O82" s="23" t="s">
        <v>3999</v>
      </c>
      <c r="P82" s="23"/>
      <c r="Q82" s="23">
        <v>20</v>
      </c>
      <c r="R82" s="23">
        <v>22</v>
      </c>
      <c r="S82" s="23" t="s">
        <v>3697</v>
      </c>
      <c r="T82" s="23">
        <f t="shared" si="4"/>
        <v>0.90909090909090906</v>
      </c>
      <c r="U82" s="23">
        <f t="shared" si="5"/>
        <v>1</v>
      </c>
      <c r="V82" s="23" t="s">
        <v>3989</v>
      </c>
      <c r="W82" s="23" t="s">
        <v>3890</v>
      </c>
      <c r="X82" s="23" t="s">
        <v>1008</v>
      </c>
      <c r="Y82" s="23"/>
    </row>
    <row r="83" spans="1:25" ht="20" customHeight="1" x14ac:dyDescent="0.2">
      <c r="A83" s="25" t="s">
        <v>4000</v>
      </c>
      <c r="B83" s="25" t="s">
        <v>171</v>
      </c>
      <c r="C83" s="25" t="s">
        <v>3078</v>
      </c>
      <c r="D83" s="25" t="s">
        <v>3595</v>
      </c>
      <c r="E83" s="25" t="s">
        <v>4001</v>
      </c>
      <c r="F83" s="25"/>
      <c r="G83" s="25" t="s">
        <v>1160</v>
      </c>
      <c r="H83" s="25"/>
      <c r="I83" s="25"/>
      <c r="J83" s="25" t="s">
        <v>3600</v>
      </c>
      <c r="K83" s="25" t="s">
        <v>3619</v>
      </c>
      <c r="L83" s="25" t="s">
        <v>3611</v>
      </c>
      <c r="M83" s="25" t="s">
        <v>3995</v>
      </c>
      <c r="N83" s="25">
        <v>1</v>
      </c>
      <c r="O83" s="25" t="s">
        <v>3917</v>
      </c>
      <c r="P83" s="25"/>
      <c r="Q83" s="25">
        <v>22</v>
      </c>
      <c r="R83" s="25">
        <v>22</v>
      </c>
      <c r="S83" s="25" t="s">
        <v>3697</v>
      </c>
      <c r="T83" s="25">
        <f t="shared" si="4"/>
        <v>1</v>
      </c>
      <c r="U83" s="25">
        <f t="shared" si="5"/>
        <v>1</v>
      </c>
      <c r="V83" s="25" t="s">
        <v>3989</v>
      </c>
      <c r="W83" s="25" t="s">
        <v>3890</v>
      </c>
      <c r="X83" s="25" t="s">
        <v>1008</v>
      </c>
      <c r="Y83" s="25"/>
    </row>
    <row r="84" spans="1:25" ht="29" customHeight="1" x14ac:dyDescent="0.2">
      <c r="A84" s="23" t="s">
        <v>4002</v>
      </c>
      <c r="B84" s="23" t="s">
        <v>174</v>
      </c>
      <c r="C84" s="23" t="s">
        <v>3632</v>
      </c>
      <c r="D84" s="23" t="s">
        <v>3595</v>
      </c>
      <c r="E84" s="23" t="s">
        <v>2770</v>
      </c>
      <c r="F84" s="23" t="s">
        <v>3728</v>
      </c>
      <c r="G84" s="23" t="s">
        <v>3598</v>
      </c>
      <c r="H84" s="23"/>
      <c r="I84" s="23"/>
      <c r="J84" s="23" t="s">
        <v>3600</v>
      </c>
      <c r="K84" s="23" t="s">
        <v>4003</v>
      </c>
      <c r="L84" s="23" t="s">
        <v>3642</v>
      </c>
      <c r="M84" s="23" t="s">
        <v>4004</v>
      </c>
      <c r="N84" s="23">
        <v>0</v>
      </c>
      <c r="O84" s="23" t="s">
        <v>4005</v>
      </c>
      <c r="P84" s="23"/>
      <c r="Q84" s="23">
        <v>19</v>
      </c>
      <c r="R84" s="23">
        <v>19</v>
      </c>
      <c r="S84" s="23" t="s">
        <v>3697</v>
      </c>
      <c r="T84" s="23">
        <f t="shared" si="4"/>
        <v>1</v>
      </c>
      <c r="U84" s="23">
        <f t="shared" si="5"/>
        <v>1</v>
      </c>
      <c r="V84" s="23" t="s">
        <v>4006</v>
      </c>
      <c r="W84" s="23" t="s">
        <v>4007</v>
      </c>
      <c r="X84" s="23" t="s">
        <v>1008</v>
      </c>
      <c r="Y84" s="23"/>
    </row>
    <row r="85" spans="1:25" ht="29" customHeight="1" x14ac:dyDescent="0.2">
      <c r="A85" s="25" t="s">
        <v>4008</v>
      </c>
      <c r="B85" s="25" t="s">
        <v>174</v>
      </c>
      <c r="C85" s="25" t="s">
        <v>4009</v>
      </c>
      <c r="D85" s="25" t="s">
        <v>3595</v>
      </c>
      <c r="E85" s="25" t="s">
        <v>4010</v>
      </c>
      <c r="F85" s="25"/>
      <c r="G85" s="25" t="s">
        <v>1160</v>
      </c>
      <c r="H85" s="25"/>
      <c r="I85" s="25"/>
      <c r="J85" s="25" t="s">
        <v>3600</v>
      </c>
      <c r="K85" s="25" t="s">
        <v>3619</v>
      </c>
      <c r="L85" s="25" t="s">
        <v>3611</v>
      </c>
      <c r="M85" s="25" t="s">
        <v>4011</v>
      </c>
      <c r="N85" s="25">
        <v>1</v>
      </c>
      <c r="O85" s="25" t="s">
        <v>4012</v>
      </c>
      <c r="P85" s="25"/>
      <c r="Q85" s="25">
        <v>19</v>
      </c>
      <c r="R85" s="25">
        <v>19</v>
      </c>
      <c r="S85" s="25" t="s">
        <v>3697</v>
      </c>
      <c r="T85" s="25">
        <f t="shared" si="4"/>
        <v>1</v>
      </c>
      <c r="U85" s="25">
        <f t="shared" si="5"/>
        <v>1</v>
      </c>
      <c r="V85" s="25" t="s">
        <v>4006</v>
      </c>
      <c r="W85" s="25" t="s">
        <v>4007</v>
      </c>
      <c r="X85" s="25" t="s">
        <v>1008</v>
      </c>
      <c r="Y85" s="25" t="s">
        <v>4013</v>
      </c>
    </row>
    <row r="86" spans="1:25" ht="29" customHeight="1" x14ac:dyDescent="0.2">
      <c r="A86" s="23" t="s">
        <v>4014</v>
      </c>
      <c r="B86" s="23" t="s">
        <v>174</v>
      </c>
      <c r="C86" s="23" t="s">
        <v>3640</v>
      </c>
      <c r="D86" s="23" t="s">
        <v>3595</v>
      </c>
      <c r="E86" s="23" t="s">
        <v>4015</v>
      </c>
      <c r="F86" s="23"/>
      <c r="G86" s="23" t="s">
        <v>1160</v>
      </c>
      <c r="H86" s="23"/>
      <c r="I86" s="23"/>
      <c r="J86" s="23" t="s">
        <v>3600</v>
      </c>
      <c r="K86" s="23" t="s">
        <v>3619</v>
      </c>
      <c r="L86" s="23" t="s">
        <v>3611</v>
      </c>
      <c r="M86" s="23" t="s">
        <v>4016</v>
      </c>
      <c r="N86" s="23">
        <v>1</v>
      </c>
      <c r="O86" s="23" t="s">
        <v>4012</v>
      </c>
      <c r="P86" s="23"/>
      <c r="Q86" s="23">
        <v>19</v>
      </c>
      <c r="R86" s="23">
        <v>19</v>
      </c>
      <c r="S86" s="23" t="s">
        <v>3697</v>
      </c>
      <c r="T86" s="23">
        <f t="shared" si="4"/>
        <v>1</v>
      </c>
      <c r="U86" s="23">
        <f t="shared" si="5"/>
        <v>1</v>
      </c>
      <c r="V86" s="23" t="s">
        <v>4006</v>
      </c>
      <c r="W86" s="23" t="s">
        <v>4007</v>
      </c>
      <c r="X86" s="23" t="s">
        <v>1008</v>
      </c>
      <c r="Y86" s="23"/>
    </row>
    <row r="87" spans="1:25" ht="43.5" customHeight="1" x14ac:dyDescent="0.2">
      <c r="A87" s="25" t="s">
        <v>4017</v>
      </c>
      <c r="B87" s="25" t="s">
        <v>174</v>
      </c>
      <c r="C87" s="25" t="s">
        <v>3640</v>
      </c>
      <c r="D87" s="25" t="s">
        <v>3595</v>
      </c>
      <c r="E87" s="25" t="s">
        <v>4018</v>
      </c>
      <c r="F87" s="25"/>
      <c r="G87" s="25" t="s">
        <v>1160</v>
      </c>
      <c r="H87" s="25"/>
      <c r="I87" s="25"/>
      <c r="J87" s="25" t="s">
        <v>3600</v>
      </c>
      <c r="K87" s="25" t="s">
        <v>3729</v>
      </c>
      <c r="L87" s="25" t="s">
        <v>3650</v>
      </c>
      <c r="M87" s="25" t="s">
        <v>4019</v>
      </c>
      <c r="N87" s="25">
        <v>1</v>
      </c>
      <c r="O87" s="25" t="s">
        <v>4020</v>
      </c>
      <c r="P87" s="25"/>
      <c r="Q87" s="25">
        <v>18</v>
      </c>
      <c r="R87" s="25"/>
      <c r="S87" s="25"/>
      <c r="T87" s="25" t="str">
        <f t="shared" si="4"/>
        <v/>
      </c>
      <c r="U87" s="25">
        <f t="shared" si="5"/>
        <v>0</v>
      </c>
      <c r="V87" s="25" t="s">
        <v>4006</v>
      </c>
      <c r="W87" s="25" t="s">
        <v>4007</v>
      </c>
      <c r="X87" s="25" t="s">
        <v>1008</v>
      </c>
      <c r="Y87" s="25" t="s">
        <v>4021</v>
      </c>
    </row>
    <row r="88" spans="1:25" ht="29" customHeight="1" x14ac:dyDescent="0.2">
      <c r="A88" s="23" t="s">
        <v>4022</v>
      </c>
      <c r="B88" s="23" t="s">
        <v>174</v>
      </c>
      <c r="C88" s="23" t="s">
        <v>3640</v>
      </c>
      <c r="D88" s="23" t="s">
        <v>3595</v>
      </c>
      <c r="E88" s="23" t="s">
        <v>4023</v>
      </c>
      <c r="F88" s="23"/>
      <c r="G88" s="23" t="s">
        <v>1160</v>
      </c>
      <c r="H88" s="23"/>
      <c r="I88" s="23"/>
      <c r="J88" s="23" t="s">
        <v>3600</v>
      </c>
      <c r="K88" s="23" t="s">
        <v>3610</v>
      </c>
      <c r="L88" s="23" t="s">
        <v>3611</v>
      </c>
      <c r="M88" s="23" t="s">
        <v>4024</v>
      </c>
      <c r="N88" s="23">
        <v>1</v>
      </c>
      <c r="O88" s="23" t="s">
        <v>4025</v>
      </c>
      <c r="P88" s="23"/>
      <c r="Q88" s="23">
        <v>8</v>
      </c>
      <c r="R88" s="23"/>
      <c r="S88" s="23"/>
      <c r="T88" s="23" t="str">
        <f t="shared" si="4"/>
        <v/>
      </c>
      <c r="U88" s="23">
        <f t="shared" si="5"/>
        <v>0</v>
      </c>
      <c r="V88" s="23" t="s">
        <v>4006</v>
      </c>
      <c r="W88" s="23" t="s">
        <v>4007</v>
      </c>
      <c r="X88" s="23" t="s">
        <v>1008</v>
      </c>
      <c r="Y88" s="23" t="s">
        <v>4026</v>
      </c>
    </row>
    <row r="89" spans="1:25" ht="29" customHeight="1" x14ac:dyDescent="0.2">
      <c r="A89" s="25" t="s">
        <v>4027</v>
      </c>
      <c r="B89" s="25" t="s">
        <v>179</v>
      </c>
      <c r="C89" s="25" t="s">
        <v>3632</v>
      </c>
      <c r="D89" s="25" t="s">
        <v>3595</v>
      </c>
      <c r="E89" s="25" t="s">
        <v>4028</v>
      </c>
      <c r="F89" s="25" t="s">
        <v>3728</v>
      </c>
      <c r="G89" s="25" t="s">
        <v>3598</v>
      </c>
      <c r="H89" s="25"/>
      <c r="I89" s="25"/>
      <c r="J89" s="25" t="s">
        <v>3600</v>
      </c>
      <c r="K89" s="25" t="s">
        <v>4029</v>
      </c>
      <c r="L89" s="25" t="s">
        <v>3642</v>
      </c>
      <c r="M89" s="25" t="s">
        <v>4030</v>
      </c>
      <c r="N89" s="25">
        <v>0</v>
      </c>
      <c r="O89" s="25" t="s">
        <v>4031</v>
      </c>
      <c r="P89" s="25"/>
      <c r="Q89" s="25">
        <v>11</v>
      </c>
      <c r="R89" s="25"/>
      <c r="S89" s="25"/>
      <c r="T89" s="25" t="str">
        <f t="shared" si="4"/>
        <v/>
      </c>
      <c r="U89" s="25">
        <f t="shared" si="5"/>
        <v>0</v>
      </c>
      <c r="V89" s="25" t="s">
        <v>4032</v>
      </c>
      <c r="W89" s="25" t="s">
        <v>4033</v>
      </c>
      <c r="X89" s="25" t="s">
        <v>1008</v>
      </c>
      <c r="Y89" s="25"/>
    </row>
    <row r="90" spans="1:25" ht="29" customHeight="1" x14ac:dyDescent="0.2">
      <c r="A90" s="23" t="s">
        <v>4034</v>
      </c>
      <c r="B90" s="23" t="s">
        <v>179</v>
      </c>
      <c r="C90" s="23" t="s">
        <v>4035</v>
      </c>
      <c r="D90" s="23" t="s">
        <v>3663</v>
      </c>
      <c r="E90" s="23" t="s">
        <v>4036</v>
      </c>
      <c r="F90" s="23"/>
      <c r="G90" s="23" t="s">
        <v>1160</v>
      </c>
      <c r="H90" s="23"/>
      <c r="I90" s="23"/>
      <c r="J90" s="23" t="s">
        <v>3600</v>
      </c>
      <c r="K90" s="23" t="s">
        <v>3619</v>
      </c>
      <c r="L90" s="23" t="s">
        <v>3611</v>
      </c>
      <c r="M90" s="23" t="s">
        <v>4037</v>
      </c>
      <c r="N90" s="23">
        <v>1</v>
      </c>
      <c r="O90" s="23" t="s">
        <v>4038</v>
      </c>
      <c r="P90" s="23" t="s">
        <v>4039</v>
      </c>
      <c r="Q90" s="23">
        <v>7</v>
      </c>
      <c r="R90" s="23"/>
      <c r="S90" s="23"/>
      <c r="T90" s="23" t="str">
        <f t="shared" si="4"/>
        <v/>
      </c>
      <c r="U90" s="23">
        <f t="shared" si="5"/>
        <v>0</v>
      </c>
      <c r="V90" s="23" t="s">
        <v>4032</v>
      </c>
      <c r="W90" s="23" t="s">
        <v>4033</v>
      </c>
      <c r="X90" s="23" t="s">
        <v>1008</v>
      </c>
      <c r="Y90" s="23" t="s">
        <v>4040</v>
      </c>
    </row>
    <row r="91" spans="1:25" ht="29" customHeight="1" x14ac:dyDescent="0.2">
      <c r="A91" s="25" t="s">
        <v>4041</v>
      </c>
      <c r="B91" s="25" t="s">
        <v>179</v>
      </c>
      <c r="C91" s="25" t="s">
        <v>4042</v>
      </c>
      <c r="D91" s="25" t="s">
        <v>3595</v>
      </c>
      <c r="E91" s="25" t="s">
        <v>4043</v>
      </c>
      <c r="F91" s="25"/>
      <c r="G91" s="25" t="s">
        <v>1160</v>
      </c>
      <c r="H91" s="25"/>
      <c r="I91" s="25"/>
      <c r="J91" s="25" t="s">
        <v>3600</v>
      </c>
      <c r="K91" s="25" t="s">
        <v>3844</v>
      </c>
      <c r="L91" s="25" t="s">
        <v>3611</v>
      </c>
      <c r="M91" s="25" t="s">
        <v>4044</v>
      </c>
      <c r="N91" s="25">
        <v>1</v>
      </c>
      <c r="O91" s="25" t="s">
        <v>4045</v>
      </c>
      <c r="P91" s="25"/>
      <c r="Q91" s="25">
        <v>2</v>
      </c>
      <c r="R91" s="25"/>
      <c r="S91" s="25"/>
      <c r="T91" s="25" t="str">
        <f t="shared" si="4"/>
        <v/>
      </c>
      <c r="U91" s="25">
        <f t="shared" si="5"/>
        <v>0</v>
      </c>
      <c r="V91" s="25" t="s">
        <v>4032</v>
      </c>
      <c r="W91" s="25" t="s">
        <v>4033</v>
      </c>
      <c r="X91" s="25" t="s">
        <v>1008</v>
      </c>
      <c r="Y91" s="25"/>
    </row>
    <row r="92" spans="1:25" ht="29" customHeight="1" x14ac:dyDescent="0.2">
      <c r="A92" s="23" t="s">
        <v>4046</v>
      </c>
      <c r="B92" s="23" t="s">
        <v>179</v>
      </c>
      <c r="C92" s="23" t="s">
        <v>3640</v>
      </c>
      <c r="D92" s="23" t="s">
        <v>3595</v>
      </c>
      <c r="E92" s="23" t="s">
        <v>4047</v>
      </c>
      <c r="F92" s="23"/>
      <c r="G92" s="23" t="s">
        <v>1160</v>
      </c>
      <c r="H92" s="23"/>
      <c r="I92" s="23"/>
      <c r="J92" s="23" t="s">
        <v>3600</v>
      </c>
      <c r="K92" s="23" t="s">
        <v>3851</v>
      </c>
      <c r="L92" s="23" t="s">
        <v>3611</v>
      </c>
      <c r="M92" s="23" t="s">
        <v>4048</v>
      </c>
      <c r="N92" s="23">
        <v>1</v>
      </c>
      <c r="O92" s="23" t="s">
        <v>4038</v>
      </c>
      <c r="P92" s="23"/>
      <c r="Q92" s="23">
        <v>11</v>
      </c>
      <c r="R92" s="23"/>
      <c r="S92" s="23"/>
      <c r="T92" s="23" t="str">
        <f t="shared" si="4"/>
        <v/>
      </c>
      <c r="U92" s="23">
        <f t="shared" si="5"/>
        <v>0</v>
      </c>
      <c r="V92" s="23" t="s">
        <v>4032</v>
      </c>
      <c r="W92" s="23" t="s">
        <v>4033</v>
      </c>
      <c r="X92" s="23" t="s">
        <v>1008</v>
      </c>
      <c r="Y92" s="23" t="s">
        <v>4049</v>
      </c>
    </row>
    <row r="93" spans="1:25" ht="29" customHeight="1" x14ac:dyDescent="0.2">
      <c r="A93" s="25" t="s">
        <v>4050</v>
      </c>
      <c r="B93" s="25" t="s">
        <v>179</v>
      </c>
      <c r="C93" s="25" t="s">
        <v>3876</v>
      </c>
      <c r="D93" s="25" t="s">
        <v>3624</v>
      </c>
      <c r="E93" s="25" t="s">
        <v>4051</v>
      </c>
      <c r="F93" s="25"/>
      <c r="G93" s="25" t="s">
        <v>1160</v>
      </c>
      <c r="H93" s="25"/>
      <c r="I93" s="25"/>
      <c r="J93" s="25" t="s">
        <v>3600</v>
      </c>
      <c r="K93" s="25" t="s">
        <v>3844</v>
      </c>
      <c r="L93" s="25" t="s">
        <v>3611</v>
      </c>
      <c r="M93" s="25" t="s">
        <v>4052</v>
      </c>
      <c r="N93" s="25">
        <v>1</v>
      </c>
      <c r="O93" s="25" t="s">
        <v>4053</v>
      </c>
      <c r="P93" s="25"/>
      <c r="Q93" s="25">
        <v>11</v>
      </c>
      <c r="R93" s="25"/>
      <c r="S93" s="25"/>
      <c r="T93" s="25" t="str">
        <f t="shared" si="4"/>
        <v/>
      </c>
      <c r="U93" s="25">
        <f t="shared" si="5"/>
        <v>0</v>
      </c>
      <c r="V93" s="25" t="s">
        <v>4032</v>
      </c>
      <c r="W93" s="25" t="s">
        <v>4033</v>
      </c>
      <c r="X93" s="25" t="s">
        <v>1008</v>
      </c>
      <c r="Y93" s="25" t="s">
        <v>3660</v>
      </c>
    </row>
    <row r="94" spans="1:25" ht="29" customHeight="1" x14ac:dyDescent="0.2">
      <c r="A94" s="23" t="s">
        <v>4054</v>
      </c>
      <c r="B94" s="23" t="s">
        <v>182</v>
      </c>
      <c r="C94" s="23" t="s">
        <v>3632</v>
      </c>
      <c r="D94" s="23" t="s">
        <v>3595</v>
      </c>
      <c r="E94" s="23" t="s">
        <v>2795</v>
      </c>
      <c r="F94" s="23" t="s">
        <v>3633</v>
      </c>
      <c r="G94" s="23" t="s">
        <v>3598</v>
      </c>
      <c r="H94" s="23"/>
      <c r="I94" s="23" t="s">
        <v>4055</v>
      </c>
      <c r="J94" s="23" t="s">
        <v>1160</v>
      </c>
      <c r="K94" s="23" t="s">
        <v>3779</v>
      </c>
      <c r="L94" s="23" t="s">
        <v>3611</v>
      </c>
      <c r="M94" s="23" t="s">
        <v>4056</v>
      </c>
      <c r="N94" s="23">
        <v>1</v>
      </c>
      <c r="O94" s="23" t="s">
        <v>4057</v>
      </c>
      <c r="P94" s="23"/>
      <c r="Q94" s="23">
        <v>13</v>
      </c>
      <c r="R94" s="23">
        <v>13</v>
      </c>
      <c r="S94" s="23" t="s">
        <v>3697</v>
      </c>
      <c r="T94" s="23">
        <f t="shared" si="4"/>
        <v>1</v>
      </c>
      <c r="U94" s="23">
        <f t="shared" si="5"/>
        <v>1</v>
      </c>
      <c r="V94" s="23" t="s">
        <v>4058</v>
      </c>
      <c r="W94" s="23" t="s">
        <v>3689</v>
      </c>
      <c r="X94" s="23" t="s">
        <v>1008</v>
      </c>
      <c r="Y94" s="23"/>
    </row>
    <row r="95" spans="1:25" ht="29" customHeight="1" x14ac:dyDescent="0.2">
      <c r="A95" s="25" t="s">
        <v>4059</v>
      </c>
      <c r="B95" s="25" t="s">
        <v>182</v>
      </c>
      <c r="C95" s="25" t="s">
        <v>3640</v>
      </c>
      <c r="D95" s="25" t="s">
        <v>3595</v>
      </c>
      <c r="E95" s="25" t="s">
        <v>4060</v>
      </c>
      <c r="F95" s="25"/>
      <c r="G95" s="25" t="s">
        <v>1160</v>
      </c>
      <c r="H95" s="25"/>
      <c r="I95" s="25" t="s">
        <v>4061</v>
      </c>
      <c r="J95" s="25" t="s">
        <v>3598</v>
      </c>
      <c r="K95" s="25" t="s">
        <v>3779</v>
      </c>
      <c r="L95" s="25" t="s">
        <v>3611</v>
      </c>
      <c r="M95" s="25" t="s">
        <v>4062</v>
      </c>
      <c r="N95" s="25">
        <v>1</v>
      </c>
      <c r="O95" s="25" t="s">
        <v>4063</v>
      </c>
      <c r="P95" s="25"/>
      <c r="Q95" s="25">
        <v>13</v>
      </c>
      <c r="R95" s="25">
        <v>13</v>
      </c>
      <c r="S95" s="25" t="s">
        <v>3785</v>
      </c>
      <c r="T95" s="25">
        <f t="shared" si="4"/>
        <v>1</v>
      </c>
      <c r="U95" s="25">
        <f t="shared" si="5"/>
        <v>1</v>
      </c>
      <c r="V95" s="25" t="s">
        <v>4058</v>
      </c>
      <c r="W95" s="25" t="s">
        <v>3689</v>
      </c>
      <c r="X95" s="25" t="s">
        <v>1008</v>
      </c>
      <c r="Y95" s="25" t="s">
        <v>4064</v>
      </c>
    </row>
    <row r="96" spans="1:25" ht="29" customHeight="1" x14ac:dyDescent="0.2">
      <c r="A96" s="23" t="s">
        <v>4065</v>
      </c>
      <c r="B96" s="23" t="s">
        <v>182</v>
      </c>
      <c r="C96" s="23" t="s">
        <v>4066</v>
      </c>
      <c r="D96" s="23" t="s">
        <v>3663</v>
      </c>
      <c r="E96" s="23" t="s">
        <v>4067</v>
      </c>
      <c r="F96" s="23"/>
      <c r="G96" s="23" t="s">
        <v>1160</v>
      </c>
      <c r="H96" s="23"/>
      <c r="I96" s="23" t="s">
        <v>4061</v>
      </c>
      <c r="J96" s="23" t="s">
        <v>3598</v>
      </c>
      <c r="K96" s="23" t="s">
        <v>3654</v>
      </c>
      <c r="L96" s="23" t="s">
        <v>3650</v>
      </c>
      <c r="M96" s="23" t="s">
        <v>4068</v>
      </c>
      <c r="N96" s="23">
        <v>1</v>
      </c>
      <c r="O96" s="23" t="s">
        <v>4063</v>
      </c>
      <c r="P96" s="23" t="s">
        <v>4069</v>
      </c>
      <c r="Q96" s="23">
        <v>8</v>
      </c>
      <c r="R96" s="23"/>
      <c r="S96" s="23"/>
      <c r="T96" s="23" t="str">
        <f t="shared" si="4"/>
        <v/>
      </c>
      <c r="U96" s="23">
        <f t="shared" si="5"/>
        <v>0</v>
      </c>
      <c r="V96" s="23" t="s">
        <v>4058</v>
      </c>
      <c r="W96" s="23" t="s">
        <v>3689</v>
      </c>
      <c r="X96" s="23" t="s">
        <v>1008</v>
      </c>
      <c r="Y96" s="23" t="s">
        <v>4070</v>
      </c>
    </row>
    <row r="97" spans="1:25" ht="29" customHeight="1" x14ac:dyDescent="0.2">
      <c r="A97" s="25" t="s">
        <v>4071</v>
      </c>
      <c r="B97" s="25" t="s">
        <v>182</v>
      </c>
      <c r="C97" s="25" t="s">
        <v>3640</v>
      </c>
      <c r="D97" s="25" t="s">
        <v>3595</v>
      </c>
      <c r="E97" s="25" t="s">
        <v>4072</v>
      </c>
      <c r="F97" s="25"/>
      <c r="G97" s="25" t="s">
        <v>1160</v>
      </c>
      <c r="H97" s="25"/>
      <c r="I97" s="25" t="s">
        <v>4061</v>
      </c>
      <c r="J97" s="25" t="s">
        <v>3598</v>
      </c>
      <c r="K97" s="25" t="s">
        <v>3779</v>
      </c>
      <c r="L97" s="25" t="s">
        <v>3611</v>
      </c>
      <c r="M97" s="25" t="s">
        <v>4073</v>
      </c>
      <c r="N97" s="25">
        <v>1</v>
      </c>
      <c r="O97" s="25" t="s">
        <v>4074</v>
      </c>
      <c r="P97" s="25"/>
      <c r="Q97" s="25">
        <v>1</v>
      </c>
      <c r="R97" s="25"/>
      <c r="S97" s="25"/>
      <c r="T97" s="25" t="str">
        <f t="shared" si="4"/>
        <v/>
      </c>
      <c r="U97" s="25">
        <f t="shared" si="5"/>
        <v>0</v>
      </c>
      <c r="V97" s="25" t="s">
        <v>4058</v>
      </c>
      <c r="W97" s="25" t="s">
        <v>3689</v>
      </c>
      <c r="X97" s="25" t="s">
        <v>1008</v>
      </c>
      <c r="Y97" s="25"/>
    </row>
    <row r="98" spans="1:25" ht="29" customHeight="1" x14ac:dyDescent="0.2">
      <c r="A98" s="23" t="s">
        <v>4075</v>
      </c>
      <c r="B98" s="23" t="s">
        <v>187</v>
      </c>
      <c r="C98" s="23" t="s">
        <v>3796</v>
      </c>
      <c r="D98" s="23" t="s">
        <v>3595</v>
      </c>
      <c r="E98" s="23" t="s">
        <v>4076</v>
      </c>
      <c r="F98" s="23" t="s">
        <v>3633</v>
      </c>
      <c r="G98" s="23" t="s">
        <v>3598</v>
      </c>
      <c r="H98" s="23"/>
      <c r="I98" s="23" t="s">
        <v>4077</v>
      </c>
      <c r="J98" s="23" t="s">
        <v>1160</v>
      </c>
      <c r="K98" s="23" t="s">
        <v>4078</v>
      </c>
      <c r="L98" s="23" t="s">
        <v>3642</v>
      </c>
      <c r="M98" s="23" t="s">
        <v>4079</v>
      </c>
      <c r="N98" s="23">
        <v>0</v>
      </c>
      <c r="O98" s="23"/>
      <c r="P98" s="23"/>
      <c r="Q98" s="23">
        <v>22</v>
      </c>
      <c r="R98" s="23"/>
      <c r="S98" s="23"/>
      <c r="T98" s="23" t="str">
        <f t="shared" si="4"/>
        <v/>
      </c>
      <c r="U98" s="23">
        <f t="shared" si="5"/>
        <v>0</v>
      </c>
      <c r="V98" s="23" t="s">
        <v>4080</v>
      </c>
      <c r="W98" s="23" t="s">
        <v>4081</v>
      </c>
      <c r="X98" s="23" t="s">
        <v>1008</v>
      </c>
      <c r="Y98" s="23"/>
    </row>
    <row r="99" spans="1:25" ht="29" customHeight="1" x14ac:dyDescent="0.2">
      <c r="A99" s="25" t="s">
        <v>4082</v>
      </c>
      <c r="B99" s="25" t="s">
        <v>187</v>
      </c>
      <c r="C99" s="25" t="s">
        <v>3640</v>
      </c>
      <c r="D99" s="25" t="s">
        <v>3595</v>
      </c>
      <c r="E99" s="25" t="s">
        <v>4083</v>
      </c>
      <c r="F99" s="25" t="s">
        <v>3633</v>
      </c>
      <c r="G99" s="25" t="s">
        <v>3598</v>
      </c>
      <c r="H99" s="25"/>
      <c r="I99" s="25" t="s">
        <v>4077</v>
      </c>
      <c r="J99" s="25" t="s">
        <v>1160</v>
      </c>
      <c r="K99" s="25" t="s">
        <v>4084</v>
      </c>
      <c r="L99" s="25" t="s">
        <v>3642</v>
      </c>
      <c r="M99" s="25" t="s">
        <v>4085</v>
      </c>
      <c r="N99" s="25">
        <v>0</v>
      </c>
      <c r="O99" s="25"/>
      <c r="P99" s="25"/>
      <c r="Q99" s="25">
        <v>17</v>
      </c>
      <c r="R99" s="25"/>
      <c r="S99" s="25"/>
      <c r="T99" s="25" t="str">
        <f t="shared" si="4"/>
        <v/>
      </c>
      <c r="U99" s="25">
        <f t="shared" si="5"/>
        <v>0</v>
      </c>
      <c r="V99" s="25" t="s">
        <v>4080</v>
      </c>
      <c r="W99" s="25" t="s">
        <v>4081</v>
      </c>
      <c r="X99" s="25" t="s">
        <v>1008</v>
      </c>
      <c r="Y99" s="25"/>
    </row>
    <row r="100" spans="1:25" ht="29" customHeight="1" x14ac:dyDescent="0.2">
      <c r="A100" s="23" t="s">
        <v>4086</v>
      </c>
      <c r="B100" s="23" t="s">
        <v>187</v>
      </c>
      <c r="C100" s="23" t="s">
        <v>3640</v>
      </c>
      <c r="D100" s="23" t="s">
        <v>3595</v>
      </c>
      <c r="E100" s="23" t="s">
        <v>4087</v>
      </c>
      <c r="F100" s="23"/>
      <c r="G100" s="23" t="s">
        <v>1160</v>
      </c>
      <c r="H100" s="23"/>
      <c r="I100" s="23" t="s">
        <v>4088</v>
      </c>
      <c r="J100" s="23" t="s">
        <v>3598</v>
      </c>
      <c r="K100" s="23" t="s">
        <v>4089</v>
      </c>
      <c r="L100" s="23" t="s">
        <v>3650</v>
      </c>
      <c r="M100" s="23" t="s">
        <v>4090</v>
      </c>
      <c r="N100" s="23">
        <v>1</v>
      </c>
      <c r="O100" s="23"/>
      <c r="P100" s="23"/>
      <c r="Q100" s="23"/>
      <c r="R100" s="23"/>
      <c r="S100" s="23"/>
      <c r="T100" s="23" t="str">
        <f t="shared" ref="T100:T131" si="6">IF(AND(ISNUMBER(Q100),ISNUMBER(R100),R100&gt;0),Q100/R100,"")</f>
        <v/>
      </c>
      <c r="U100" s="23">
        <f t="shared" ref="U100:U131" si="7">IF(AND(D100="MEMBER",ISNUMBER(Q100),ISNUMBER(R100),R100&gt;0),1,0)</f>
        <v>0</v>
      </c>
      <c r="V100" s="23" t="s">
        <v>4080</v>
      </c>
      <c r="W100" s="23" t="s">
        <v>4091</v>
      </c>
      <c r="X100" s="23" t="s">
        <v>1008</v>
      </c>
      <c r="Y100" s="23"/>
    </row>
    <row r="101" spans="1:25" ht="43.5" customHeight="1" x14ac:dyDescent="0.2">
      <c r="A101" s="25" t="s">
        <v>4092</v>
      </c>
      <c r="B101" s="25" t="s">
        <v>187</v>
      </c>
      <c r="C101" s="25" t="s">
        <v>3640</v>
      </c>
      <c r="D101" s="25" t="s">
        <v>3595</v>
      </c>
      <c r="E101" s="25" t="s">
        <v>4093</v>
      </c>
      <c r="F101" s="25"/>
      <c r="G101" s="25" t="s">
        <v>1160</v>
      </c>
      <c r="H101" s="25"/>
      <c r="I101" s="25" t="s">
        <v>4088</v>
      </c>
      <c r="J101" s="25" t="s">
        <v>3598</v>
      </c>
      <c r="K101" s="25" t="s">
        <v>3779</v>
      </c>
      <c r="L101" s="25" t="s">
        <v>3611</v>
      </c>
      <c r="M101" s="25" t="s">
        <v>4094</v>
      </c>
      <c r="N101" s="25">
        <v>1</v>
      </c>
      <c r="O101" s="25"/>
      <c r="P101" s="25"/>
      <c r="Q101" s="25"/>
      <c r="R101" s="25"/>
      <c r="S101" s="25"/>
      <c r="T101" s="25" t="str">
        <f t="shared" si="6"/>
        <v/>
      </c>
      <c r="U101" s="25">
        <f t="shared" si="7"/>
        <v>0</v>
      </c>
      <c r="V101" s="25" t="s">
        <v>4080</v>
      </c>
      <c r="W101" s="25" t="s">
        <v>4091</v>
      </c>
      <c r="X101" s="25" t="s">
        <v>1008</v>
      </c>
      <c r="Y101" s="25"/>
    </row>
    <row r="102" spans="1:25" ht="29" customHeight="1" x14ac:dyDescent="0.2">
      <c r="A102" s="23" t="s">
        <v>4095</v>
      </c>
      <c r="B102" s="23" t="s">
        <v>187</v>
      </c>
      <c r="C102" s="23" t="s">
        <v>3640</v>
      </c>
      <c r="D102" s="23" t="s">
        <v>3595</v>
      </c>
      <c r="E102" s="23" t="s">
        <v>4096</v>
      </c>
      <c r="F102" s="23"/>
      <c r="G102" s="23" t="s">
        <v>1160</v>
      </c>
      <c r="H102" s="23"/>
      <c r="I102" s="23" t="s">
        <v>4088</v>
      </c>
      <c r="J102" s="23" t="s">
        <v>3598</v>
      </c>
      <c r="K102" s="23" t="s">
        <v>3779</v>
      </c>
      <c r="L102" s="23" t="s">
        <v>3611</v>
      </c>
      <c r="M102" s="23" t="s">
        <v>4097</v>
      </c>
      <c r="N102" s="23">
        <v>1</v>
      </c>
      <c r="O102" s="23"/>
      <c r="P102" s="23"/>
      <c r="Q102" s="23"/>
      <c r="R102" s="23"/>
      <c r="S102" s="23"/>
      <c r="T102" s="23" t="str">
        <f t="shared" si="6"/>
        <v/>
      </c>
      <c r="U102" s="23">
        <f t="shared" si="7"/>
        <v>0</v>
      </c>
      <c r="V102" s="23" t="s">
        <v>4080</v>
      </c>
      <c r="W102" s="23" t="s">
        <v>4091</v>
      </c>
      <c r="X102" s="23" t="s">
        <v>1008</v>
      </c>
      <c r="Y102" s="23"/>
    </row>
    <row r="103" spans="1:25" ht="29" customHeight="1" x14ac:dyDescent="0.2">
      <c r="A103" s="25" t="s">
        <v>4098</v>
      </c>
      <c r="B103" s="25" t="s">
        <v>190</v>
      </c>
      <c r="C103" s="25" t="s">
        <v>3632</v>
      </c>
      <c r="D103" s="25" t="s">
        <v>3595</v>
      </c>
      <c r="E103" s="25" t="s">
        <v>192</v>
      </c>
      <c r="F103" s="25" t="s">
        <v>3633</v>
      </c>
      <c r="G103" s="25" t="s">
        <v>3598</v>
      </c>
      <c r="H103" s="25"/>
      <c r="I103" s="25"/>
      <c r="J103" s="25" t="s">
        <v>3600</v>
      </c>
      <c r="K103" s="25"/>
      <c r="L103" s="25" t="s">
        <v>3635</v>
      </c>
      <c r="M103" s="25" t="s">
        <v>4099</v>
      </c>
      <c r="N103" s="25">
        <v>0</v>
      </c>
      <c r="O103" s="25"/>
      <c r="P103" s="25"/>
      <c r="Q103" s="25"/>
      <c r="R103" s="25"/>
      <c r="S103" s="25"/>
      <c r="T103" s="25" t="str">
        <f t="shared" si="6"/>
        <v/>
      </c>
      <c r="U103" s="25">
        <f t="shared" si="7"/>
        <v>0</v>
      </c>
      <c r="V103" s="25" t="s">
        <v>4100</v>
      </c>
      <c r="W103" s="25" t="s">
        <v>4101</v>
      </c>
      <c r="X103" s="25" t="s">
        <v>1008</v>
      </c>
      <c r="Y103" s="25"/>
    </row>
    <row r="104" spans="1:25" ht="20" customHeight="1" x14ac:dyDescent="0.2">
      <c r="A104" s="23" t="s">
        <v>4102</v>
      </c>
      <c r="B104" s="23" t="s">
        <v>190</v>
      </c>
      <c r="C104" s="23" t="s">
        <v>3656</v>
      </c>
      <c r="D104" s="23" t="s">
        <v>3624</v>
      </c>
      <c r="E104" s="23" t="s">
        <v>3903</v>
      </c>
      <c r="F104" s="23" t="s">
        <v>4103</v>
      </c>
      <c r="G104" s="23" t="s">
        <v>1160</v>
      </c>
      <c r="H104" s="23"/>
      <c r="I104" s="23"/>
      <c r="J104" s="23" t="s">
        <v>3600</v>
      </c>
      <c r="K104" s="23"/>
      <c r="L104" s="23" t="s">
        <v>3650</v>
      </c>
      <c r="M104" s="23" t="s">
        <v>4104</v>
      </c>
      <c r="N104" s="23">
        <v>1</v>
      </c>
      <c r="O104" s="23"/>
      <c r="P104" s="23"/>
      <c r="Q104" s="23"/>
      <c r="R104" s="23"/>
      <c r="S104" s="23"/>
      <c r="T104" s="23" t="str">
        <f t="shared" si="6"/>
        <v/>
      </c>
      <c r="U104" s="23">
        <f t="shared" si="7"/>
        <v>0</v>
      </c>
      <c r="V104" s="23" t="s">
        <v>4100</v>
      </c>
      <c r="W104" s="23" t="s">
        <v>4101</v>
      </c>
      <c r="X104" s="23" t="s">
        <v>1008</v>
      </c>
      <c r="Y104" s="23" t="s">
        <v>3660</v>
      </c>
    </row>
    <row r="105" spans="1:25" ht="20" customHeight="1" x14ac:dyDescent="0.2">
      <c r="A105" s="25" t="s">
        <v>4105</v>
      </c>
      <c r="B105" s="25" t="s">
        <v>190</v>
      </c>
      <c r="C105" s="25" t="s">
        <v>3640</v>
      </c>
      <c r="D105" s="25" t="s">
        <v>3595</v>
      </c>
      <c r="E105" s="25" t="s">
        <v>3835</v>
      </c>
      <c r="F105" s="25"/>
      <c r="G105" s="25" t="s">
        <v>1160</v>
      </c>
      <c r="H105" s="25"/>
      <c r="I105" s="25"/>
      <c r="J105" s="25" t="s">
        <v>3600</v>
      </c>
      <c r="K105" s="25"/>
      <c r="L105" s="25" t="s">
        <v>3635</v>
      </c>
      <c r="M105" s="25" t="s">
        <v>4106</v>
      </c>
      <c r="N105" s="25">
        <v>0</v>
      </c>
      <c r="O105" s="25"/>
      <c r="P105" s="25"/>
      <c r="Q105" s="25"/>
      <c r="R105" s="25"/>
      <c r="S105" s="25"/>
      <c r="T105" s="25" t="str">
        <f t="shared" si="6"/>
        <v/>
      </c>
      <c r="U105" s="25">
        <f t="shared" si="7"/>
        <v>0</v>
      </c>
      <c r="V105" s="25" t="s">
        <v>4100</v>
      </c>
      <c r="W105" s="25" t="s">
        <v>4101</v>
      </c>
      <c r="X105" s="25" t="s">
        <v>1008</v>
      </c>
      <c r="Y105" s="25"/>
    </row>
    <row r="106" spans="1:25" ht="29" customHeight="1" x14ac:dyDescent="0.2">
      <c r="A106" s="23" t="s">
        <v>4107</v>
      </c>
      <c r="B106" s="23" t="s">
        <v>190</v>
      </c>
      <c r="C106" s="23" t="s">
        <v>3640</v>
      </c>
      <c r="D106" s="23" t="s">
        <v>3595</v>
      </c>
      <c r="E106" s="23" t="s">
        <v>3782</v>
      </c>
      <c r="F106" s="23"/>
      <c r="G106" s="23" t="s">
        <v>1160</v>
      </c>
      <c r="H106" s="23"/>
      <c r="I106" s="23"/>
      <c r="J106" s="23" t="s">
        <v>3600</v>
      </c>
      <c r="K106" s="23" t="s">
        <v>4108</v>
      </c>
      <c r="L106" s="23" t="s">
        <v>3611</v>
      </c>
      <c r="M106" s="23" t="s">
        <v>4109</v>
      </c>
      <c r="N106" s="23">
        <v>1</v>
      </c>
      <c r="O106" s="23"/>
      <c r="P106" s="23"/>
      <c r="Q106" s="23"/>
      <c r="R106" s="23"/>
      <c r="S106" s="23"/>
      <c r="T106" s="23" t="str">
        <f t="shared" si="6"/>
        <v/>
      </c>
      <c r="U106" s="23">
        <f t="shared" si="7"/>
        <v>0</v>
      </c>
      <c r="V106" s="23" t="s">
        <v>4100</v>
      </c>
      <c r="W106" s="23" t="s">
        <v>4110</v>
      </c>
      <c r="X106" s="23" t="s">
        <v>1008</v>
      </c>
      <c r="Y106" s="23" t="s">
        <v>4111</v>
      </c>
    </row>
    <row r="107" spans="1:25" ht="20" customHeight="1" x14ac:dyDescent="0.2">
      <c r="A107" s="25" t="s">
        <v>4112</v>
      </c>
      <c r="B107" s="25" t="s">
        <v>190</v>
      </c>
      <c r="C107" s="25" t="s">
        <v>3640</v>
      </c>
      <c r="D107" s="25" t="s">
        <v>3595</v>
      </c>
      <c r="E107" s="25" t="s">
        <v>4113</v>
      </c>
      <c r="F107" s="25"/>
      <c r="G107" s="25" t="s">
        <v>1160</v>
      </c>
      <c r="H107" s="25"/>
      <c r="I107" s="25"/>
      <c r="J107" s="25" t="s">
        <v>3600</v>
      </c>
      <c r="K107" s="25"/>
      <c r="L107" s="25" t="s">
        <v>3635</v>
      </c>
      <c r="M107" s="25" t="s">
        <v>4106</v>
      </c>
      <c r="N107" s="25">
        <v>0</v>
      </c>
      <c r="O107" s="25"/>
      <c r="P107" s="25"/>
      <c r="Q107" s="25"/>
      <c r="R107" s="25"/>
      <c r="S107" s="25"/>
      <c r="T107" s="25" t="str">
        <f t="shared" si="6"/>
        <v/>
      </c>
      <c r="U107" s="25">
        <f t="shared" si="7"/>
        <v>0</v>
      </c>
      <c r="V107" s="25" t="s">
        <v>4100</v>
      </c>
      <c r="W107" s="25" t="s">
        <v>4101</v>
      </c>
      <c r="X107" s="25" t="s">
        <v>1008</v>
      </c>
      <c r="Y107" s="25"/>
    </row>
    <row r="108" spans="1:25" ht="29" customHeight="1" x14ac:dyDescent="0.2">
      <c r="A108" s="23" t="s">
        <v>4114</v>
      </c>
      <c r="B108" s="23" t="s">
        <v>190</v>
      </c>
      <c r="C108" s="23" t="s">
        <v>3640</v>
      </c>
      <c r="D108" s="23" t="s">
        <v>3595</v>
      </c>
      <c r="E108" s="23" t="s">
        <v>3791</v>
      </c>
      <c r="F108" s="23"/>
      <c r="G108" s="23" t="s">
        <v>1160</v>
      </c>
      <c r="H108" s="23"/>
      <c r="I108" s="23"/>
      <c r="J108" s="23" t="s">
        <v>3600</v>
      </c>
      <c r="K108" s="23"/>
      <c r="L108" s="23" t="s">
        <v>3635</v>
      </c>
      <c r="M108" s="23" t="s">
        <v>4115</v>
      </c>
      <c r="N108" s="23">
        <v>0</v>
      </c>
      <c r="O108" s="23"/>
      <c r="P108" s="23"/>
      <c r="Q108" s="23"/>
      <c r="R108" s="23"/>
      <c r="S108" s="23"/>
      <c r="T108" s="23" t="str">
        <f t="shared" si="6"/>
        <v/>
      </c>
      <c r="U108" s="23">
        <f t="shared" si="7"/>
        <v>0</v>
      </c>
      <c r="V108" s="23" t="s">
        <v>4100</v>
      </c>
      <c r="W108" s="23" t="s">
        <v>4101</v>
      </c>
      <c r="X108" s="23" t="s">
        <v>1008</v>
      </c>
      <c r="Y108" s="23" t="s">
        <v>4116</v>
      </c>
    </row>
    <row r="109" spans="1:25" ht="29" customHeight="1" x14ac:dyDescent="0.2">
      <c r="A109" s="25" t="s">
        <v>4117</v>
      </c>
      <c r="B109" s="25" t="s">
        <v>196</v>
      </c>
      <c r="C109" s="25" t="s">
        <v>3632</v>
      </c>
      <c r="D109" s="25" t="s">
        <v>3595</v>
      </c>
      <c r="E109" s="25" t="s">
        <v>4118</v>
      </c>
      <c r="F109" s="25" t="s">
        <v>3728</v>
      </c>
      <c r="G109" s="25" t="s">
        <v>3598</v>
      </c>
      <c r="H109" s="25"/>
      <c r="I109" s="25"/>
      <c r="J109" s="25" t="s">
        <v>3600</v>
      </c>
      <c r="K109" s="25" t="s">
        <v>3619</v>
      </c>
      <c r="L109" s="25" t="s">
        <v>3611</v>
      </c>
      <c r="M109" s="25" t="s">
        <v>4119</v>
      </c>
      <c r="N109" s="25">
        <v>1</v>
      </c>
      <c r="O109" s="25" t="s">
        <v>4120</v>
      </c>
      <c r="P109" s="25"/>
      <c r="Q109" s="25">
        <v>10</v>
      </c>
      <c r="R109" s="25">
        <v>10</v>
      </c>
      <c r="S109" s="25" t="s">
        <v>3697</v>
      </c>
      <c r="T109" s="25">
        <f t="shared" si="6"/>
        <v>1</v>
      </c>
      <c r="U109" s="25">
        <f t="shared" si="7"/>
        <v>1</v>
      </c>
      <c r="V109" s="25" t="s">
        <v>4121</v>
      </c>
      <c r="W109" s="25" t="s">
        <v>4122</v>
      </c>
      <c r="X109" s="25" t="s">
        <v>1008</v>
      </c>
      <c r="Y109" s="25"/>
    </row>
    <row r="110" spans="1:25" ht="29" customHeight="1" x14ac:dyDescent="0.2">
      <c r="A110" s="23" t="s">
        <v>4123</v>
      </c>
      <c r="B110" s="23" t="s">
        <v>196</v>
      </c>
      <c r="C110" s="23" t="s">
        <v>3640</v>
      </c>
      <c r="D110" s="23" t="s">
        <v>3595</v>
      </c>
      <c r="E110" s="23" t="s">
        <v>4124</v>
      </c>
      <c r="F110" s="23"/>
      <c r="G110" s="23" t="s">
        <v>1160</v>
      </c>
      <c r="H110" s="23"/>
      <c r="I110" s="23"/>
      <c r="J110" s="23" t="s">
        <v>3600</v>
      </c>
      <c r="K110" s="23" t="s">
        <v>3619</v>
      </c>
      <c r="L110" s="23" t="s">
        <v>3611</v>
      </c>
      <c r="M110" s="23" t="s">
        <v>4125</v>
      </c>
      <c r="N110" s="23">
        <v>1</v>
      </c>
      <c r="O110" s="23" t="s">
        <v>4126</v>
      </c>
      <c r="P110" s="23"/>
      <c r="Q110" s="23">
        <v>10</v>
      </c>
      <c r="R110" s="23">
        <v>10</v>
      </c>
      <c r="S110" s="23" t="s">
        <v>3697</v>
      </c>
      <c r="T110" s="23">
        <f t="shared" si="6"/>
        <v>1</v>
      </c>
      <c r="U110" s="23">
        <f t="shared" si="7"/>
        <v>1</v>
      </c>
      <c r="V110" s="23" t="s">
        <v>4121</v>
      </c>
      <c r="W110" s="23" t="s">
        <v>4122</v>
      </c>
      <c r="X110" s="23" t="s">
        <v>1008</v>
      </c>
      <c r="Y110" s="23"/>
    </row>
    <row r="111" spans="1:25" ht="29" customHeight="1" x14ac:dyDescent="0.2">
      <c r="A111" s="25" t="s">
        <v>4127</v>
      </c>
      <c r="B111" s="25" t="s">
        <v>196</v>
      </c>
      <c r="C111" s="25" t="s">
        <v>3640</v>
      </c>
      <c r="D111" s="25" t="s">
        <v>3595</v>
      </c>
      <c r="E111" s="25" t="s">
        <v>4128</v>
      </c>
      <c r="F111" s="25"/>
      <c r="G111" s="25" t="s">
        <v>1160</v>
      </c>
      <c r="H111" s="25"/>
      <c r="I111" s="25"/>
      <c r="J111" s="25" t="s">
        <v>3600</v>
      </c>
      <c r="K111" s="25" t="s">
        <v>4129</v>
      </c>
      <c r="L111" s="25" t="s">
        <v>3635</v>
      </c>
      <c r="M111" s="25" t="s">
        <v>4130</v>
      </c>
      <c r="N111" s="25">
        <v>0</v>
      </c>
      <c r="O111" s="25" t="s">
        <v>4131</v>
      </c>
      <c r="P111" s="25"/>
      <c r="Q111" s="25">
        <v>10</v>
      </c>
      <c r="R111" s="25">
        <v>10</v>
      </c>
      <c r="S111" s="25" t="s">
        <v>3697</v>
      </c>
      <c r="T111" s="25">
        <f t="shared" si="6"/>
        <v>1</v>
      </c>
      <c r="U111" s="25">
        <f t="shared" si="7"/>
        <v>1</v>
      </c>
      <c r="V111" s="25" t="s">
        <v>4132</v>
      </c>
      <c r="W111" s="25" t="s">
        <v>4133</v>
      </c>
      <c r="X111" s="25" t="s">
        <v>1008</v>
      </c>
      <c r="Y111" s="25"/>
    </row>
    <row r="112" spans="1:25" ht="29" customHeight="1" x14ac:dyDescent="0.2">
      <c r="A112" s="23" t="s">
        <v>4134</v>
      </c>
      <c r="B112" s="23" t="s">
        <v>196</v>
      </c>
      <c r="C112" s="23" t="s">
        <v>3640</v>
      </c>
      <c r="D112" s="23" t="s">
        <v>3595</v>
      </c>
      <c r="E112" s="23" t="s">
        <v>4135</v>
      </c>
      <c r="F112" s="23"/>
      <c r="G112" s="23" t="s">
        <v>1160</v>
      </c>
      <c r="H112" s="23"/>
      <c r="I112" s="23"/>
      <c r="J112" s="23" t="s">
        <v>3600</v>
      </c>
      <c r="K112" s="23" t="s">
        <v>4136</v>
      </c>
      <c r="L112" s="23" t="s">
        <v>3650</v>
      </c>
      <c r="M112" s="23" t="s">
        <v>4137</v>
      </c>
      <c r="N112" s="23">
        <v>1</v>
      </c>
      <c r="O112" s="23" t="s">
        <v>4138</v>
      </c>
      <c r="P112" s="23"/>
      <c r="Q112" s="23">
        <v>10</v>
      </c>
      <c r="R112" s="23">
        <v>10</v>
      </c>
      <c r="S112" s="23" t="s">
        <v>3697</v>
      </c>
      <c r="T112" s="23">
        <f t="shared" si="6"/>
        <v>1</v>
      </c>
      <c r="U112" s="23">
        <f t="shared" si="7"/>
        <v>1</v>
      </c>
      <c r="V112" s="23" t="s">
        <v>4132</v>
      </c>
      <c r="W112" s="23" t="s">
        <v>4133</v>
      </c>
      <c r="X112" s="23" t="s">
        <v>1008</v>
      </c>
      <c r="Y112" s="23"/>
    </row>
    <row r="113" spans="1:25" ht="29" customHeight="1" x14ac:dyDescent="0.2">
      <c r="A113" s="25" t="s">
        <v>4139</v>
      </c>
      <c r="B113" s="25" t="s">
        <v>196</v>
      </c>
      <c r="C113" s="25" t="s">
        <v>3640</v>
      </c>
      <c r="D113" s="25" t="s">
        <v>3595</v>
      </c>
      <c r="E113" s="25" t="s">
        <v>3832</v>
      </c>
      <c r="F113" s="25"/>
      <c r="G113" s="25" t="s">
        <v>1160</v>
      </c>
      <c r="H113" s="25"/>
      <c r="I113" s="25"/>
      <c r="J113" s="25" t="s">
        <v>3600</v>
      </c>
      <c r="K113" s="25" t="s">
        <v>3844</v>
      </c>
      <c r="L113" s="25" t="s">
        <v>3611</v>
      </c>
      <c r="M113" s="25" t="s">
        <v>4140</v>
      </c>
      <c r="N113" s="25">
        <v>1</v>
      </c>
      <c r="O113" s="25" t="s">
        <v>4141</v>
      </c>
      <c r="P113" s="25"/>
      <c r="Q113" s="25">
        <v>10</v>
      </c>
      <c r="R113" s="25">
        <v>10</v>
      </c>
      <c r="S113" s="25" t="s">
        <v>3697</v>
      </c>
      <c r="T113" s="25">
        <f t="shared" si="6"/>
        <v>1</v>
      </c>
      <c r="U113" s="25">
        <f t="shared" si="7"/>
        <v>1</v>
      </c>
      <c r="V113" s="25" t="s">
        <v>4132</v>
      </c>
      <c r="W113" s="25" t="s">
        <v>4133</v>
      </c>
      <c r="X113" s="25" t="s">
        <v>1008</v>
      </c>
      <c r="Y113" s="25"/>
    </row>
    <row r="114" spans="1:25" ht="29" customHeight="1" x14ac:dyDescent="0.2">
      <c r="A114" s="23" t="s">
        <v>4142</v>
      </c>
      <c r="B114" s="23" t="s">
        <v>196</v>
      </c>
      <c r="C114" s="23" t="s">
        <v>3656</v>
      </c>
      <c r="D114" s="23" t="s">
        <v>3624</v>
      </c>
      <c r="E114" s="23" t="s">
        <v>4143</v>
      </c>
      <c r="F114" s="23"/>
      <c r="G114" s="23" t="s">
        <v>1160</v>
      </c>
      <c r="H114" s="23"/>
      <c r="I114" s="23"/>
      <c r="J114" s="23" t="s">
        <v>3600</v>
      </c>
      <c r="K114" s="23" t="s">
        <v>3619</v>
      </c>
      <c r="L114" s="23" t="s">
        <v>3611</v>
      </c>
      <c r="M114" s="23" t="s">
        <v>4144</v>
      </c>
      <c r="N114" s="23">
        <v>1</v>
      </c>
      <c r="O114" s="23" t="s">
        <v>4145</v>
      </c>
      <c r="P114" s="23"/>
      <c r="Q114" s="23">
        <v>10</v>
      </c>
      <c r="R114" s="23">
        <v>10</v>
      </c>
      <c r="S114" s="23" t="s">
        <v>3697</v>
      </c>
      <c r="T114" s="23">
        <f t="shared" si="6"/>
        <v>1</v>
      </c>
      <c r="U114" s="23">
        <f t="shared" si="7"/>
        <v>0</v>
      </c>
      <c r="V114" s="23" t="s">
        <v>4132</v>
      </c>
      <c r="W114" s="23" t="s">
        <v>4133</v>
      </c>
      <c r="X114" s="23" t="s">
        <v>1008</v>
      </c>
      <c r="Y114" s="23" t="s">
        <v>3660</v>
      </c>
    </row>
    <row r="115" spans="1:25" ht="29" customHeight="1" x14ac:dyDescent="0.2">
      <c r="A115" s="25" t="s">
        <v>4146</v>
      </c>
      <c r="B115" s="25" t="s">
        <v>199</v>
      </c>
      <c r="C115" s="25" t="s">
        <v>3632</v>
      </c>
      <c r="D115" s="25" t="s">
        <v>3595</v>
      </c>
      <c r="E115" s="25" t="s">
        <v>4147</v>
      </c>
      <c r="F115" s="25" t="s">
        <v>3597</v>
      </c>
      <c r="G115" s="25" t="s">
        <v>3598</v>
      </c>
      <c r="H115" s="25" t="s">
        <v>3970</v>
      </c>
      <c r="I115" s="25" t="s">
        <v>3885</v>
      </c>
      <c r="J115" s="25" t="s">
        <v>1160</v>
      </c>
      <c r="K115" s="25" t="s">
        <v>4148</v>
      </c>
      <c r="L115" s="25" t="s">
        <v>3616</v>
      </c>
      <c r="M115" s="25" t="s">
        <v>3958</v>
      </c>
      <c r="N115" s="25">
        <v>1</v>
      </c>
      <c r="O115" s="25" t="s">
        <v>4149</v>
      </c>
      <c r="P115" s="25"/>
      <c r="Q115" s="25">
        <v>19</v>
      </c>
      <c r="R115" s="25">
        <v>19</v>
      </c>
      <c r="S115" s="25" t="s">
        <v>3697</v>
      </c>
      <c r="T115" s="25">
        <f t="shared" si="6"/>
        <v>1</v>
      </c>
      <c r="U115" s="25">
        <f t="shared" si="7"/>
        <v>1</v>
      </c>
      <c r="V115" s="25" t="s">
        <v>4150</v>
      </c>
      <c r="W115" s="25" t="s">
        <v>4151</v>
      </c>
      <c r="X115" s="25" t="s">
        <v>1008</v>
      </c>
      <c r="Y115" s="25"/>
    </row>
    <row r="116" spans="1:25" ht="29" customHeight="1" x14ac:dyDescent="0.2">
      <c r="A116" s="23" t="s">
        <v>4152</v>
      </c>
      <c r="B116" s="23" t="s">
        <v>199</v>
      </c>
      <c r="C116" s="23" t="s">
        <v>3640</v>
      </c>
      <c r="D116" s="23" t="s">
        <v>3595</v>
      </c>
      <c r="E116" s="23" t="s">
        <v>4153</v>
      </c>
      <c r="F116" s="23"/>
      <c r="G116" s="23" t="s">
        <v>1160</v>
      </c>
      <c r="H116" s="23" t="s">
        <v>3977</v>
      </c>
      <c r="I116" s="23" t="s">
        <v>3951</v>
      </c>
      <c r="J116" s="23" t="s">
        <v>3598</v>
      </c>
      <c r="K116" s="23" t="s">
        <v>4154</v>
      </c>
      <c r="L116" s="23" t="s">
        <v>3616</v>
      </c>
      <c r="M116" s="23" t="s">
        <v>4155</v>
      </c>
      <c r="N116" s="23">
        <v>1</v>
      </c>
      <c r="O116" s="23" t="s">
        <v>4156</v>
      </c>
      <c r="P116" s="23"/>
      <c r="Q116" s="23">
        <v>19</v>
      </c>
      <c r="R116" s="23">
        <v>19</v>
      </c>
      <c r="S116" s="23" t="s">
        <v>3697</v>
      </c>
      <c r="T116" s="23">
        <f t="shared" si="6"/>
        <v>1</v>
      </c>
      <c r="U116" s="23">
        <f t="shared" si="7"/>
        <v>1</v>
      </c>
      <c r="V116" s="23" t="s">
        <v>4150</v>
      </c>
      <c r="W116" s="23" t="s">
        <v>4151</v>
      </c>
      <c r="X116" s="23" t="s">
        <v>1008</v>
      </c>
      <c r="Y116" s="23"/>
    </row>
    <row r="117" spans="1:25" ht="29" customHeight="1" x14ac:dyDescent="0.2">
      <c r="A117" s="25" t="s">
        <v>4157</v>
      </c>
      <c r="B117" s="25" t="s">
        <v>199</v>
      </c>
      <c r="C117" s="25" t="s">
        <v>3640</v>
      </c>
      <c r="D117" s="25" t="s">
        <v>3595</v>
      </c>
      <c r="E117" s="25" t="s">
        <v>4158</v>
      </c>
      <c r="F117" s="25"/>
      <c r="G117" s="25" t="s">
        <v>1160</v>
      </c>
      <c r="H117" s="25" t="s">
        <v>3977</v>
      </c>
      <c r="I117" s="25" t="s">
        <v>3885</v>
      </c>
      <c r="J117" s="25" t="s">
        <v>1160</v>
      </c>
      <c r="K117" s="25" t="s">
        <v>3844</v>
      </c>
      <c r="L117" s="25" t="s">
        <v>3611</v>
      </c>
      <c r="M117" s="25" t="s">
        <v>4159</v>
      </c>
      <c r="N117" s="25">
        <v>1</v>
      </c>
      <c r="O117" s="25" t="s">
        <v>4160</v>
      </c>
      <c r="P117" s="25"/>
      <c r="Q117" s="25">
        <v>19</v>
      </c>
      <c r="R117" s="25">
        <v>19</v>
      </c>
      <c r="S117" s="25" t="s">
        <v>3697</v>
      </c>
      <c r="T117" s="25">
        <f t="shared" si="6"/>
        <v>1</v>
      </c>
      <c r="U117" s="25">
        <f t="shared" si="7"/>
        <v>1</v>
      </c>
      <c r="V117" s="25" t="s">
        <v>4150</v>
      </c>
      <c r="W117" s="25" t="s">
        <v>4151</v>
      </c>
      <c r="X117" s="25" t="s">
        <v>1008</v>
      </c>
      <c r="Y117" s="25"/>
    </row>
    <row r="118" spans="1:25" ht="29" customHeight="1" x14ac:dyDescent="0.2">
      <c r="A118" s="23" t="s">
        <v>4161</v>
      </c>
      <c r="B118" s="23" t="s">
        <v>199</v>
      </c>
      <c r="C118" s="23" t="s">
        <v>3640</v>
      </c>
      <c r="D118" s="23" t="s">
        <v>3595</v>
      </c>
      <c r="E118" s="23" t="s">
        <v>4162</v>
      </c>
      <c r="F118" s="23"/>
      <c r="G118" s="23" t="s">
        <v>1160</v>
      </c>
      <c r="H118" s="23" t="s">
        <v>3977</v>
      </c>
      <c r="I118" s="23" t="s">
        <v>3951</v>
      </c>
      <c r="J118" s="23" t="s">
        <v>3598</v>
      </c>
      <c r="K118" s="23" t="s">
        <v>4163</v>
      </c>
      <c r="L118" s="23" t="s">
        <v>3616</v>
      </c>
      <c r="M118" s="23" t="s">
        <v>4164</v>
      </c>
      <c r="N118" s="23">
        <v>1</v>
      </c>
      <c r="O118" s="23" t="s">
        <v>4165</v>
      </c>
      <c r="P118" s="23"/>
      <c r="Q118" s="23">
        <v>19</v>
      </c>
      <c r="R118" s="23">
        <v>19</v>
      </c>
      <c r="S118" s="23" t="s">
        <v>3697</v>
      </c>
      <c r="T118" s="23">
        <f t="shared" si="6"/>
        <v>1</v>
      </c>
      <c r="U118" s="23">
        <f t="shared" si="7"/>
        <v>1</v>
      </c>
      <c r="V118" s="23" t="s">
        <v>4150</v>
      </c>
      <c r="W118" s="23" t="s">
        <v>4151</v>
      </c>
      <c r="X118" s="23" t="s">
        <v>1008</v>
      </c>
      <c r="Y118" s="23"/>
    </row>
    <row r="119" spans="1:25" ht="29" customHeight="1" x14ac:dyDescent="0.2">
      <c r="A119" s="25" t="s">
        <v>4166</v>
      </c>
      <c r="B119" s="25" t="s">
        <v>199</v>
      </c>
      <c r="C119" s="25" t="s">
        <v>3640</v>
      </c>
      <c r="D119" s="25" t="s">
        <v>3595</v>
      </c>
      <c r="E119" s="25" t="s">
        <v>4167</v>
      </c>
      <c r="F119" s="25"/>
      <c r="G119" s="25" t="s">
        <v>1160</v>
      </c>
      <c r="H119" s="25" t="s">
        <v>3977</v>
      </c>
      <c r="I119" s="25" t="s">
        <v>3951</v>
      </c>
      <c r="J119" s="25" t="s">
        <v>3598</v>
      </c>
      <c r="K119" s="25" t="s">
        <v>3844</v>
      </c>
      <c r="L119" s="25" t="s">
        <v>3611</v>
      </c>
      <c r="M119" s="25" t="s">
        <v>4168</v>
      </c>
      <c r="N119" s="25">
        <v>1</v>
      </c>
      <c r="O119" s="25" t="s">
        <v>4169</v>
      </c>
      <c r="P119" s="25"/>
      <c r="Q119" s="25">
        <v>19</v>
      </c>
      <c r="R119" s="25">
        <v>19</v>
      </c>
      <c r="S119" s="25" t="s">
        <v>3697</v>
      </c>
      <c r="T119" s="25">
        <f t="shared" si="6"/>
        <v>1</v>
      </c>
      <c r="U119" s="25">
        <f t="shared" si="7"/>
        <v>1</v>
      </c>
      <c r="V119" s="25" t="s">
        <v>4150</v>
      </c>
      <c r="W119" s="25" t="s">
        <v>4151</v>
      </c>
      <c r="X119" s="25" t="s">
        <v>1008</v>
      </c>
      <c r="Y119" s="25"/>
    </row>
    <row r="120" spans="1:25" ht="20" customHeight="1" x14ac:dyDescent="0.2">
      <c r="A120" s="23" t="s">
        <v>4170</v>
      </c>
      <c r="B120" s="23" t="s">
        <v>202</v>
      </c>
      <c r="C120" s="23" t="s">
        <v>3796</v>
      </c>
      <c r="D120" s="23" t="s">
        <v>3595</v>
      </c>
      <c r="E120" s="23" t="s">
        <v>203</v>
      </c>
      <c r="F120" s="23" t="s">
        <v>3633</v>
      </c>
      <c r="G120" s="23" t="s">
        <v>3598</v>
      </c>
      <c r="H120" s="23"/>
      <c r="I120" s="23" t="s">
        <v>4171</v>
      </c>
      <c r="J120" s="23" t="s">
        <v>3600</v>
      </c>
      <c r="K120" s="23"/>
      <c r="L120" s="23" t="s">
        <v>3635</v>
      </c>
      <c r="M120" s="23" t="s">
        <v>4172</v>
      </c>
      <c r="N120" s="23">
        <v>0</v>
      </c>
      <c r="O120" s="23" t="s">
        <v>4173</v>
      </c>
      <c r="P120" s="23"/>
      <c r="Q120" s="23"/>
      <c r="R120" s="23"/>
      <c r="S120" s="23"/>
      <c r="T120" s="23" t="str">
        <f t="shared" si="6"/>
        <v/>
      </c>
      <c r="U120" s="23">
        <f t="shared" si="7"/>
        <v>0</v>
      </c>
      <c r="V120" s="23" t="s">
        <v>4174</v>
      </c>
      <c r="W120" s="23" t="s">
        <v>4175</v>
      </c>
      <c r="X120" s="23" t="s">
        <v>1008</v>
      </c>
      <c r="Y120" s="23"/>
    </row>
    <row r="121" spans="1:25" ht="29" customHeight="1" x14ac:dyDescent="0.2">
      <c r="A121" s="25" t="s">
        <v>4176</v>
      </c>
      <c r="B121" s="25" t="s">
        <v>202</v>
      </c>
      <c r="C121" s="25" t="s">
        <v>4177</v>
      </c>
      <c r="D121" s="25" t="s">
        <v>3595</v>
      </c>
      <c r="E121" s="25" t="s">
        <v>4178</v>
      </c>
      <c r="F121" s="25"/>
      <c r="G121" s="25" t="s">
        <v>1160</v>
      </c>
      <c r="H121" s="25"/>
      <c r="I121" s="25" t="s">
        <v>4179</v>
      </c>
      <c r="J121" s="25" t="s">
        <v>3598</v>
      </c>
      <c r="K121" s="25"/>
      <c r="L121" s="25" t="s">
        <v>3635</v>
      </c>
      <c r="M121" s="25" t="s">
        <v>4172</v>
      </c>
      <c r="N121" s="25">
        <v>0</v>
      </c>
      <c r="O121" s="25" t="s">
        <v>4173</v>
      </c>
      <c r="P121" s="25"/>
      <c r="Q121" s="25"/>
      <c r="R121" s="25"/>
      <c r="S121" s="25"/>
      <c r="T121" s="25" t="str">
        <f t="shared" si="6"/>
        <v/>
      </c>
      <c r="U121" s="25">
        <f t="shared" si="7"/>
        <v>0</v>
      </c>
      <c r="V121" s="25" t="s">
        <v>4174</v>
      </c>
      <c r="W121" s="25" t="s">
        <v>4175</v>
      </c>
      <c r="X121" s="25" t="s">
        <v>1008</v>
      </c>
      <c r="Y121" s="25"/>
    </row>
    <row r="122" spans="1:25" ht="29" customHeight="1" x14ac:dyDescent="0.2">
      <c r="A122" s="23" t="s">
        <v>4180</v>
      </c>
      <c r="B122" s="23" t="s">
        <v>202</v>
      </c>
      <c r="C122" s="23" t="s">
        <v>4177</v>
      </c>
      <c r="D122" s="23" t="s">
        <v>3595</v>
      </c>
      <c r="E122" s="23" t="s">
        <v>4181</v>
      </c>
      <c r="F122" s="23"/>
      <c r="G122" s="23" t="s">
        <v>1160</v>
      </c>
      <c r="H122" s="23"/>
      <c r="I122" s="23" t="s">
        <v>4179</v>
      </c>
      <c r="J122" s="23" t="s">
        <v>3598</v>
      </c>
      <c r="K122" s="23"/>
      <c r="L122" s="23" t="s">
        <v>3635</v>
      </c>
      <c r="M122" s="23" t="s">
        <v>4172</v>
      </c>
      <c r="N122" s="23">
        <v>0</v>
      </c>
      <c r="O122" s="23" t="s">
        <v>4173</v>
      </c>
      <c r="P122" s="23"/>
      <c r="Q122" s="23"/>
      <c r="R122" s="23"/>
      <c r="S122" s="23"/>
      <c r="T122" s="23" t="str">
        <f t="shared" si="6"/>
        <v/>
      </c>
      <c r="U122" s="23">
        <f t="shared" si="7"/>
        <v>0</v>
      </c>
      <c r="V122" s="23" t="s">
        <v>4174</v>
      </c>
      <c r="W122" s="23" t="s">
        <v>4175</v>
      </c>
      <c r="X122" s="23" t="s">
        <v>1008</v>
      </c>
      <c r="Y122" s="23"/>
    </row>
    <row r="123" spans="1:25" ht="29" customHeight="1" x14ac:dyDescent="0.2">
      <c r="A123" s="25" t="s">
        <v>4182</v>
      </c>
      <c r="B123" s="25" t="s">
        <v>206</v>
      </c>
      <c r="C123" s="25" t="s">
        <v>4183</v>
      </c>
      <c r="D123" s="25" t="s">
        <v>3595</v>
      </c>
      <c r="E123" s="25" t="s">
        <v>4184</v>
      </c>
      <c r="F123" s="25" t="s">
        <v>4185</v>
      </c>
      <c r="G123" s="25" t="s">
        <v>3598</v>
      </c>
      <c r="H123" s="25" t="s">
        <v>3597</v>
      </c>
      <c r="I123" s="25"/>
      <c r="J123" s="25" t="s">
        <v>3600</v>
      </c>
      <c r="K123" s="25" t="s">
        <v>4186</v>
      </c>
      <c r="L123" s="25" t="s">
        <v>3616</v>
      </c>
      <c r="M123" s="25" t="s">
        <v>4187</v>
      </c>
      <c r="N123" s="25">
        <v>1</v>
      </c>
      <c r="O123" s="25" t="s">
        <v>4188</v>
      </c>
      <c r="P123" s="25"/>
      <c r="Q123" s="25">
        <v>20</v>
      </c>
      <c r="R123" s="25">
        <v>20</v>
      </c>
      <c r="S123" s="25" t="s">
        <v>3785</v>
      </c>
      <c r="T123" s="25">
        <f t="shared" si="6"/>
        <v>1</v>
      </c>
      <c r="U123" s="25">
        <f t="shared" si="7"/>
        <v>1</v>
      </c>
      <c r="V123" s="25" t="s">
        <v>4189</v>
      </c>
      <c r="W123" s="25" t="s">
        <v>3295</v>
      </c>
      <c r="X123" s="25" t="s">
        <v>1008</v>
      </c>
      <c r="Y123" s="25" t="s">
        <v>4190</v>
      </c>
    </row>
    <row r="124" spans="1:25" ht="29" customHeight="1" x14ac:dyDescent="0.2">
      <c r="A124" s="23" t="s">
        <v>4191</v>
      </c>
      <c r="B124" s="23" t="s">
        <v>206</v>
      </c>
      <c r="C124" s="23" t="s">
        <v>4192</v>
      </c>
      <c r="D124" s="23" t="s">
        <v>3595</v>
      </c>
      <c r="E124" s="23" t="s">
        <v>4193</v>
      </c>
      <c r="F124" s="23" t="s">
        <v>4194</v>
      </c>
      <c r="G124" s="23" t="s">
        <v>3598</v>
      </c>
      <c r="H124" s="23" t="s">
        <v>3597</v>
      </c>
      <c r="I124" s="23"/>
      <c r="J124" s="23" t="s">
        <v>3600</v>
      </c>
      <c r="K124" s="23" t="s">
        <v>4195</v>
      </c>
      <c r="L124" s="23" t="s">
        <v>3642</v>
      </c>
      <c r="M124" s="23" t="s">
        <v>4196</v>
      </c>
      <c r="N124" s="23">
        <v>0</v>
      </c>
      <c r="O124" s="23" t="s">
        <v>4197</v>
      </c>
      <c r="P124" s="23"/>
      <c r="Q124" s="23">
        <v>20</v>
      </c>
      <c r="R124" s="23">
        <v>20</v>
      </c>
      <c r="S124" s="23" t="s">
        <v>3785</v>
      </c>
      <c r="T124" s="23">
        <f t="shared" si="6"/>
        <v>1</v>
      </c>
      <c r="U124" s="23">
        <f t="shared" si="7"/>
        <v>1</v>
      </c>
      <c r="V124" s="23" t="s">
        <v>4189</v>
      </c>
      <c r="W124" s="23" t="s">
        <v>3295</v>
      </c>
      <c r="X124" s="23" t="s">
        <v>1008</v>
      </c>
      <c r="Y124" s="23"/>
    </row>
    <row r="125" spans="1:25" ht="29" customHeight="1" x14ac:dyDescent="0.2">
      <c r="A125" s="25" t="s">
        <v>4198</v>
      </c>
      <c r="B125" s="25" t="s">
        <v>206</v>
      </c>
      <c r="C125" s="25" t="s">
        <v>4177</v>
      </c>
      <c r="D125" s="25" t="s">
        <v>3595</v>
      </c>
      <c r="E125" s="25" t="s">
        <v>4199</v>
      </c>
      <c r="F125" s="25"/>
      <c r="G125" s="25" t="s">
        <v>1160</v>
      </c>
      <c r="H125" s="25"/>
      <c r="I125" s="25" t="s">
        <v>4177</v>
      </c>
      <c r="J125" s="25" t="s">
        <v>3598</v>
      </c>
      <c r="K125" s="25" t="s">
        <v>3844</v>
      </c>
      <c r="L125" s="25" t="s">
        <v>3611</v>
      </c>
      <c r="M125" s="25" t="s">
        <v>4200</v>
      </c>
      <c r="N125" s="25">
        <v>1</v>
      </c>
      <c r="O125" s="25" t="s">
        <v>4201</v>
      </c>
      <c r="P125" s="25"/>
      <c r="Q125" s="25">
        <v>20</v>
      </c>
      <c r="R125" s="25">
        <v>20</v>
      </c>
      <c r="S125" s="25" t="s">
        <v>3785</v>
      </c>
      <c r="T125" s="25">
        <f t="shared" si="6"/>
        <v>1</v>
      </c>
      <c r="U125" s="25">
        <f t="shared" si="7"/>
        <v>1</v>
      </c>
      <c r="V125" s="25" t="s">
        <v>4189</v>
      </c>
      <c r="W125" s="25" t="s">
        <v>3295</v>
      </c>
      <c r="X125" s="25" t="s">
        <v>1008</v>
      </c>
      <c r="Y125" s="25"/>
    </row>
    <row r="126" spans="1:25" ht="29" customHeight="1" x14ac:dyDescent="0.2">
      <c r="A126" s="23" t="s">
        <v>4202</v>
      </c>
      <c r="B126" s="23" t="s">
        <v>206</v>
      </c>
      <c r="C126" s="23" t="s">
        <v>4177</v>
      </c>
      <c r="D126" s="23" t="s">
        <v>3595</v>
      </c>
      <c r="E126" s="23" t="s">
        <v>4203</v>
      </c>
      <c r="F126" s="23"/>
      <c r="G126" s="23" t="s">
        <v>1160</v>
      </c>
      <c r="H126" s="23"/>
      <c r="I126" s="23" t="s">
        <v>4177</v>
      </c>
      <c r="J126" s="23" t="s">
        <v>3598</v>
      </c>
      <c r="K126" s="23" t="s">
        <v>4186</v>
      </c>
      <c r="L126" s="23" t="s">
        <v>3616</v>
      </c>
      <c r="M126" s="23" t="s">
        <v>4204</v>
      </c>
      <c r="N126" s="23">
        <v>1</v>
      </c>
      <c r="O126" s="23" t="s">
        <v>4201</v>
      </c>
      <c r="P126" s="23"/>
      <c r="Q126" s="23">
        <v>20</v>
      </c>
      <c r="R126" s="23">
        <v>20</v>
      </c>
      <c r="S126" s="23" t="s">
        <v>3785</v>
      </c>
      <c r="T126" s="23">
        <f t="shared" si="6"/>
        <v>1</v>
      </c>
      <c r="U126" s="23">
        <f t="shared" si="7"/>
        <v>1</v>
      </c>
      <c r="V126" s="23" t="s">
        <v>4189</v>
      </c>
      <c r="W126" s="23" t="s">
        <v>3295</v>
      </c>
      <c r="X126" s="23" t="s">
        <v>1008</v>
      </c>
      <c r="Y126" s="23"/>
    </row>
    <row r="127" spans="1:25" ht="29" customHeight="1" x14ac:dyDescent="0.2">
      <c r="A127" s="25" t="s">
        <v>4205</v>
      </c>
      <c r="B127" s="25" t="s">
        <v>206</v>
      </c>
      <c r="C127" s="25" t="s">
        <v>4177</v>
      </c>
      <c r="D127" s="25" t="s">
        <v>3595</v>
      </c>
      <c r="E127" s="25" t="s">
        <v>4206</v>
      </c>
      <c r="F127" s="25"/>
      <c r="G127" s="25" t="s">
        <v>1160</v>
      </c>
      <c r="H127" s="25"/>
      <c r="I127" s="25" t="s">
        <v>4177</v>
      </c>
      <c r="J127" s="25" t="s">
        <v>3598</v>
      </c>
      <c r="K127" s="25" t="s">
        <v>3873</v>
      </c>
      <c r="L127" s="25" t="s">
        <v>3611</v>
      </c>
      <c r="M127" s="25" t="s">
        <v>4200</v>
      </c>
      <c r="N127" s="25">
        <v>1</v>
      </c>
      <c r="O127" s="25" t="s">
        <v>4207</v>
      </c>
      <c r="P127" s="25"/>
      <c r="Q127" s="25">
        <v>6</v>
      </c>
      <c r="R127" s="25"/>
      <c r="S127" s="25"/>
      <c r="T127" s="25" t="str">
        <f t="shared" si="6"/>
        <v/>
      </c>
      <c r="U127" s="25">
        <f t="shared" si="7"/>
        <v>0</v>
      </c>
      <c r="V127" s="25" t="s">
        <v>4189</v>
      </c>
      <c r="W127" s="25" t="s">
        <v>3295</v>
      </c>
      <c r="X127" s="25" t="s">
        <v>1008</v>
      </c>
      <c r="Y127" s="25" t="s">
        <v>4021</v>
      </c>
    </row>
    <row r="128" spans="1:25" ht="29" customHeight="1" x14ac:dyDescent="0.2">
      <c r="A128" s="23" t="s">
        <v>4208</v>
      </c>
      <c r="B128" s="23" t="s">
        <v>209</v>
      </c>
      <c r="C128" s="23" t="s">
        <v>4209</v>
      </c>
      <c r="D128" s="23" t="s">
        <v>3595</v>
      </c>
      <c r="E128" s="23" t="s">
        <v>4210</v>
      </c>
      <c r="F128" s="23" t="s">
        <v>3728</v>
      </c>
      <c r="G128" s="23" t="s">
        <v>3598</v>
      </c>
      <c r="H128" s="23"/>
      <c r="I128" s="23"/>
      <c r="J128" s="23" t="s">
        <v>3600</v>
      </c>
      <c r="K128" s="23" t="s">
        <v>3952</v>
      </c>
      <c r="L128" s="23" t="s">
        <v>3650</v>
      </c>
      <c r="M128" s="23" t="s">
        <v>4211</v>
      </c>
      <c r="N128" s="23">
        <v>1</v>
      </c>
      <c r="O128" s="23" t="s">
        <v>4212</v>
      </c>
      <c r="P128" s="23"/>
      <c r="Q128" s="23">
        <v>37</v>
      </c>
      <c r="R128" s="23">
        <v>37</v>
      </c>
      <c r="S128" s="23" t="s">
        <v>3697</v>
      </c>
      <c r="T128" s="23">
        <f t="shared" si="6"/>
        <v>1</v>
      </c>
      <c r="U128" s="23">
        <f t="shared" si="7"/>
        <v>1</v>
      </c>
      <c r="V128" s="23" t="s">
        <v>4213</v>
      </c>
      <c r="W128" s="23" t="s">
        <v>4214</v>
      </c>
      <c r="X128" s="23" t="s">
        <v>1008</v>
      </c>
      <c r="Y128" s="23"/>
    </row>
    <row r="129" spans="1:25" ht="29" customHeight="1" x14ac:dyDescent="0.2">
      <c r="A129" s="25" t="s">
        <v>4215</v>
      </c>
      <c r="B129" s="25" t="s">
        <v>209</v>
      </c>
      <c r="C129" s="25" t="s">
        <v>4216</v>
      </c>
      <c r="D129" s="25" t="s">
        <v>3595</v>
      </c>
      <c r="E129" s="25" t="s">
        <v>4217</v>
      </c>
      <c r="F129" s="25"/>
      <c r="G129" s="25" t="s">
        <v>1160</v>
      </c>
      <c r="H129" s="25"/>
      <c r="I129" s="25"/>
      <c r="J129" s="25" t="s">
        <v>3600</v>
      </c>
      <c r="K129" s="25" t="s">
        <v>4186</v>
      </c>
      <c r="L129" s="25" t="s">
        <v>3616</v>
      </c>
      <c r="M129" s="25" t="s">
        <v>4218</v>
      </c>
      <c r="N129" s="25">
        <v>1</v>
      </c>
      <c r="O129" s="25" t="s">
        <v>4219</v>
      </c>
      <c r="P129" s="25"/>
      <c r="Q129" s="25">
        <v>34</v>
      </c>
      <c r="R129" s="25">
        <v>37</v>
      </c>
      <c r="S129" s="25" t="s">
        <v>3697</v>
      </c>
      <c r="T129" s="25">
        <f t="shared" si="6"/>
        <v>0.91891891891891897</v>
      </c>
      <c r="U129" s="25">
        <f t="shared" si="7"/>
        <v>1</v>
      </c>
      <c r="V129" s="25" t="s">
        <v>4213</v>
      </c>
      <c r="W129" s="25" t="s">
        <v>4214</v>
      </c>
      <c r="X129" s="25" t="s">
        <v>1008</v>
      </c>
      <c r="Y129" s="25"/>
    </row>
    <row r="130" spans="1:25" ht="43.5" customHeight="1" x14ac:dyDescent="0.2">
      <c r="A130" s="23" t="s">
        <v>4220</v>
      </c>
      <c r="B130" s="23" t="s">
        <v>209</v>
      </c>
      <c r="C130" s="23" t="s">
        <v>4216</v>
      </c>
      <c r="D130" s="23" t="s">
        <v>3595</v>
      </c>
      <c r="E130" s="23" t="s">
        <v>4221</v>
      </c>
      <c r="F130" s="23"/>
      <c r="G130" s="23" t="s">
        <v>1160</v>
      </c>
      <c r="H130" s="23"/>
      <c r="I130" s="23"/>
      <c r="J130" s="23" t="s">
        <v>3600</v>
      </c>
      <c r="K130" s="23" t="s">
        <v>3844</v>
      </c>
      <c r="L130" s="23" t="s">
        <v>3611</v>
      </c>
      <c r="M130" s="23" t="s">
        <v>4222</v>
      </c>
      <c r="N130" s="23">
        <v>1</v>
      </c>
      <c r="O130" s="23" t="s">
        <v>4223</v>
      </c>
      <c r="P130" s="23"/>
      <c r="Q130" s="23">
        <v>35</v>
      </c>
      <c r="R130" s="23">
        <v>37</v>
      </c>
      <c r="S130" s="23" t="s">
        <v>3697</v>
      </c>
      <c r="T130" s="23">
        <f t="shared" si="6"/>
        <v>0.94594594594594594</v>
      </c>
      <c r="U130" s="23">
        <f t="shared" si="7"/>
        <v>1</v>
      </c>
      <c r="V130" s="23" t="s">
        <v>4224</v>
      </c>
      <c r="W130" s="23" t="s">
        <v>3707</v>
      </c>
      <c r="X130" s="23" t="s">
        <v>1008</v>
      </c>
      <c r="Y130" s="23"/>
    </row>
    <row r="131" spans="1:25" ht="29" customHeight="1" x14ac:dyDescent="0.2">
      <c r="A131" s="25" t="s">
        <v>4225</v>
      </c>
      <c r="B131" s="25" t="s">
        <v>209</v>
      </c>
      <c r="C131" s="25" t="s">
        <v>4216</v>
      </c>
      <c r="D131" s="25" t="s">
        <v>3595</v>
      </c>
      <c r="E131" s="25" t="s">
        <v>4226</v>
      </c>
      <c r="F131" s="25"/>
      <c r="G131" s="25" t="s">
        <v>1160</v>
      </c>
      <c r="H131" s="25"/>
      <c r="I131" s="25"/>
      <c r="J131" s="25" t="s">
        <v>3600</v>
      </c>
      <c r="K131" s="25" t="s">
        <v>3844</v>
      </c>
      <c r="L131" s="25" t="s">
        <v>3611</v>
      </c>
      <c r="M131" s="25" t="s">
        <v>4227</v>
      </c>
      <c r="N131" s="25">
        <v>1</v>
      </c>
      <c r="O131" s="25" t="s">
        <v>4228</v>
      </c>
      <c r="P131" s="25"/>
      <c r="Q131" s="25">
        <v>30</v>
      </c>
      <c r="R131" s="25"/>
      <c r="S131" s="25"/>
      <c r="T131" s="25" t="str">
        <f t="shared" si="6"/>
        <v/>
      </c>
      <c r="U131" s="25">
        <f t="shared" si="7"/>
        <v>0</v>
      </c>
      <c r="V131" s="25" t="s">
        <v>4224</v>
      </c>
      <c r="W131" s="25" t="s">
        <v>3707</v>
      </c>
      <c r="X131" s="25" t="s">
        <v>1008</v>
      </c>
      <c r="Y131" s="25" t="s">
        <v>4229</v>
      </c>
    </row>
    <row r="132" spans="1:25" ht="29" customHeight="1" x14ac:dyDescent="0.2">
      <c r="A132" s="23" t="s">
        <v>4230</v>
      </c>
      <c r="B132" s="23" t="s">
        <v>209</v>
      </c>
      <c r="C132" s="23" t="s">
        <v>4231</v>
      </c>
      <c r="D132" s="23" t="s">
        <v>3624</v>
      </c>
      <c r="E132" s="23" t="s">
        <v>4232</v>
      </c>
      <c r="F132" s="23"/>
      <c r="G132" s="23" t="s">
        <v>1160</v>
      </c>
      <c r="H132" s="23"/>
      <c r="I132" s="23"/>
      <c r="J132" s="23" t="s">
        <v>3600</v>
      </c>
      <c r="K132" s="23" t="s">
        <v>3627</v>
      </c>
      <c r="L132" s="23" t="s">
        <v>3616</v>
      </c>
      <c r="M132" s="23" t="s">
        <v>4233</v>
      </c>
      <c r="N132" s="23">
        <v>1</v>
      </c>
      <c r="O132" s="23" t="s">
        <v>4234</v>
      </c>
      <c r="P132" s="23"/>
      <c r="Q132" s="23">
        <v>37</v>
      </c>
      <c r="R132" s="23">
        <v>37</v>
      </c>
      <c r="S132" s="23" t="s">
        <v>3697</v>
      </c>
      <c r="T132" s="23">
        <f t="shared" ref="T132:T148" si="8">IF(AND(ISNUMBER(Q132),ISNUMBER(R132),R132&gt;0),Q132/R132,"")</f>
        <v>1</v>
      </c>
      <c r="U132" s="23">
        <f t="shared" ref="U132:U148" si="9">IF(AND(D132="MEMBER",ISNUMBER(Q132),ISNUMBER(R132),R132&gt;0),1,0)</f>
        <v>0</v>
      </c>
      <c r="V132" s="23" t="s">
        <v>4235</v>
      </c>
      <c r="W132" s="23" t="s">
        <v>4236</v>
      </c>
      <c r="X132" s="23" t="s">
        <v>1008</v>
      </c>
      <c r="Y132" s="23" t="s">
        <v>3660</v>
      </c>
    </row>
    <row r="133" spans="1:25" ht="29" customHeight="1" x14ac:dyDescent="0.2">
      <c r="A133" s="25" t="s">
        <v>4237</v>
      </c>
      <c r="B133" s="25" t="s">
        <v>212</v>
      </c>
      <c r="C133" s="25" t="s">
        <v>4238</v>
      </c>
      <c r="D133" s="25" t="s">
        <v>3595</v>
      </c>
      <c r="E133" s="25" t="s">
        <v>4239</v>
      </c>
      <c r="F133" s="25" t="s">
        <v>3728</v>
      </c>
      <c r="G133" s="25" t="s">
        <v>3598</v>
      </c>
      <c r="H133" s="25"/>
      <c r="I133" s="25" t="s">
        <v>4171</v>
      </c>
      <c r="J133" s="25" t="s">
        <v>3600</v>
      </c>
      <c r="K133" s="25" t="s">
        <v>3627</v>
      </c>
      <c r="L133" s="25" t="s">
        <v>3616</v>
      </c>
      <c r="M133" s="25" t="s">
        <v>4240</v>
      </c>
      <c r="N133" s="25">
        <v>1</v>
      </c>
      <c r="O133" s="25"/>
      <c r="P133" s="25"/>
      <c r="Q133" s="25">
        <v>22</v>
      </c>
      <c r="R133" s="25">
        <v>22</v>
      </c>
      <c r="S133" s="25" t="s">
        <v>3785</v>
      </c>
      <c r="T133" s="25">
        <f t="shared" si="8"/>
        <v>1</v>
      </c>
      <c r="U133" s="25">
        <f t="shared" si="9"/>
        <v>1</v>
      </c>
      <c r="V133" s="25" t="s">
        <v>4241</v>
      </c>
      <c r="W133" s="25" t="s">
        <v>4175</v>
      </c>
      <c r="X133" s="25" t="s">
        <v>1008</v>
      </c>
      <c r="Y133" s="25"/>
    </row>
    <row r="134" spans="1:25" ht="29" customHeight="1" x14ac:dyDescent="0.2">
      <c r="A134" s="23" t="s">
        <v>4242</v>
      </c>
      <c r="B134" s="23" t="s">
        <v>212</v>
      </c>
      <c r="C134" s="23" t="s">
        <v>3692</v>
      </c>
      <c r="D134" s="23" t="s">
        <v>3595</v>
      </c>
      <c r="E134" s="23" t="s">
        <v>4243</v>
      </c>
      <c r="F134" s="23"/>
      <c r="G134" s="23" t="s">
        <v>1160</v>
      </c>
      <c r="H134" s="23"/>
      <c r="I134" s="23" t="s">
        <v>3692</v>
      </c>
      <c r="J134" s="23" t="s">
        <v>3598</v>
      </c>
      <c r="K134" s="23" t="s">
        <v>3779</v>
      </c>
      <c r="L134" s="23" t="s">
        <v>3611</v>
      </c>
      <c r="M134" s="23" t="s">
        <v>4200</v>
      </c>
      <c r="N134" s="23">
        <v>1</v>
      </c>
      <c r="O134" s="23"/>
      <c r="P134" s="23"/>
      <c r="Q134" s="23">
        <v>22</v>
      </c>
      <c r="R134" s="23">
        <v>22</v>
      </c>
      <c r="S134" s="23" t="s">
        <v>3785</v>
      </c>
      <c r="T134" s="23">
        <f t="shared" si="8"/>
        <v>1</v>
      </c>
      <c r="U134" s="23">
        <f t="shared" si="9"/>
        <v>1</v>
      </c>
      <c r="V134" s="23" t="s">
        <v>4241</v>
      </c>
      <c r="W134" s="23" t="s">
        <v>4175</v>
      </c>
      <c r="X134" s="23" t="s">
        <v>1008</v>
      </c>
      <c r="Y134" s="23"/>
    </row>
    <row r="135" spans="1:25" ht="29" customHeight="1" x14ac:dyDescent="0.2">
      <c r="A135" s="25" t="s">
        <v>4244</v>
      </c>
      <c r="B135" s="25" t="s">
        <v>212</v>
      </c>
      <c r="C135" s="25" t="s">
        <v>3692</v>
      </c>
      <c r="D135" s="25" t="s">
        <v>3595</v>
      </c>
      <c r="E135" s="25" t="s">
        <v>4245</v>
      </c>
      <c r="F135" s="25"/>
      <c r="G135" s="25" t="s">
        <v>1160</v>
      </c>
      <c r="H135" s="25"/>
      <c r="I135" s="25" t="s">
        <v>3692</v>
      </c>
      <c r="J135" s="25" t="s">
        <v>3598</v>
      </c>
      <c r="K135" s="25" t="s">
        <v>3779</v>
      </c>
      <c r="L135" s="25" t="s">
        <v>3611</v>
      </c>
      <c r="M135" s="25" t="s">
        <v>4246</v>
      </c>
      <c r="N135" s="25">
        <v>1</v>
      </c>
      <c r="O135" s="25"/>
      <c r="P135" s="25"/>
      <c r="Q135" s="25">
        <v>22</v>
      </c>
      <c r="R135" s="25">
        <v>22</v>
      </c>
      <c r="S135" s="25" t="s">
        <v>3785</v>
      </c>
      <c r="T135" s="25">
        <f t="shared" si="8"/>
        <v>1</v>
      </c>
      <c r="U135" s="25">
        <f t="shared" si="9"/>
        <v>1</v>
      </c>
      <c r="V135" s="25" t="s">
        <v>4247</v>
      </c>
      <c r="W135" s="25" t="s">
        <v>4248</v>
      </c>
      <c r="X135" s="25" t="s">
        <v>1008</v>
      </c>
      <c r="Y135" s="25"/>
    </row>
    <row r="136" spans="1:25" ht="29" customHeight="1" x14ac:dyDescent="0.2">
      <c r="A136" s="23" t="s">
        <v>4249</v>
      </c>
      <c r="B136" s="23" t="s">
        <v>212</v>
      </c>
      <c r="C136" s="23" t="s">
        <v>3692</v>
      </c>
      <c r="D136" s="23" t="s">
        <v>3595</v>
      </c>
      <c r="E136" s="23" t="s">
        <v>4250</v>
      </c>
      <c r="F136" s="23"/>
      <c r="G136" s="23" t="s">
        <v>1160</v>
      </c>
      <c r="H136" s="23"/>
      <c r="I136" s="23" t="s">
        <v>3692</v>
      </c>
      <c r="J136" s="23" t="s">
        <v>3598</v>
      </c>
      <c r="K136" s="23" t="s">
        <v>4251</v>
      </c>
      <c r="L136" s="23" t="s">
        <v>3642</v>
      </c>
      <c r="M136" s="23" t="s">
        <v>4252</v>
      </c>
      <c r="N136" s="23">
        <v>0</v>
      </c>
      <c r="O136" s="23" t="s">
        <v>4253</v>
      </c>
      <c r="P136" s="23"/>
      <c r="Q136" s="23">
        <v>18</v>
      </c>
      <c r="R136" s="23"/>
      <c r="S136" s="23"/>
      <c r="T136" s="23" t="str">
        <f t="shared" si="8"/>
        <v/>
      </c>
      <c r="U136" s="23">
        <f t="shared" si="9"/>
        <v>0</v>
      </c>
      <c r="V136" s="23" t="s">
        <v>4247</v>
      </c>
      <c r="W136" s="23" t="s">
        <v>4248</v>
      </c>
      <c r="X136" s="23" t="s">
        <v>1008</v>
      </c>
      <c r="Y136" s="23" t="s">
        <v>4254</v>
      </c>
    </row>
    <row r="137" spans="1:25" ht="29" customHeight="1" x14ac:dyDescent="0.2">
      <c r="A137" s="25" t="s">
        <v>4255</v>
      </c>
      <c r="B137" s="25" t="s">
        <v>212</v>
      </c>
      <c r="C137" s="25" t="s">
        <v>4256</v>
      </c>
      <c r="D137" s="25" t="s">
        <v>3595</v>
      </c>
      <c r="E137" s="25" t="s">
        <v>4257</v>
      </c>
      <c r="F137" s="25"/>
      <c r="G137" s="25" t="s">
        <v>1160</v>
      </c>
      <c r="H137" s="25"/>
      <c r="I137" s="25" t="s">
        <v>4258</v>
      </c>
      <c r="J137" s="25" t="s">
        <v>3598</v>
      </c>
      <c r="K137" s="25" t="s">
        <v>3619</v>
      </c>
      <c r="L137" s="25" t="s">
        <v>3611</v>
      </c>
      <c r="M137" s="25" t="s">
        <v>4259</v>
      </c>
      <c r="N137" s="25">
        <v>1</v>
      </c>
      <c r="O137" s="25" t="s">
        <v>4260</v>
      </c>
      <c r="P137" s="25"/>
      <c r="Q137" s="25">
        <v>18</v>
      </c>
      <c r="R137" s="25"/>
      <c r="S137" s="25"/>
      <c r="T137" s="25" t="str">
        <f t="shared" si="8"/>
        <v/>
      </c>
      <c r="U137" s="25">
        <f t="shared" si="9"/>
        <v>0</v>
      </c>
      <c r="V137" s="25" t="s">
        <v>4247</v>
      </c>
      <c r="W137" s="25" t="s">
        <v>4248</v>
      </c>
      <c r="X137" s="25" t="s">
        <v>1008</v>
      </c>
      <c r="Y137" s="25" t="s">
        <v>4261</v>
      </c>
    </row>
    <row r="138" spans="1:25" ht="29" customHeight="1" x14ac:dyDescent="0.2">
      <c r="A138" s="23" t="s">
        <v>4262</v>
      </c>
      <c r="B138" s="23" t="s">
        <v>212</v>
      </c>
      <c r="C138" s="23" t="s">
        <v>4263</v>
      </c>
      <c r="D138" s="23" t="s">
        <v>3624</v>
      </c>
      <c r="E138" s="23" t="s">
        <v>4264</v>
      </c>
      <c r="F138" s="23"/>
      <c r="G138" s="23" t="s">
        <v>1160</v>
      </c>
      <c r="H138" s="23"/>
      <c r="I138" s="23"/>
      <c r="J138" s="23" t="s">
        <v>3600</v>
      </c>
      <c r="K138" s="23" t="s">
        <v>3729</v>
      </c>
      <c r="L138" s="23" t="s">
        <v>3611</v>
      </c>
      <c r="M138" s="23" t="s">
        <v>4265</v>
      </c>
      <c r="N138" s="23">
        <v>1</v>
      </c>
      <c r="O138" s="23"/>
      <c r="P138" s="23"/>
      <c r="Q138" s="23">
        <v>22</v>
      </c>
      <c r="R138" s="23">
        <v>22</v>
      </c>
      <c r="S138" s="23" t="s">
        <v>3697</v>
      </c>
      <c r="T138" s="23">
        <f t="shared" si="8"/>
        <v>1</v>
      </c>
      <c r="U138" s="23">
        <f t="shared" si="9"/>
        <v>0</v>
      </c>
      <c r="V138" s="23" t="s">
        <v>4247</v>
      </c>
      <c r="W138" s="23" t="s">
        <v>4248</v>
      </c>
      <c r="X138" s="23" t="s">
        <v>1008</v>
      </c>
      <c r="Y138" s="23" t="s">
        <v>3660</v>
      </c>
    </row>
    <row r="139" spans="1:25" ht="20" customHeight="1" x14ac:dyDescent="0.2">
      <c r="A139" s="25" t="s">
        <v>4266</v>
      </c>
      <c r="B139" s="25" t="s">
        <v>28</v>
      </c>
      <c r="C139" s="25" t="s">
        <v>3632</v>
      </c>
      <c r="D139" s="25" t="s">
        <v>3595</v>
      </c>
      <c r="E139" s="25" t="s">
        <v>4267</v>
      </c>
      <c r="F139" s="25"/>
      <c r="G139" s="25" t="s">
        <v>3600</v>
      </c>
      <c r="H139" s="25"/>
      <c r="I139" s="25"/>
      <c r="J139" s="25" t="s">
        <v>3600</v>
      </c>
      <c r="K139" s="25" t="s">
        <v>4268</v>
      </c>
      <c r="L139" s="25" t="s">
        <v>3635</v>
      </c>
      <c r="M139" s="25" t="s">
        <v>4269</v>
      </c>
      <c r="N139" s="25">
        <v>0</v>
      </c>
      <c r="O139" s="25" t="s">
        <v>4270</v>
      </c>
      <c r="P139" s="25"/>
      <c r="Q139" s="25">
        <v>19</v>
      </c>
      <c r="R139" s="25"/>
      <c r="S139" s="25"/>
      <c r="T139" s="25" t="str">
        <f t="shared" si="8"/>
        <v/>
      </c>
      <c r="U139" s="25">
        <f t="shared" si="9"/>
        <v>0</v>
      </c>
      <c r="V139" s="25" t="s">
        <v>4271</v>
      </c>
      <c r="W139" s="25" t="s">
        <v>4272</v>
      </c>
      <c r="X139" s="25" t="s">
        <v>3897</v>
      </c>
      <c r="Y139" s="25"/>
    </row>
    <row r="140" spans="1:25" ht="20" customHeight="1" x14ac:dyDescent="0.2">
      <c r="A140" s="23" t="s">
        <v>4273</v>
      </c>
      <c r="B140" s="23" t="s">
        <v>28</v>
      </c>
      <c r="C140" s="23" t="s">
        <v>3640</v>
      </c>
      <c r="D140" s="23" t="s">
        <v>3595</v>
      </c>
      <c r="E140" s="23" t="s">
        <v>4274</v>
      </c>
      <c r="F140" s="23"/>
      <c r="G140" s="23" t="s">
        <v>3600</v>
      </c>
      <c r="H140" s="23"/>
      <c r="I140" s="23"/>
      <c r="J140" s="23" t="s">
        <v>3600</v>
      </c>
      <c r="K140" s="23" t="s">
        <v>4268</v>
      </c>
      <c r="L140" s="23" t="s">
        <v>3635</v>
      </c>
      <c r="M140" s="23"/>
      <c r="N140" s="23">
        <v>0</v>
      </c>
      <c r="O140" s="23" t="s">
        <v>4275</v>
      </c>
      <c r="P140" s="23"/>
      <c r="Q140" s="23">
        <v>19</v>
      </c>
      <c r="R140" s="23"/>
      <c r="S140" s="23"/>
      <c r="T140" s="23" t="str">
        <f t="shared" si="8"/>
        <v/>
      </c>
      <c r="U140" s="23">
        <f t="shared" si="9"/>
        <v>0</v>
      </c>
      <c r="V140" s="23" t="s">
        <v>4271</v>
      </c>
      <c r="W140" s="23" t="s">
        <v>4272</v>
      </c>
      <c r="X140" s="23" t="s">
        <v>3897</v>
      </c>
      <c r="Y140" s="23"/>
    </row>
    <row r="141" spans="1:25" ht="20" customHeight="1" x14ac:dyDescent="0.2">
      <c r="A141" s="25" t="s">
        <v>4276</v>
      </c>
      <c r="B141" s="25" t="s">
        <v>28</v>
      </c>
      <c r="C141" s="25" t="s">
        <v>3640</v>
      </c>
      <c r="D141" s="25" t="s">
        <v>3595</v>
      </c>
      <c r="E141" s="25" t="s">
        <v>4277</v>
      </c>
      <c r="F141" s="25"/>
      <c r="G141" s="25" t="s">
        <v>3600</v>
      </c>
      <c r="H141" s="25"/>
      <c r="I141" s="25"/>
      <c r="J141" s="25" t="s">
        <v>3600</v>
      </c>
      <c r="K141" s="25" t="s">
        <v>4268</v>
      </c>
      <c r="L141" s="25" t="s">
        <v>3635</v>
      </c>
      <c r="M141" s="25"/>
      <c r="N141" s="25">
        <v>0</v>
      </c>
      <c r="O141" s="25" t="s">
        <v>4278</v>
      </c>
      <c r="P141" s="25"/>
      <c r="Q141" s="25">
        <v>19</v>
      </c>
      <c r="R141" s="25"/>
      <c r="S141" s="25"/>
      <c r="T141" s="25" t="str">
        <f t="shared" si="8"/>
        <v/>
      </c>
      <c r="U141" s="25">
        <f t="shared" si="9"/>
        <v>0</v>
      </c>
      <c r="V141" s="25" t="s">
        <v>4271</v>
      </c>
      <c r="W141" s="25" t="s">
        <v>4272</v>
      </c>
      <c r="X141" s="25" t="s">
        <v>3897</v>
      </c>
      <c r="Y141" s="25"/>
    </row>
    <row r="142" spans="1:25" ht="20" customHeight="1" x14ac:dyDescent="0.2">
      <c r="A142" s="23" t="s">
        <v>4279</v>
      </c>
      <c r="B142" s="23" t="s">
        <v>28</v>
      </c>
      <c r="C142" s="23" t="s">
        <v>3640</v>
      </c>
      <c r="D142" s="23" t="s">
        <v>3595</v>
      </c>
      <c r="E142" s="23" t="s">
        <v>4280</v>
      </c>
      <c r="F142" s="23"/>
      <c r="G142" s="23" t="s">
        <v>3600</v>
      </c>
      <c r="H142" s="23"/>
      <c r="I142" s="23"/>
      <c r="J142" s="23" t="s">
        <v>3600</v>
      </c>
      <c r="K142" s="23" t="s">
        <v>3654</v>
      </c>
      <c r="L142" s="23" t="s">
        <v>3635</v>
      </c>
      <c r="M142" s="23"/>
      <c r="N142" s="23">
        <v>0</v>
      </c>
      <c r="O142" s="23" t="s">
        <v>4281</v>
      </c>
      <c r="P142" s="23"/>
      <c r="Q142" s="23">
        <v>19</v>
      </c>
      <c r="R142" s="23"/>
      <c r="S142" s="23"/>
      <c r="T142" s="23" t="str">
        <f t="shared" si="8"/>
        <v/>
      </c>
      <c r="U142" s="23">
        <f t="shared" si="9"/>
        <v>0</v>
      </c>
      <c r="V142" s="23" t="s">
        <v>4271</v>
      </c>
      <c r="W142" s="23" t="s">
        <v>4272</v>
      </c>
      <c r="X142" s="23" t="s">
        <v>3897</v>
      </c>
      <c r="Y142" s="23"/>
    </row>
    <row r="143" spans="1:25" ht="20" customHeight="1" x14ac:dyDescent="0.2">
      <c r="A143" s="25" t="s">
        <v>4282</v>
      </c>
      <c r="B143" s="25" t="s">
        <v>28</v>
      </c>
      <c r="C143" s="25" t="s">
        <v>3640</v>
      </c>
      <c r="D143" s="25" t="s">
        <v>3595</v>
      </c>
      <c r="E143" s="25" t="s">
        <v>4283</v>
      </c>
      <c r="F143" s="25"/>
      <c r="G143" s="25" t="s">
        <v>3600</v>
      </c>
      <c r="H143" s="25"/>
      <c r="I143" s="25"/>
      <c r="J143" s="25" t="s">
        <v>3600</v>
      </c>
      <c r="K143" s="25" t="s">
        <v>3654</v>
      </c>
      <c r="L143" s="25" t="s">
        <v>3635</v>
      </c>
      <c r="M143" s="25"/>
      <c r="N143" s="25">
        <v>0</v>
      </c>
      <c r="O143" s="25" t="s">
        <v>4284</v>
      </c>
      <c r="P143" s="25"/>
      <c r="Q143" s="25">
        <v>19</v>
      </c>
      <c r="R143" s="25"/>
      <c r="S143" s="25"/>
      <c r="T143" s="25" t="str">
        <f t="shared" si="8"/>
        <v/>
      </c>
      <c r="U143" s="25">
        <f t="shared" si="9"/>
        <v>0</v>
      </c>
      <c r="V143" s="25" t="s">
        <v>4271</v>
      </c>
      <c r="W143" s="25" t="s">
        <v>4272</v>
      </c>
      <c r="X143" s="25" t="s">
        <v>3897</v>
      </c>
      <c r="Y143" s="25"/>
    </row>
    <row r="144" spans="1:25" ht="29" customHeight="1" x14ac:dyDescent="0.2">
      <c r="A144" s="23" t="s">
        <v>4285</v>
      </c>
      <c r="B144" s="23" t="s">
        <v>28</v>
      </c>
      <c r="C144" s="23" t="s">
        <v>4286</v>
      </c>
      <c r="D144" s="23" t="s">
        <v>3624</v>
      </c>
      <c r="E144" s="23" t="s">
        <v>4287</v>
      </c>
      <c r="F144" s="23"/>
      <c r="G144" s="23" t="s">
        <v>3600</v>
      </c>
      <c r="H144" s="23"/>
      <c r="I144" s="23"/>
      <c r="J144" s="23" t="s">
        <v>3600</v>
      </c>
      <c r="K144" s="23" t="s">
        <v>3654</v>
      </c>
      <c r="L144" s="23" t="s">
        <v>3635</v>
      </c>
      <c r="M144" s="23"/>
      <c r="N144" s="23">
        <v>0</v>
      </c>
      <c r="O144" s="23" t="s">
        <v>4288</v>
      </c>
      <c r="P144" s="23"/>
      <c r="Q144" s="23"/>
      <c r="R144" s="23"/>
      <c r="S144" s="23"/>
      <c r="T144" s="23" t="str">
        <f t="shared" si="8"/>
        <v/>
      </c>
      <c r="U144" s="23">
        <f t="shared" si="9"/>
        <v>0</v>
      </c>
      <c r="V144" s="23" t="s">
        <v>4271</v>
      </c>
      <c r="W144" s="23" t="s">
        <v>4272</v>
      </c>
      <c r="X144" s="23" t="s">
        <v>3897</v>
      </c>
      <c r="Y144" s="23" t="s">
        <v>3660</v>
      </c>
    </row>
    <row r="145" spans="1:25" ht="43.5" customHeight="1" x14ac:dyDescent="0.2">
      <c r="A145" s="25" t="s">
        <v>4289</v>
      </c>
      <c r="B145" s="25" t="s">
        <v>222</v>
      </c>
      <c r="C145" s="25" t="s">
        <v>3632</v>
      </c>
      <c r="D145" s="25" t="s">
        <v>3595</v>
      </c>
      <c r="E145" s="25" t="s">
        <v>223</v>
      </c>
      <c r="F145" s="25" t="s">
        <v>4290</v>
      </c>
      <c r="G145" s="25" t="s">
        <v>3598</v>
      </c>
      <c r="H145" s="25" t="s">
        <v>3970</v>
      </c>
      <c r="I145" s="25"/>
      <c r="J145" s="25" t="s">
        <v>3600</v>
      </c>
      <c r="K145" s="25" t="s">
        <v>4291</v>
      </c>
      <c r="L145" s="25" t="s">
        <v>3642</v>
      </c>
      <c r="M145" s="25" t="s">
        <v>4292</v>
      </c>
      <c r="N145" s="25">
        <v>0</v>
      </c>
      <c r="O145" s="25" t="s">
        <v>4293</v>
      </c>
      <c r="P145" s="25"/>
      <c r="Q145" s="25"/>
      <c r="R145" s="25"/>
      <c r="S145" s="25"/>
      <c r="T145" s="25" t="str">
        <f t="shared" si="8"/>
        <v/>
      </c>
      <c r="U145" s="25">
        <f t="shared" si="9"/>
        <v>0</v>
      </c>
      <c r="V145" s="25" t="s">
        <v>4294</v>
      </c>
      <c r="W145" s="25" t="s">
        <v>3300</v>
      </c>
      <c r="X145" s="25" t="s">
        <v>1008</v>
      </c>
      <c r="Y145" s="25"/>
    </row>
    <row r="146" spans="1:25" ht="29" customHeight="1" x14ac:dyDescent="0.2">
      <c r="A146" s="23" t="s">
        <v>4295</v>
      </c>
      <c r="B146" s="23" t="s">
        <v>222</v>
      </c>
      <c r="C146" s="23" t="s">
        <v>3640</v>
      </c>
      <c r="D146" s="23" t="s">
        <v>3595</v>
      </c>
      <c r="E146" s="23" t="s">
        <v>2795</v>
      </c>
      <c r="F146" s="23"/>
      <c r="G146" s="23" t="s">
        <v>1160</v>
      </c>
      <c r="H146" s="23" t="s">
        <v>3977</v>
      </c>
      <c r="I146" s="23"/>
      <c r="J146" s="23" t="s">
        <v>3600</v>
      </c>
      <c r="K146" s="23" t="s">
        <v>3995</v>
      </c>
      <c r="L146" s="23" t="s">
        <v>3611</v>
      </c>
      <c r="M146" s="23" t="s">
        <v>4296</v>
      </c>
      <c r="N146" s="23">
        <v>1</v>
      </c>
      <c r="O146" s="23" t="s">
        <v>4297</v>
      </c>
      <c r="P146" s="23"/>
      <c r="Q146" s="23"/>
      <c r="R146" s="23"/>
      <c r="S146" s="23"/>
      <c r="T146" s="23" t="str">
        <f t="shared" si="8"/>
        <v/>
      </c>
      <c r="U146" s="23">
        <f t="shared" si="9"/>
        <v>0</v>
      </c>
      <c r="V146" s="23" t="s">
        <v>4294</v>
      </c>
      <c r="W146" s="23" t="s">
        <v>3300</v>
      </c>
      <c r="X146" s="23" t="s">
        <v>1008</v>
      </c>
      <c r="Y146" s="23" t="s">
        <v>4298</v>
      </c>
    </row>
    <row r="147" spans="1:25" ht="29" customHeight="1" x14ac:dyDescent="0.2">
      <c r="A147" s="25" t="s">
        <v>4299</v>
      </c>
      <c r="B147" s="25" t="s">
        <v>222</v>
      </c>
      <c r="C147" s="25" t="s">
        <v>3640</v>
      </c>
      <c r="D147" s="25" t="s">
        <v>3595</v>
      </c>
      <c r="E147" s="25" t="s">
        <v>4300</v>
      </c>
      <c r="F147" s="25"/>
      <c r="G147" s="25" t="s">
        <v>1160</v>
      </c>
      <c r="H147" s="25" t="s">
        <v>3977</v>
      </c>
      <c r="I147" s="25"/>
      <c r="J147" s="25" t="s">
        <v>3600</v>
      </c>
      <c r="K147" s="25" t="s">
        <v>4301</v>
      </c>
      <c r="L147" s="25" t="s">
        <v>3616</v>
      </c>
      <c r="M147" s="25" t="s">
        <v>4301</v>
      </c>
      <c r="N147" s="25">
        <v>1</v>
      </c>
      <c r="O147" s="25" t="s">
        <v>4302</v>
      </c>
      <c r="P147" s="25"/>
      <c r="Q147" s="25"/>
      <c r="R147" s="25"/>
      <c r="S147" s="25"/>
      <c r="T147" s="25" t="str">
        <f t="shared" si="8"/>
        <v/>
      </c>
      <c r="U147" s="25">
        <f t="shared" si="9"/>
        <v>0</v>
      </c>
      <c r="V147" s="25" t="s">
        <v>4294</v>
      </c>
      <c r="W147" s="25" t="s">
        <v>3300</v>
      </c>
      <c r="X147" s="25" t="s">
        <v>1008</v>
      </c>
      <c r="Y147" s="25"/>
    </row>
    <row r="148" spans="1:25" ht="29" customHeight="1" x14ac:dyDescent="0.2">
      <c r="A148" s="23" t="s">
        <v>4303</v>
      </c>
      <c r="B148" s="23" t="s">
        <v>222</v>
      </c>
      <c r="C148" s="23" t="s">
        <v>3656</v>
      </c>
      <c r="D148" s="23" t="s">
        <v>3624</v>
      </c>
      <c r="E148" s="23" t="s">
        <v>4304</v>
      </c>
      <c r="F148" s="23"/>
      <c r="G148" s="23" t="s">
        <v>1160</v>
      </c>
      <c r="H148" s="23" t="s">
        <v>3977</v>
      </c>
      <c r="I148" s="23"/>
      <c r="J148" s="23" t="s">
        <v>3600</v>
      </c>
      <c r="K148" s="23" t="s">
        <v>3995</v>
      </c>
      <c r="L148" s="23" t="s">
        <v>3611</v>
      </c>
      <c r="M148" s="23" t="s">
        <v>3995</v>
      </c>
      <c r="N148" s="23">
        <v>1</v>
      </c>
      <c r="O148" s="23" t="s">
        <v>4305</v>
      </c>
      <c r="P148" s="23"/>
      <c r="Q148" s="23"/>
      <c r="R148" s="23"/>
      <c r="S148" s="23"/>
      <c r="T148" s="23" t="str">
        <f t="shared" si="8"/>
        <v/>
      </c>
      <c r="U148" s="23">
        <f t="shared" si="9"/>
        <v>0</v>
      </c>
      <c r="V148" s="23" t="s">
        <v>4294</v>
      </c>
      <c r="W148" s="23" t="s">
        <v>3300</v>
      </c>
      <c r="X148" s="23" t="s">
        <v>1008</v>
      </c>
      <c r="Y148" s="23" t="s">
        <v>3660</v>
      </c>
    </row>
  </sheetData>
  <mergeCells count="2">
    <mergeCell ref="A2:Y2"/>
    <mergeCell ref="A1:Y1"/>
  </mergeCells>
  <pageMargins left="0.75" right="0.75" top="1" bottom="1" header="0.5" footer="0.5"/>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rgb="FF548235"/>
  </sheetPr>
  <dimension ref="A1:AP33"/>
  <sheetViews>
    <sheetView showGridLines="0" rightToLeft="1" workbookViewId="0">
      <pane xSplit="1" ySplit="3" topLeftCell="B4" activePane="bottomRight" state="frozen"/>
      <selection pane="topRight"/>
      <selection pane="bottomLeft"/>
      <selection pane="bottomRight"/>
    </sheetView>
  </sheetViews>
  <sheetFormatPr baseColWidth="10" defaultColWidth="8.83203125" defaultRowHeight="15" x14ac:dyDescent="0.2"/>
  <cols>
    <col min="1" max="1" width="10" customWidth="1"/>
    <col min="2" max="2" width="24" customWidth="1"/>
    <col min="3" max="3" width="26" customWidth="1"/>
    <col min="4" max="4" width="12" customWidth="1"/>
    <col min="5" max="5" width="30" customWidth="1"/>
    <col min="6" max="6" width="14" customWidth="1"/>
    <col min="7" max="8" width="9" customWidth="1"/>
    <col min="9" max="9" width="40" customWidth="1"/>
    <col min="10" max="10" width="14" customWidth="1"/>
    <col min="11" max="11" width="10" customWidth="1"/>
    <col min="12" max="13" width="8" customWidth="1"/>
    <col min="14" max="14" width="9" customWidth="1"/>
    <col min="15" max="15" width="10" customWidth="1"/>
    <col min="16" max="19" width="9" customWidth="1"/>
    <col min="20" max="20" width="16" customWidth="1"/>
    <col min="21" max="21" width="11" customWidth="1"/>
    <col min="22" max="22" width="14" customWidth="1"/>
    <col min="23" max="25" width="9" customWidth="1"/>
    <col min="26" max="26" width="16" customWidth="1"/>
    <col min="27" max="27" width="9" customWidth="1"/>
    <col min="28" max="28" width="14" customWidth="1"/>
    <col min="29" max="29" width="12" customWidth="1"/>
    <col min="30" max="30" width="9" customWidth="1"/>
    <col min="31" max="31" width="18" customWidth="1"/>
    <col min="32" max="32" width="9" customWidth="1"/>
    <col min="33" max="33" width="22" customWidth="1"/>
    <col min="34" max="34" width="8" customWidth="1"/>
    <col min="35" max="37" width="10" customWidth="1"/>
    <col min="38" max="38" width="11" customWidth="1"/>
    <col min="39" max="39" width="16" customWidth="1"/>
    <col min="40" max="41" width="22" customWidth="1"/>
    <col min="42" max="42" width="50" customWidth="1"/>
  </cols>
  <sheetData>
    <row r="1" spans="1:42" ht="30" customHeight="1" x14ac:dyDescent="0.2">
      <c r="A1" s="87" t="s">
        <v>4306</v>
      </c>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c r="AF1" s="76"/>
      <c r="AG1" s="76"/>
      <c r="AH1" s="76"/>
      <c r="AI1" s="76"/>
      <c r="AJ1" s="76"/>
      <c r="AK1" s="76"/>
      <c r="AL1" s="76"/>
      <c r="AM1" s="76"/>
      <c r="AN1" s="76"/>
      <c r="AO1" s="76"/>
      <c r="AP1" s="76"/>
    </row>
    <row r="2" spans="1:42" ht="22" customHeight="1" x14ac:dyDescent="0.2">
      <c r="A2" s="85" t="s">
        <v>4307</v>
      </c>
      <c r="B2" s="76"/>
      <c r="C2" s="76"/>
      <c r="D2" s="76"/>
      <c r="E2" s="76"/>
      <c r="F2" s="76"/>
      <c r="G2" s="76"/>
      <c r="H2" s="76"/>
      <c r="I2" s="76"/>
      <c r="J2" s="76"/>
      <c r="K2" s="76"/>
      <c r="L2" s="76"/>
      <c r="M2" s="76"/>
      <c r="N2" s="76"/>
      <c r="O2" s="76"/>
      <c r="P2" s="76"/>
      <c r="Q2" s="76"/>
      <c r="R2" s="76"/>
      <c r="S2" s="76"/>
      <c r="T2" s="76"/>
      <c r="U2" s="76"/>
      <c r="V2" s="76"/>
      <c r="W2" s="76"/>
      <c r="X2" s="76"/>
      <c r="Y2" s="76"/>
      <c r="Z2" s="76"/>
      <c r="AA2" s="76"/>
      <c r="AB2" s="76"/>
      <c r="AC2" s="76"/>
      <c r="AD2" s="76"/>
      <c r="AE2" s="76"/>
      <c r="AF2" s="76"/>
      <c r="AG2" s="76"/>
      <c r="AH2" s="76"/>
      <c r="AI2" s="76"/>
      <c r="AJ2" s="76"/>
      <c r="AK2" s="76"/>
      <c r="AL2" s="76"/>
      <c r="AM2" s="76"/>
      <c r="AN2" s="76"/>
      <c r="AO2" s="76"/>
      <c r="AP2" s="76"/>
    </row>
    <row r="3" spans="1:42" ht="56" customHeight="1" x14ac:dyDescent="0.2">
      <c r="A3" s="24" t="s">
        <v>94</v>
      </c>
      <c r="B3" s="24" t="s">
        <v>814</v>
      </c>
      <c r="C3" s="24" t="s">
        <v>4308</v>
      </c>
      <c r="D3" s="24" t="s">
        <v>4309</v>
      </c>
      <c r="E3" s="24" t="s">
        <v>4310</v>
      </c>
      <c r="F3" s="24" t="s">
        <v>4311</v>
      </c>
      <c r="G3" s="24" t="s">
        <v>4312</v>
      </c>
      <c r="H3" s="24" t="s">
        <v>4313</v>
      </c>
      <c r="I3" s="24" t="s">
        <v>4314</v>
      </c>
      <c r="J3" s="24" t="s">
        <v>4315</v>
      </c>
      <c r="K3" s="24" t="s">
        <v>4316</v>
      </c>
      <c r="L3" s="24" t="s">
        <v>4317</v>
      </c>
      <c r="M3" s="24" t="s">
        <v>4318</v>
      </c>
      <c r="N3" s="24" t="s">
        <v>4319</v>
      </c>
      <c r="O3" s="24" t="s">
        <v>4320</v>
      </c>
      <c r="P3" s="24" t="s">
        <v>4321</v>
      </c>
      <c r="Q3" s="24" t="s">
        <v>4322</v>
      </c>
      <c r="R3" s="24" t="s">
        <v>4323</v>
      </c>
      <c r="S3" s="24" t="s">
        <v>4324</v>
      </c>
      <c r="T3" s="24" t="s">
        <v>4325</v>
      </c>
      <c r="U3" s="24" t="s">
        <v>4326</v>
      </c>
      <c r="V3" s="24" t="s">
        <v>4327</v>
      </c>
      <c r="W3" s="24" t="s">
        <v>4328</v>
      </c>
      <c r="X3" s="24" t="s">
        <v>4329</v>
      </c>
      <c r="Y3" s="24" t="s">
        <v>4330</v>
      </c>
      <c r="Z3" s="24" t="s">
        <v>4331</v>
      </c>
      <c r="AA3" s="24" t="s">
        <v>4332</v>
      </c>
      <c r="AB3" s="24" t="s">
        <v>4333</v>
      </c>
      <c r="AC3" s="24" t="s">
        <v>4334</v>
      </c>
      <c r="AD3" s="24" t="s">
        <v>4335</v>
      </c>
      <c r="AE3" s="24" t="s">
        <v>4336</v>
      </c>
      <c r="AF3" s="24" t="s">
        <v>4337</v>
      </c>
      <c r="AG3" s="24" t="s">
        <v>4338</v>
      </c>
      <c r="AH3" s="24" t="s">
        <v>4339</v>
      </c>
      <c r="AI3" s="24" t="s">
        <v>4340</v>
      </c>
      <c r="AJ3" s="24" t="s">
        <v>4341</v>
      </c>
      <c r="AK3" s="24" t="s">
        <v>4342</v>
      </c>
      <c r="AL3" s="24" t="s">
        <v>4343</v>
      </c>
      <c r="AM3" s="24" t="s">
        <v>4344</v>
      </c>
      <c r="AN3" s="24" t="s">
        <v>4345</v>
      </c>
      <c r="AO3" s="24" t="s">
        <v>4346</v>
      </c>
      <c r="AP3" s="24" t="s">
        <v>4347</v>
      </c>
    </row>
    <row r="4" spans="1:42" ht="29" customHeight="1" x14ac:dyDescent="0.2">
      <c r="A4" s="23" t="s">
        <v>109</v>
      </c>
      <c r="B4" s="23" t="s">
        <v>4348</v>
      </c>
      <c r="C4" s="23" t="s">
        <v>4349</v>
      </c>
      <c r="D4" s="23" t="s">
        <v>1859</v>
      </c>
      <c r="E4" s="23" t="s">
        <v>4350</v>
      </c>
      <c r="F4" s="23" t="s">
        <v>1008</v>
      </c>
      <c r="G4" s="23">
        <f t="shared" ref="G4:G33" si="0">IF(F4="تاییدشده",1,"")</f>
        <v>1</v>
      </c>
      <c r="H4" s="23">
        <v>5</v>
      </c>
      <c r="I4" s="23" t="s">
        <v>4351</v>
      </c>
      <c r="J4" s="23" t="s">
        <v>1008</v>
      </c>
      <c r="K4" s="23">
        <f>COUNTIFS('AC Members v40'!$B$4:$B$148,$A4,'AC Members v40'!$D$4:$D$148,"MEMBER")</f>
        <v>5</v>
      </c>
      <c r="L4" s="23">
        <f>COUNTIFS('AC Members v40'!$B$4:$B$148,$A4,'AC Members v40'!$D$4:$D$148,"SECRETARY")</f>
        <v>1</v>
      </c>
      <c r="M4" s="23">
        <f>COUNTIFS('AC Members v40'!$B$4:$B$148,$A4,'AC Members v40'!$D$4:$D$148,"FORMER")</f>
        <v>0</v>
      </c>
      <c r="N4" s="23">
        <f>COUNTIFS('AC Members v40'!$B$4:$B$148,$A4,'AC Members v40'!$D$4:$D$148,"POST_ASOF")</f>
        <v>0</v>
      </c>
      <c r="O4" s="23">
        <f t="shared" ref="O4:O33" si="1">IF(AND(J4="تاییدشده",K4&gt;0),K4,"")</f>
        <v>5</v>
      </c>
      <c r="P4" s="23">
        <f t="shared" ref="P4:P33" si="2">IF(AND(ISNUMBER(H4),ISNUMBER(K4)),H4-K4,"")</f>
        <v>0</v>
      </c>
      <c r="Q4" s="23">
        <f>COUNTIFS('AC Members v40'!$B$4:$B$148,$A4,'AC Members v40'!$D$4:$D$148,"MEMBER",'AC Members v40'!$J$4:$J$148,"Y")</f>
        <v>0</v>
      </c>
      <c r="R4" s="23">
        <f>COUNTIFS('AC Members v40'!$B$4:$B$148,$A4,'AC Members v40'!$D$4:$D$148,"MEMBER",'AC Members v40'!$J$4:$J$148,"N")</f>
        <v>0</v>
      </c>
      <c r="S4" s="23">
        <f>COUNTIFS('AC Members v40'!$B$4:$B$148,$A4,'AC Members v40'!$D$4:$D$148,"MEMBER",'AC Members v40'!$J$4:$J$148,"U")</f>
        <v>5</v>
      </c>
      <c r="T4" s="23" t="s">
        <v>4352</v>
      </c>
      <c r="U4" s="67" t="str">
        <f t="shared" ref="U4:U33" si="3">IF(AND(J4="تاییدشده",K4&gt;0,S4=0),Q4/K4,"")</f>
        <v/>
      </c>
      <c r="V4" s="67" t="str">
        <f t="shared" ref="V4:V33" si="4">IF(Q4+R4&gt;0,Q4/(Q4+R4),"")</f>
        <v/>
      </c>
      <c r="W4" s="23">
        <f>COUNTIFS('AC Members v40'!$B$4:$B$148,$A4,'AC Members v40'!$D$4:$D$148,"MEMBER",'AC Members v40'!$N$4:$N$148,1)</f>
        <v>4</v>
      </c>
      <c r="X4" s="23">
        <f t="shared" ref="X4:X33" si="5">K4-W4</f>
        <v>1</v>
      </c>
      <c r="Y4" s="23">
        <f>COUNTIFS('AC Members v40'!$B$4:$B$148,$A4,'AC Members v40'!$D$4:$D$148,"MEMBER",'AC Members v40'!$L$4:$L$148,"UNK",'AC Members v40'!$N$4:$N$148,0)</f>
        <v>0</v>
      </c>
      <c r="Z4" s="23" t="s">
        <v>1008</v>
      </c>
      <c r="AA4" s="23">
        <f t="shared" ref="AA4:AA33" si="6">IF(W4&gt;=1,1,"")</f>
        <v>1</v>
      </c>
      <c r="AB4" s="23" t="str">
        <f t="shared" ref="AB4:AB33" si="7">IF(AND(J4="تاییدشده",K4&gt;0,Y4=0),"کامل","ناقص (حد پایین)")</f>
        <v>کامل</v>
      </c>
      <c r="AC4" s="67">
        <f t="shared" ref="AC4:AC33" si="8">IF(AND(J4="تاییدشده",K4&gt;0,OR(W4&gt;=1,Y4=0)),W4/K4,"")</f>
        <v>0.8</v>
      </c>
      <c r="AD4" s="23">
        <v>14</v>
      </c>
      <c r="AE4" s="23" t="s">
        <v>1008</v>
      </c>
      <c r="AF4" s="23">
        <f t="shared" ref="AF4:AF33" si="9">IF(AND(ISNUMBER(AD4),OR(AE4="تاییدشده",AE4="تاییدشده با هشدار")),AD4,"")</f>
        <v>14</v>
      </c>
      <c r="AG4" s="23" t="s">
        <v>4353</v>
      </c>
      <c r="AH4" s="23">
        <v>12</v>
      </c>
      <c r="AI4" s="23">
        <f>SUMIFS('AC Members v40'!$Q$4:$Q$148,'AC Members v40'!$B$4:$B$148,$A4,'AC Members v40'!$U$4:$U$148,1)</f>
        <v>0</v>
      </c>
      <c r="AJ4" s="23">
        <f>SUMIFS('AC Members v40'!$R$4:$R$148,'AC Members v40'!$B$4:$B$148,$A4,'AC Members v40'!$U$4:$U$148,1)</f>
        <v>0</v>
      </c>
      <c r="AK4" s="23">
        <f>COUNTIFS('AC Members v40'!$B$4:$B$148,$A4,'AC Members v40'!$U$4:$U$148,1)</f>
        <v>0</v>
      </c>
      <c r="AL4" s="67" t="str">
        <f t="shared" ref="AL4:AL33" si="10">IF(K4=0,"",IF(AND(AJ4&gt;0,AK4&gt;=2,AK4/K4&gt;=0.5),AI4/AJ4,""))</f>
        <v/>
      </c>
      <c r="AM4" s="23" t="s">
        <v>4352</v>
      </c>
      <c r="AN4" s="23" t="s">
        <v>3596</v>
      </c>
      <c r="AO4" s="23" t="s">
        <v>3605</v>
      </c>
      <c r="AP4" s="23" t="s">
        <v>4354</v>
      </c>
    </row>
    <row r="5" spans="1:42" ht="43.5" customHeight="1" x14ac:dyDescent="0.2">
      <c r="A5" s="25" t="s">
        <v>117</v>
      </c>
      <c r="B5" s="25" t="s">
        <v>4355</v>
      </c>
      <c r="C5" s="25" t="s">
        <v>4356</v>
      </c>
      <c r="D5" s="25" t="s">
        <v>4357</v>
      </c>
      <c r="E5" s="25" t="s">
        <v>4358</v>
      </c>
      <c r="F5" s="25" t="s">
        <v>1008</v>
      </c>
      <c r="G5" s="25">
        <f t="shared" si="0"/>
        <v>1</v>
      </c>
      <c r="H5" s="25"/>
      <c r="I5" s="25"/>
      <c r="J5" s="25" t="s">
        <v>1008</v>
      </c>
      <c r="K5" s="25">
        <f>COUNTIFS('AC Members v40'!$B$4:$B$148,$A5,'AC Members v40'!$D$4:$D$148,"MEMBER")</f>
        <v>5</v>
      </c>
      <c r="L5" s="25">
        <f>COUNTIFS('AC Members v40'!$B$4:$B$148,$A5,'AC Members v40'!$D$4:$D$148,"SECRETARY")</f>
        <v>1</v>
      </c>
      <c r="M5" s="25">
        <f>COUNTIFS('AC Members v40'!$B$4:$B$148,$A5,'AC Members v40'!$D$4:$D$148,"FORMER")</f>
        <v>5</v>
      </c>
      <c r="N5" s="25">
        <f>COUNTIFS('AC Members v40'!$B$4:$B$148,$A5,'AC Members v40'!$D$4:$D$148,"POST_ASOF")</f>
        <v>0</v>
      </c>
      <c r="O5" s="25">
        <f t="shared" si="1"/>
        <v>5</v>
      </c>
      <c r="P5" s="25" t="str">
        <f t="shared" si="2"/>
        <v/>
      </c>
      <c r="Q5" s="25">
        <f>COUNTIFS('AC Members v40'!$B$4:$B$148,$A5,'AC Members v40'!$D$4:$D$148,"MEMBER",'AC Members v40'!$J$4:$J$148,"Y")</f>
        <v>0</v>
      </c>
      <c r="R5" s="25">
        <f>COUNTIFS('AC Members v40'!$B$4:$B$148,$A5,'AC Members v40'!$D$4:$D$148,"MEMBER",'AC Members v40'!$J$4:$J$148,"N")</f>
        <v>0</v>
      </c>
      <c r="S5" s="25">
        <f>COUNTIFS('AC Members v40'!$B$4:$B$148,$A5,'AC Members v40'!$D$4:$D$148,"MEMBER",'AC Members v40'!$J$4:$J$148,"U")</f>
        <v>5</v>
      </c>
      <c r="T5" s="25" t="s">
        <v>4352</v>
      </c>
      <c r="U5" s="68" t="str">
        <f t="shared" si="3"/>
        <v/>
      </c>
      <c r="V5" s="68" t="str">
        <f t="shared" si="4"/>
        <v/>
      </c>
      <c r="W5" s="25">
        <f>COUNTIFS('AC Members v40'!$B$4:$B$148,$A5,'AC Members v40'!$D$4:$D$148,"MEMBER",'AC Members v40'!$N$4:$N$148,1)</f>
        <v>1</v>
      </c>
      <c r="X5" s="25">
        <f t="shared" si="5"/>
        <v>4</v>
      </c>
      <c r="Y5" s="25">
        <f>COUNTIFS('AC Members v40'!$B$4:$B$148,$A5,'AC Members v40'!$D$4:$D$148,"MEMBER",'AC Members v40'!$L$4:$L$148,"UNK",'AC Members v40'!$N$4:$N$148,0)</f>
        <v>3</v>
      </c>
      <c r="Z5" s="25" t="s">
        <v>1008</v>
      </c>
      <c r="AA5" s="25">
        <f t="shared" si="6"/>
        <v>1</v>
      </c>
      <c r="AB5" s="25" t="str">
        <f t="shared" si="7"/>
        <v>ناقص (حد پایین)</v>
      </c>
      <c r="AC5" s="68">
        <f t="shared" si="8"/>
        <v>0.2</v>
      </c>
      <c r="AD5" s="25">
        <v>19</v>
      </c>
      <c r="AE5" s="25" t="s">
        <v>4359</v>
      </c>
      <c r="AF5" s="25">
        <f t="shared" si="9"/>
        <v>19</v>
      </c>
      <c r="AG5" s="25" t="s">
        <v>4360</v>
      </c>
      <c r="AH5" s="25">
        <v>12</v>
      </c>
      <c r="AI5" s="25">
        <f>SUMIFS('AC Members v40'!$Q$4:$Q$148,'AC Members v40'!$B$4:$B$148,$A5,'AC Members v40'!$U$4:$U$148,1)</f>
        <v>0</v>
      </c>
      <c r="AJ5" s="25">
        <f>SUMIFS('AC Members v40'!$R$4:$R$148,'AC Members v40'!$B$4:$B$148,$A5,'AC Members v40'!$U$4:$U$148,1)</f>
        <v>0</v>
      </c>
      <c r="AK5" s="25">
        <f>COUNTIFS('AC Members v40'!$B$4:$B$148,$A5,'AC Members v40'!$U$4:$U$148,1)</f>
        <v>0</v>
      </c>
      <c r="AL5" s="68" t="str">
        <f t="shared" si="10"/>
        <v/>
      </c>
      <c r="AM5" s="25" t="s">
        <v>3897</v>
      </c>
      <c r="AN5" s="25" t="s">
        <v>121</v>
      </c>
      <c r="AO5" s="25" t="s">
        <v>3637</v>
      </c>
      <c r="AP5" s="25" t="s">
        <v>4361</v>
      </c>
    </row>
    <row r="6" spans="1:42" ht="58" customHeight="1" x14ac:dyDescent="0.2">
      <c r="A6" s="23" t="s">
        <v>126</v>
      </c>
      <c r="B6" s="23" t="s">
        <v>4362</v>
      </c>
      <c r="C6" s="23" t="s">
        <v>4363</v>
      </c>
      <c r="D6" s="23" t="s">
        <v>4364</v>
      </c>
      <c r="E6" s="23" t="s">
        <v>4365</v>
      </c>
      <c r="F6" s="23" t="s">
        <v>1008</v>
      </c>
      <c r="G6" s="23">
        <f t="shared" si="0"/>
        <v>1</v>
      </c>
      <c r="H6" s="23">
        <v>3</v>
      </c>
      <c r="I6" s="23" t="s">
        <v>4366</v>
      </c>
      <c r="J6" s="23" t="s">
        <v>1008</v>
      </c>
      <c r="K6" s="23">
        <f>COUNTIFS('AC Members v40'!$B$4:$B$148,$A6,'AC Members v40'!$D$4:$D$148,"MEMBER")</f>
        <v>3</v>
      </c>
      <c r="L6" s="23">
        <f>COUNTIFS('AC Members v40'!$B$4:$B$148,$A6,'AC Members v40'!$D$4:$D$148,"SECRETARY")</f>
        <v>0</v>
      </c>
      <c r="M6" s="23">
        <f>COUNTIFS('AC Members v40'!$B$4:$B$148,$A6,'AC Members v40'!$D$4:$D$148,"FORMER")</f>
        <v>0</v>
      </c>
      <c r="N6" s="23">
        <f>COUNTIFS('AC Members v40'!$B$4:$B$148,$A6,'AC Members v40'!$D$4:$D$148,"POST_ASOF")</f>
        <v>0</v>
      </c>
      <c r="O6" s="23">
        <f t="shared" si="1"/>
        <v>3</v>
      </c>
      <c r="P6" s="23">
        <f t="shared" si="2"/>
        <v>0</v>
      </c>
      <c r="Q6" s="23">
        <f>COUNTIFS('AC Members v40'!$B$4:$B$148,$A6,'AC Members v40'!$D$4:$D$148,"MEMBER",'AC Members v40'!$J$4:$J$148,"Y")</f>
        <v>3</v>
      </c>
      <c r="R6" s="23">
        <f>COUNTIFS('AC Members v40'!$B$4:$B$148,$A6,'AC Members v40'!$D$4:$D$148,"MEMBER",'AC Members v40'!$J$4:$J$148,"N")</f>
        <v>0</v>
      </c>
      <c r="S6" s="23">
        <f>COUNTIFS('AC Members v40'!$B$4:$B$148,$A6,'AC Members v40'!$D$4:$D$148,"MEMBER",'AC Members v40'!$J$4:$J$148,"U")</f>
        <v>0</v>
      </c>
      <c r="T6" s="23" t="s">
        <v>1008</v>
      </c>
      <c r="U6" s="67">
        <f t="shared" si="3"/>
        <v>1</v>
      </c>
      <c r="V6" s="67">
        <f t="shared" si="4"/>
        <v>1</v>
      </c>
      <c r="W6" s="23">
        <f>COUNTIFS('AC Members v40'!$B$4:$B$148,$A6,'AC Members v40'!$D$4:$D$148,"MEMBER",'AC Members v40'!$N$4:$N$148,1)</f>
        <v>2</v>
      </c>
      <c r="X6" s="23">
        <f t="shared" si="5"/>
        <v>1</v>
      </c>
      <c r="Y6" s="23">
        <f>COUNTIFS('AC Members v40'!$B$4:$B$148,$A6,'AC Members v40'!$D$4:$D$148,"MEMBER",'AC Members v40'!$L$4:$L$148,"UNK",'AC Members v40'!$N$4:$N$148,0)</f>
        <v>0</v>
      </c>
      <c r="Z6" s="23" t="s">
        <v>1008</v>
      </c>
      <c r="AA6" s="23">
        <f t="shared" si="6"/>
        <v>1</v>
      </c>
      <c r="AB6" s="23" t="str">
        <f t="shared" si="7"/>
        <v>کامل</v>
      </c>
      <c r="AC6" s="67">
        <f t="shared" si="8"/>
        <v>0.66666666666666663</v>
      </c>
      <c r="AD6" s="23">
        <v>14</v>
      </c>
      <c r="AE6" s="23" t="s">
        <v>1008</v>
      </c>
      <c r="AF6" s="23">
        <f t="shared" si="9"/>
        <v>14</v>
      </c>
      <c r="AG6" s="23" t="s">
        <v>4367</v>
      </c>
      <c r="AH6" s="23">
        <v>12</v>
      </c>
      <c r="AI6" s="23">
        <f>SUMIFS('AC Members v40'!$Q$4:$Q$148,'AC Members v40'!$B$4:$B$148,$A6,'AC Members v40'!$U$4:$U$148,1)</f>
        <v>28</v>
      </c>
      <c r="AJ6" s="23">
        <f>SUMIFS('AC Members v40'!$R$4:$R$148,'AC Members v40'!$B$4:$B$148,$A6,'AC Members v40'!$U$4:$U$148,1)</f>
        <v>28</v>
      </c>
      <c r="AK6" s="23">
        <f>COUNTIFS('AC Members v40'!$B$4:$B$148,$A6,'AC Members v40'!$U$4:$U$148,1)</f>
        <v>2</v>
      </c>
      <c r="AL6" s="67">
        <f t="shared" si="10"/>
        <v>1</v>
      </c>
      <c r="AM6" s="23" t="s">
        <v>3897</v>
      </c>
      <c r="AN6" s="23" t="s">
        <v>3683</v>
      </c>
      <c r="AO6" s="23" t="s">
        <v>3688</v>
      </c>
      <c r="AP6" s="23" t="s">
        <v>4368</v>
      </c>
    </row>
    <row r="7" spans="1:42" ht="29" customHeight="1" x14ac:dyDescent="0.2">
      <c r="A7" s="25" t="s">
        <v>131</v>
      </c>
      <c r="B7" s="25" t="s">
        <v>4369</v>
      </c>
      <c r="C7" s="25" t="s">
        <v>4349</v>
      </c>
      <c r="D7" s="25" t="s">
        <v>1859</v>
      </c>
      <c r="E7" s="25" t="s">
        <v>4350</v>
      </c>
      <c r="F7" s="25" t="s">
        <v>1008</v>
      </c>
      <c r="G7" s="25">
        <f t="shared" si="0"/>
        <v>1</v>
      </c>
      <c r="H7" s="25"/>
      <c r="I7" s="25" t="s">
        <v>4370</v>
      </c>
      <c r="J7" s="25" t="s">
        <v>1008</v>
      </c>
      <c r="K7" s="25">
        <f>COUNTIFS('AC Members v40'!$B$4:$B$148,$A7,'AC Members v40'!$D$4:$D$148,"MEMBER")</f>
        <v>3</v>
      </c>
      <c r="L7" s="25">
        <f>COUNTIFS('AC Members v40'!$B$4:$B$148,$A7,'AC Members v40'!$D$4:$D$148,"SECRETARY")</f>
        <v>0</v>
      </c>
      <c r="M7" s="25">
        <f>COUNTIFS('AC Members v40'!$B$4:$B$148,$A7,'AC Members v40'!$D$4:$D$148,"FORMER")</f>
        <v>0</v>
      </c>
      <c r="N7" s="25">
        <f>COUNTIFS('AC Members v40'!$B$4:$B$148,$A7,'AC Members v40'!$D$4:$D$148,"POST_ASOF")</f>
        <v>0</v>
      </c>
      <c r="O7" s="25">
        <f t="shared" si="1"/>
        <v>3</v>
      </c>
      <c r="P7" s="25" t="str">
        <f t="shared" si="2"/>
        <v/>
      </c>
      <c r="Q7" s="25">
        <f>COUNTIFS('AC Members v40'!$B$4:$B$148,$A7,'AC Members v40'!$D$4:$D$148,"MEMBER",'AC Members v40'!$J$4:$J$148,"Y")</f>
        <v>0</v>
      </c>
      <c r="R7" s="25">
        <f>COUNTIFS('AC Members v40'!$B$4:$B$148,$A7,'AC Members v40'!$D$4:$D$148,"MEMBER",'AC Members v40'!$J$4:$J$148,"N")</f>
        <v>0</v>
      </c>
      <c r="S7" s="25">
        <f>COUNTIFS('AC Members v40'!$B$4:$B$148,$A7,'AC Members v40'!$D$4:$D$148,"MEMBER",'AC Members v40'!$J$4:$J$148,"U")</f>
        <v>3</v>
      </c>
      <c r="T7" s="25" t="s">
        <v>4352</v>
      </c>
      <c r="U7" s="68" t="str">
        <f t="shared" si="3"/>
        <v/>
      </c>
      <c r="V7" s="68" t="str">
        <f t="shared" si="4"/>
        <v/>
      </c>
      <c r="W7" s="25">
        <f>COUNTIFS('AC Members v40'!$B$4:$B$148,$A7,'AC Members v40'!$D$4:$D$148,"MEMBER",'AC Members v40'!$N$4:$N$148,1)</f>
        <v>3</v>
      </c>
      <c r="X7" s="25">
        <f t="shared" si="5"/>
        <v>0</v>
      </c>
      <c r="Y7" s="25">
        <f>COUNTIFS('AC Members v40'!$B$4:$B$148,$A7,'AC Members v40'!$D$4:$D$148,"MEMBER",'AC Members v40'!$L$4:$L$148,"UNK",'AC Members v40'!$N$4:$N$148,0)</f>
        <v>0</v>
      </c>
      <c r="Z7" s="25" t="s">
        <v>1008</v>
      </c>
      <c r="AA7" s="25">
        <f t="shared" si="6"/>
        <v>1</v>
      </c>
      <c r="AB7" s="25" t="str">
        <f t="shared" si="7"/>
        <v>کامل</v>
      </c>
      <c r="AC7" s="68">
        <f t="shared" si="8"/>
        <v>1</v>
      </c>
      <c r="AD7" s="25"/>
      <c r="AE7" s="25" t="s">
        <v>4352</v>
      </c>
      <c r="AF7" s="25" t="str">
        <f t="shared" si="9"/>
        <v/>
      </c>
      <c r="AG7" s="25"/>
      <c r="AH7" s="25"/>
      <c r="AI7" s="25">
        <f>SUMIFS('AC Members v40'!$Q$4:$Q$148,'AC Members v40'!$B$4:$B$148,$A7,'AC Members v40'!$U$4:$U$148,1)</f>
        <v>0</v>
      </c>
      <c r="AJ7" s="25">
        <f>SUMIFS('AC Members v40'!$R$4:$R$148,'AC Members v40'!$B$4:$B$148,$A7,'AC Members v40'!$U$4:$U$148,1)</f>
        <v>0</v>
      </c>
      <c r="AK7" s="25">
        <f>COUNTIFS('AC Members v40'!$B$4:$B$148,$A7,'AC Members v40'!$U$4:$U$148,1)</f>
        <v>0</v>
      </c>
      <c r="AL7" s="68" t="str">
        <f t="shared" si="10"/>
        <v/>
      </c>
      <c r="AM7" s="25" t="s">
        <v>3897</v>
      </c>
      <c r="AN7" s="25" t="s">
        <v>2889</v>
      </c>
      <c r="AO7" s="25" t="s">
        <v>3706</v>
      </c>
      <c r="AP7" s="25" t="s">
        <v>4371</v>
      </c>
    </row>
    <row r="8" spans="1:42" ht="29" customHeight="1" x14ac:dyDescent="0.2">
      <c r="A8" s="23" t="s">
        <v>135</v>
      </c>
      <c r="B8" s="23" t="s">
        <v>4372</v>
      </c>
      <c r="C8" s="23" t="s">
        <v>4349</v>
      </c>
      <c r="D8" s="23" t="s">
        <v>1859</v>
      </c>
      <c r="E8" s="23" t="s">
        <v>4350</v>
      </c>
      <c r="F8" s="23" t="s">
        <v>1008</v>
      </c>
      <c r="G8" s="23">
        <f t="shared" si="0"/>
        <v>1</v>
      </c>
      <c r="H8" s="23"/>
      <c r="I8" s="23" t="s">
        <v>4373</v>
      </c>
      <c r="J8" s="23" t="s">
        <v>1008</v>
      </c>
      <c r="K8" s="23">
        <f>COUNTIFS('AC Members v40'!$B$4:$B$148,$A8,'AC Members v40'!$D$4:$D$148,"MEMBER")</f>
        <v>5</v>
      </c>
      <c r="L8" s="23">
        <f>COUNTIFS('AC Members v40'!$B$4:$B$148,$A8,'AC Members v40'!$D$4:$D$148,"SECRETARY")</f>
        <v>0</v>
      </c>
      <c r="M8" s="23">
        <f>COUNTIFS('AC Members v40'!$B$4:$B$148,$A8,'AC Members v40'!$D$4:$D$148,"FORMER")</f>
        <v>0</v>
      </c>
      <c r="N8" s="23">
        <f>COUNTIFS('AC Members v40'!$B$4:$B$148,$A8,'AC Members v40'!$D$4:$D$148,"POST_ASOF")</f>
        <v>0</v>
      </c>
      <c r="O8" s="23">
        <f t="shared" si="1"/>
        <v>5</v>
      </c>
      <c r="P8" s="23" t="str">
        <f t="shared" si="2"/>
        <v/>
      </c>
      <c r="Q8" s="23">
        <f>COUNTIFS('AC Members v40'!$B$4:$B$148,$A8,'AC Members v40'!$D$4:$D$148,"MEMBER",'AC Members v40'!$J$4:$J$148,"Y")</f>
        <v>0</v>
      </c>
      <c r="R8" s="23">
        <f>COUNTIFS('AC Members v40'!$B$4:$B$148,$A8,'AC Members v40'!$D$4:$D$148,"MEMBER",'AC Members v40'!$J$4:$J$148,"N")</f>
        <v>0</v>
      </c>
      <c r="S8" s="23">
        <f>COUNTIFS('AC Members v40'!$B$4:$B$148,$A8,'AC Members v40'!$D$4:$D$148,"MEMBER",'AC Members v40'!$J$4:$J$148,"U")</f>
        <v>5</v>
      </c>
      <c r="T8" s="23" t="s">
        <v>4352</v>
      </c>
      <c r="U8" s="67" t="str">
        <f t="shared" si="3"/>
        <v/>
      </c>
      <c r="V8" s="67" t="str">
        <f t="shared" si="4"/>
        <v/>
      </c>
      <c r="W8" s="23">
        <f>COUNTIFS('AC Members v40'!$B$4:$B$148,$A8,'AC Members v40'!$D$4:$D$148,"MEMBER",'AC Members v40'!$N$4:$N$148,1)</f>
        <v>3</v>
      </c>
      <c r="X8" s="23">
        <f t="shared" si="5"/>
        <v>2</v>
      </c>
      <c r="Y8" s="23">
        <f>COUNTIFS('AC Members v40'!$B$4:$B$148,$A8,'AC Members v40'!$D$4:$D$148,"MEMBER",'AC Members v40'!$L$4:$L$148,"UNK",'AC Members v40'!$N$4:$N$148,0)</f>
        <v>0</v>
      </c>
      <c r="Z8" s="23" t="s">
        <v>1008</v>
      </c>
      <c r="AA8" s="23">
        <f t="shared" si="6"/>
        <v>1</v>
      </c>
      <c r="AB8" s="23" t="str">
        <f t="shared" si="7"/>
        <v>کامل</v>
      </c>
      <c r="AC8" s="67">
        <f t="shared" si="8"/>
        <v>0.6</v>
      </c>
      <c r="AD8" s="23"/>
      <c r="AE8" s="23" t="s">
        <v>4352</v>
      </c>
      <c r="AF8" s="23" t="str">
        <f t="shared" si="9"/>
        <v/>
      </c>
      <c r="AG8" s="23"/>
      <c r="AH8" s="23"/>
      <c r="AI8" s="23">
        <f>SUMIFS('AC Members v40'!$Q$4:$Q$148,'AC Members v40'!$B$4:$B$148,$A8,'AC Members v40'!$U$4:$U$148,1)</f>
        <v>0</v>
      </c>
      <c r="AJ8" s="23">
        <f>SUMIFS('AC Members v40'!$R$4:$R$148,'AC Members v40'!$B$4:$B$148,$A8,'AC Members v40'!$U$4:$U$148,1)</f>
        <v>0</v>
      </c>
      <c r="AK8" s="23">
        <f>COUNTIFS('AC Members v40'!$B$4:$B$148,$A8,'AC Members v40'!$U$4:$U$148,1)</f>
        <v>0</v>
      </c>
      <c r="AL8" s="67" t="str">
        <f t="shared" si="10"/>
        <v/>
      </c>
      <c r="AM8" s="23" t="s">
        <v>4352</v>
      </c>
      <c r="AN8" s="23" t="s">
        <v>3719</v>
      </c>
      <c r="AO8" s="23" t="s">
        <v>3724</v>
      </c>
      <c r="AP8" s="23" t="s">
        <v>4374</v>
      </c>
    </row>
    <row r="9" spans="1:42" ht="29" customHeight="1" x14ac:dyDescent="0.2">
      <c r="A9" s="25" t="s">
        <v>137</v>
      </c>
      <c r="B9" s="25" t="s">
        <v>2195</v>
      </c>
      <c r="C9" s="25" t="s">
        <v>4349</v>
      </c>
      <c r="D9" s="25" t="s">
        <v>1859</v>
      </c>
      <c r="E9" s="25" t="s">
        <v>4350</v>
      </c>
      <c r="F9" s="25" t="s">
        <v>1008</v>
      </c>
      <c r="G9" s="25">
        <f t="shared" si="0"/>
        <v>1</v>
      </c>
      <c r="H9" s="25"/>
      <c r="I9" s="25" t="s">
        <v>4375</v>
      </c>
      <c r="J9" s="25" t="s">
        <v>1008</v>
      </c>
      <c r="K9" s="25">
        <f>COUNTIFS('AC Members v40'!$B$4:$B$148,$A9,'AC Members v40'!$D$4:$D$148,"MEMBER")</f>
        <v>5</v>
      </c>
      <c r="L9" s="25">
        <f>COUNTIFS('AC Members v40'!$B$4:$B$148,$A9,'AC Members v40'!$D$4:$D$148,"SECRETARY")</f>
        <v>0</v>
      </c>
      <c r="M9" s="25">
        <f>COUNTIFS('AC Members v40'!$B$4:$B$148,$A9,'AC Members v40'!$D$4:$D$148,"FORMER")</f>
        <v>0</v>
      </c>
      <c r="N9" s="25">
        <f>COUNTIFS('AC Members v40'!$B$4:$B$148,$A9,'AC Members v40'!$D$4:$D$148,"POST_ASOF")</f>
        <v>0</v>
      </c>
      <c r="O9" s="25">
        <f t="shared" si="1"/>
        <v>5</v>
      </c>
      <c r="P9" s="25" t="str">
        <f t="shared" si="2"/>
        <v/>
      </c>
      <c r="Q9" s="25">
        <f>COUNTIFS('AC Members v40'!$B$4:$B$148,$A9,'AC Members v40'!$D$4:$D$148,"MEMBER",'AC Members v40'!$J$4:$J$148,"Y")</f>
        <v>0</v>
      </c>
      <c r="R9" s="25">
        <f>COUNTIFS('AC Members v40'!$B$4:$B$148,$A9,'AC Members v40'!$D$4:$D$148,"MEMBER",'AC Members v40'!$J$4:$J$148,"N")</f>
        <v>0</v>
      </c>
      <c r="S9" s="25">
        <f>COUNTIFS('AC Members v40'!$B$4:$B$148,$A9,'AC Members v40'!$D$4:$D$148,"MEMBER",'AC Members v40'!$J$4:$J$148,"U")</f>
        <v>5</v>
      </c>
      <c r="T9" s="25" t="s">
        <v>4352</v>
      </c>
      <c r="U9" s="68" t="str">
        <f t="shared" si="3"/>
        <v/>
      </c>
      <c r="V9" s="68" t="str">
        <f t="shared" si="4"/>
        <v/>
      </c>
      <c r="W9" s="25">
        <f>COUNTIFS('AC Members v40'!$B$4:$B$148,$A9,'AC Members v40'!$D$4:$D$148,"MEMBER",'AC Members v40'!$N$4:$N$148,1)</f>
        <v>2</v>
      </c>
      <c r="X9" s="25">
        <f t="shared" si="5"/>
        <v>3</v>
      </c>
      <c r="Y9" s="25">
        <f>COUNTIFS('AC Members v40'!$B$4:$B$148,$A9,'AC Members v40'!$D$4:$D$148,"MEMBER",'AC Members v40'!$L$4:$L$148,"UNK",'AC Members v40'!$N$4:$N$148,0)</f>
        <v>1</v>
      </c>
      <c r="Z9" s="25" t="s">
        <v>1008</v>
      </c>
      <c r="AA9" s="25">
        <f t="shared" si="6"/>
        <v>1</v>
      </c>
      <c r="AB9" s="25" t="str">
        <f t="shared" si="7"/>
        <v>ناقص (حد پایین)</v>
      </c>
      <c r="AC9" s="68">
        <f t="shared" si="8"/>
        <v>0.4</v>
      </c>
      <c r="AD9" s="25">
        <v>22</v>
      </c>
      <c r="AE9" s="25" t="s">
        <v>1008</v>
      </c>
      <c r="AF9" s="25">
        <f t="shared" si="9"/>
        <v>22</v>
      </c>
      <c r="AG9" s="25" t="s">
        <v>4353</v>
      </c>
      <c r="AH9" s="25">
        <v>12</v>
      </c>
      <c r="AI9" s="25">
        <f>SUMIFS('AC Members v40'!$Q$4:$Q$148,'AC Members v40'!$B$4:$B$148,$A9,'AC Members v40'!$U$4:$U$148,1)</f>
        <v>0</v>
      </c>
      <c r="AJ9" s="25">
        <f>SUMIFS('AC Members v40'!$R$4:$R$148,'AC Members v40'!$B$4:$B$148,$A9,'AC Members v40'!$U$4:$U$148,1)</f>
        <v>0</v>
      </c>
      <c r="AK9" s="25">
        <f>COUNTIFS('AC Members v40'!$B$4:$B$148,$A9,'AC Members v40'!$U$4:$U$148,1)</f>
        <v>0</v>
      </c>
      <c r="AL9" s="68" t="str">
        <f t="shared" si="10"/>
        <v/>
      </c>
      <c r="AM9" s="25" t="s">
        <v>4352</v>
      </c>
      <c r="AN9" s="25" t="s">
        <v>3746</v>
      </c>
      <c r="AO9" s="25" t="s">
        <v>3750</v>
      </c>
      <c r="AP9" s="25" t="s">
        <v>4376</v>
      </c>
    </row>
    <row r="10" spans="1:42" ht="29" customHeight="1" x14ac:dyDescent="0.2">
      <c r="A10" s="23" t="s">
        <v>140</v>
      </c>
      <c r="B10" s="23" t="s">
        <v>4377</v>
      </c>
      <c r="C10" s="23" t="s">
        <v>4349</v>
      </c>
      <c r="D10" s="23" t="s">
        <v>1859</v>
      </c>
      <c r="E10" s="23" t="s">
        <v>4350</v>
      </c>
      <c r="F10" s="23" t="s">
        <v>1008</v>
      </c>
      <c r="G10" s="23">
        <f t="shared" si="0"/>
        <v>1</v>
      </c>
      <c r="H10" s="23"/>
      <c r="I10" s="23" t="s">
        <v>4378</v>
      </c>
      <c r="J10" s="23" t="s">
        <v>1008</v>
      </c>
      <c r="K10" s="23">
        <f>COUNTIFS('AC Members v40'!$B$4:$B$148,$A10,'AC Members v40'!$D$4:$D$148,"MEMBER")</f>
        <v>5</v>
      </c>
      <c r="L10" s="23">
        <f>COUNTIFS('AC Members v40'!$B$4:$B$148,$A10,'AC Members v40'!$D$4:$D$148,"SECRETARY")</f>
        <v>0</v>
      </c>
      <c r="M10" s="23">
        <f>COUNTIFS('AC Members v40'!$B$4:$B$148,$A10,'AC Members v40'!$D$4:$D$148,"FORMER")</f>
        <v>0</v>
      </c>
      <c r="N10" s="23">
        <f>COUNTIFS('AC Members v40'!$B$4:$B$148,$A10,'AC Members v40'!$D$4:$D$148,"POST_ASOF")</f>
        <v>0</v>
      </c>
      <c r="O10" s="23">
        <f t="shared" si="1"/>
        <v>5</v>
      </c>
      <c r="P10" s="23" t="str">
        <f t="shared" si="2"/>
        <v/>
      </c>
      <c r="Q10" s="23">
        <f>COUNTIFS('AC Members v40'!$B$4:$B$148,$A10,'AC Members v40'!$D$4:$D$148,"MEMBER",'AC Members v40'!$J$4:$J$148,"Y")</f>
        <v>0</v>
      </c>
      <c r="R10" s="23">
        <f>COUNTIFS('AC Members v40'!$B$4:$B$148,$A10,'AC Members v40'!$D$4:$D$148,"MEMBER",'AC Members v40'!$J$4:$J$148,"N")</f>
        <v>0</v>
      </c>
      <c r="S10" s="23">
        <f>COUNTIFS('AC Members v40'!$B$4:$B$148,$A10,'AC Members v40'!$D$4:$D$148,"MEMBER",'AC Members v40'!$J$4:$J$148,"U")</f>
        <v>5</v>
      </c>
      <c r="T10" s="23" t="s">
        <v>4352</v>
      </c>
      <c r="U10" s="67" t="str">
        <f t="shared" si="3"/>
        <v/>
      </c>
      <c r="V10" s="67" t="str">
        <f t="shared" si="4"/>
        <v/>
      </c>
      <c r="W10" s="23">
        <f>COUNTIFS('AC Members v40'!$B$4:$B$148,$A10,'AC Members v40'!$D$4:$D$148,"MEMBER",'AC Members v40'!$N$4:$N$148,1)</f>
        <v>4</v>
      </c>
      <c r="X10" s="23">
        <f t="shared" si="5"/>
        <v>1</v>
      </c>
      <c r="Y10" s="23">
        <f>COUNTIFS('AC Members v40'!$B$4:$B$148,$A10,'AC Members v40'!$D$4:$D$148,"MEMBER",'AC Members v40'!$L$4:$L$148,"UNK",'AC Members v40'!$N$4:$N$148,0)</f>
        <v>0</v>
      </c>
      <c r="Z10" s="23" t="s">
        <v>1008</v>
      </c>
      <c r="AA10" s="23">
        <f t="shared" si="6"/>
        <v>1</v>
      </c>
      <c r="AB10" s="23" t="str">
        <f t="shared" si="7"/>
        <v>کامل</v>
      </c>
      <c r="AC10" s="67">
        <f t="shared" si="8"/>
        <v>0.8</v>
      </c>
      <c r="AD10" s="23">
        <v>17</v>
      </c>
      <c r="AE10" s="23" t="s">
        <v>4359</v>
      </c>
      <c r="AF10" s="23">
        <f t="shared" si="9"/>
        <v>17</v>
      </c>
      <c r="AG10" s="23" t="s">
        <v>4353</v>
      </c>
      <c r="AH10" s="23">
        <v>12</v>
      </c>
      <c r="AI10" s="23">
        <f>SUMIFS('AC Members v40'!$Q$4:$Q$148,'AC Members v40'!$B$4:$B$148,$A10,'AC Members v40'!$U$4:$U$148,1)</f>
        <v>34</v>
      </c>
      <c r="AJ10" s="23">
        <f>SUMIFS('AC Members v40'!$R$4:$R$148,'AC Members v40'!$B$4:$B$148,$A10,'AC Members v40'!$U$4:$U$148,1)</f>
        <v>34</v>
      </c>
      <c r="AK10" s="23">
        <f>COUNTIFS('AC Members v40'!$B$4:$B$148,$A10,'AC Members v40'!$U$4:$U$148,1)</f>
        <v>2</v>
      </c>
      <c r="AL10" s="67" t="str">
        <f t="shared" si="10"/>
        <v/>
      </c>
      <c r="AM10" s="23" t="s">
        <v>3897</v>
      </c>
      <c r="AN10" s="23" t="s">
        <v>3738</v>
      </c>
      <c r="AO10" s="23" t="s">
        <v>3776</v>
      </c>
      <c r="AP10" s="23" t="s">
        <v>4379</v>
      </c>
    </row>
    <row r="11" spans="1:42" ht="29" customHeight="1" x14ac:dyDescent="0.2">
      <c r="A11" s="25" t="s">
        <v>143</v>
      </c>
      <c r="B11" s="25" t="s">
        <v>1315</v>
      </c>
      <c r="C11" s="25" t="s">
        <v>4349</v>
      </c>
      <c r="D11" s="25" t="s">
        <v>1859</v>
      </c>
      <c r="E11" s="25" t="s">
        <v>4350</v>
      </c>
      <c r="F11" s="25" t="s">
        <v>1008</v>
      </c>
      <c r="G11" s="25">
        <f t="shared" si="0"/>
        <v>1</v>
      </c>
      <c r="H11" s="25"/>
      <c r="I11" s="25" t="s">
        <v>4380</v>
      </c>
      <c r="J11" s="25" t="s">
        <v>1008</v>
      </c>
      <c r="K11" s="25">
        <f>COUNTIFS('AC Members v40'!$B$4:$B$148,$A11,'AC Members v40'!$D$4:$D$148,"MEMBER")</f>
        <v>3</v>
      </c>
      <c r="L11" s="25">
        <f>COUNTIFS('AC Members v40'!$B$4:$B$148,$A11,'AC Members v40'!$D$4:$D$148,"SECRETARY")</f>
        <v>1</v>
      </c>
      <c r="M11" s="25">
        <f>COUNTIFS('AC Members v40'!$B$4:$B$148,$A11,'AC Members v40'!$D$4:$D$148,"FORMER")</f>
        <v>0</v>
      </c>
      <c r="N11" s="25">
        <f>COUNTIFS('AC Members v40'!$B$4:$B$148,$A11,'AC Members v40'!$D$4:$D$148,"POST_ASOF")</f>
        <v>0</v>
      </c>
      <c r="O11" s="25">
        <f t="shared" si="1"/>
        <v>3</v>
      </c>
      <c r="P11" s="25" t="str">
        <f t="shared" si="2"/>
        <v/>
      </c>
      <c r="Q11" s="25">
        <f>COUNTIFS('AC Members v40'!$B$4:$B$148,$A11,'AC Members v40'!$D$4:$D$148,"MEMBER",'AC Members v40'!$J$4:$J$148,"Y")</f>
        <v>2</v>
      </c>
      <c r="R11" s="25">
        <f>COUNTIFS('AC Members v40'!$B$4:$B$148,$A11,'AC Members v40'!$D$4:$D$148,"MEMBER",'AC Members v40'!$J$4:$J$148,"N")</f>
        <v>0</v>
      </c>
      <c r="S11" s="25">
        <f>COUNTIFS('AC Members v40'!$B$4:$B$148,$A11,'AC Members v40'!$D$4:$D$148,"MEMBER",'AC Members v40'!$J$4:$J$148,"U")</f>
        <v>1</v>
      </c>
      <c r="T11" s="25" t="s">
        <v>3897</v>
      </c>
      <c r="U11" s="68" t="str">
        <f t="shared" si="3"/>
        <v/>
      </c>
      <c r="V11" s="68">
        <f t="shared" si="4"/>
        <v>1</v>
      </c>
      <c r="W11" s="25">
        <f>COUNTIFS('AC Members v40'!$B$4:$B$148,$A11,'AC Members v40'!$D$4:$D$148,"MEMBER",'AC Members v40'!$N$4:$N$148,1)</f>
        <v>3</v>
      </c>
      <c r="X11" s="25">
        <f t="shared" si="5"/>
        <v>0</v>
      </c>
      <c r="Y11" s="25">
        <f>COUNTIFS('AC Members v40'!$B$4:$B$148,$A11,'AC Members v40'!$D$4:$D$148,"MEMBER",'AC Members v40'!$L$4:$L$148,"UNK",'AC Members v40'!$N$4:$N$148,0)</f>
        <v>0</v>
      </c>
      <c r="Z11" s="25" t="s">
        <v>1008</v>
      </c>
      <c r="AA11" s="25">
        <f t="shared" si="6"/>
        <v>1</v>
      </c>
      <c r="AB11" s="25" t="str">
        <f t="shared" si="7"/>
        <v>کامل</v>
      </c>
      <c r="AC11" s="68">
        <f t="shared" si="8"/>
        <v>1</v>
      </c>
      <c r="AD11" s="25">
        <v>20</v>
      </c>
      <c r="AE11" s="25" t="s">
        <v>1008</v>
      </c>
      <c r="AF11" s="25">
        <f t="shared" si="9"/>
        <v>20</v>
      </c>
      <c r="AG11" s="25" t="s">
        <v>4353</v>
      </c>
      <c r="AH11" s="25">
        <v>12</v>
      </c>
      <c r="AI11" s="25">
        <f>SUMIFS('AC Members v40'!$Q$4:$Q$148,'AC Members v40'!$B$4:$B$148,$A11,'AC Members v40'!$U$4:$U$148,1)</f>
        <v>60</v>
      </c>
      <c r="AJ11" s="25">
        <f>SUMIFS('AC Members v40'!$R$4:$R$148,'AC Members v40'!$B$4:$B$148,$A11,'AC Members v40'!$U$4:$U$148,1)</f>
        <v>60</v>
      </c>
      <c r="AK11" s="25">
        <f>COUNTIFS('AC Members v40'!$B$4:$B$148,$A11,'AC Members v40'!$U$4:$U$148,1)</f>
        <v>3</v>
      </c>
      <c r="AL11" s="68">
        <f t="shared" si="10"/>
        <v>1</v>
      </c>
      <c r="AM11" s="25" t="s">
        <v>1008</v>
      </c>
      <c r="AN11" s="25" t="s">
        <v>3797</v>
      </c>
      <c r="AO11" s="25" t="s">
        <v>3802</v>
      </c>
      <c r="AP11" s="25" t="s">
        <v>4381</v>
      </c>
    </row>
    <row r="12" spans="1:42" ht="29" customHeight="1" x14ac:dyDescent="0.2">
      <c r="A12" s="23" t="s">
        <v>20</v>
      </c>
      <c r="B12" s="23" t="s">
        <v>1326</v>
      </c>
      <c r="C12" s="23" t="s">
        <v>4382</v>
      </c>
      <c r="D12" s="23" t="s">
        <v>1859</v>
      </c>
      <c r="E12" s="23" t="s">
        <v>4350</v>
      </c>
      <c r="F12" s="23" t="s">
        <v>1008</v>
      </c>
      <c r="G12" s="23">
        <f t="shared" si="0"/>
        <v>1</v>
      </c>
      <c r="H12" s="23"/>
      <c r="I12" s="23" t="s">
        <v>4383</v>
      </c>
      <c r="J12" s="23" t="s">
        <v>1008</v>
      </c>
      <c r="K12" s="23">
        <f>COUNTIFS('AC Members v40'!$B$4:$B$148,$A12,'AC Members v40'!$D$4:$D$148,"MEMBER")</f>
        <v>5</v>
      </c>
      <c r="L12" s="23">
        <f>COUNTIFS('AC Members v40'!$B$4:$B$148,$A12,'AC Members v40'!$D$4:$D$148,"SECRETARY")</f>
        <v>0</v>
      </c>
      <c r="M12" s="23">
        <f>COUNTIFS('AC Members v40'!$B$4:$B$148,$A12,'AC Members v40'!$D$4:$D$148,"FORMER")</f>
        <v>0</v>
      </c>
      <c r="N12" s="23">
        <f>COUNTIFS('AC Members v40'!$B$4:$B$148,$A12,'AC Members v40'!$D$4:$D$148,"POST_ASOF")</f>
        <v>0</v>
      </c>
      <c r="O12" s="23">
        <f t="shared" si="1"/>
        <v>5</v>
      </c>
      <c r="P12" s="23" t="str">
        <f t="shared" si="2"/>
        <v/>
      </c>
      <c r="Q12" s="23">
        <f>COUNTIFS('AC Members v40'!$B$4:$B$148,$A12,'AC Members v40'!$D$4:$D$148,"MEMBER",'AC Members v40'!$J$4:$J$148,"Y")</f>
        <v>4</v>
      </c>
      <c r="R12" s="23">
        <f>COUNTIFS('AC Members v40'!$B$4:$B$148,$A12,'AC Members v40'!$D$4:$D$148,"MEMBER",'AC Members v40'!$J$4:$J$148,"N")</f>
        <v>0</v>
      </c>
      <c r="S12" s="23">
        <f>COUNTIFS('AC Members v40'!$B$4:$B$148,$A12,'AC Members v40'!$D$4:$D$148,"MEMBER",'AC Members v40'!$J$4:$J$148,"U")</f>
        <v>1</v>
      </c>
      <c r="T12" s="23" t="s">
        <v>3897</v>
      </c>
      <c r="U12" s="67" t="str">
        <f t="shared" si="3"/>
        <v/>
      </c>
      <c r="V12" s="67">
        <f t="shared" si="4"/>
        <v>1</v>
      </c>
      <c r="W12" s="23">
        <f>COUNTIFS('AC Members v40'!$B$4:$B$148,$A12,'AC Members v40'!$D$4:$D$148,"MEMBER",'AC Members v40'!$N$4:$N$148,1)</f>
        <v>4</v>
      </c>
      <c r="X12" s="23">
        <f t="shared" si="5"/>
        <v>1</v>
      </c>
      <c r="Y12" s="23">
        <f>COUNTIFS('AC Members v40'!$B$4:$B$148,$A12,'AC Members v40'!$D$4:$D$148,"MEMBER",'AC Members v40'!$L$4:$L$148,"UNK",'AC Members v40'!$N$4:$N$148,0)</f>
        <v>0</v>
      </c>
      <c r="Z12" s="23" t="s">
        <v>1008</v>
      </c>
      <c r="AA12" s="23">
        <f t="shared" si="6"/>
        <v>1</v>
      </c>
      <c r="AB12" s="23" t="str">
        <f t="shared" si="7"/>
        <v>کامل</v>
      </c>
      <c r="AC12" s="67">
        <f t="shared" si="8"/>
        <v>0.8</v>
      </c>
      <c r="AD12" s="23"/>
      <c r="AE12" s="23" t="s">
        <v>4352</v>
      </c>
      <c r="AF12" s="23" t="str">
        <f t="shared" si="9"/>
        <v/>
      </c>
      <c r="AG12" s="23"/>
      <c r="AH12" s="23"/>
      <c r="AI12" s="23">
        <f>SUMIFS('AC Members v40'!$Q$4:$Q$148,'AC Members v40'!$B$4:$B$148,$A12,'AC Members v40'!$U$4:$U$148,1)</f>
        <v>0</v>
      </c>
      <c r="AJ12" s="23">
        <f>SUMIFS('AC Members v40'!$R$4:$R$148,'AC Members v40'!$B$4:$B$148,$A12,'AC Members v40'!$U$4:$U$148,1)</f>
        <v>0</v>
      </c>
      <c r="AK12" s="23">
        <f>COUNTIFS('AC Members v40'!$B$4:$B$148,$A12,'AC Members v40'!$U$4:$U$148,1)</f>
        <v>0</v>
      </c>
      <c r="AL12" s="67" t="str">
        <f t="shared" si="10"/>
        <v/>
      </c>
      <c r="AM12" s="23" t="s">
        <v>3897</v>
      </c>
      <c r="AN12" s="23" t="s">
        <v>4384</v>
      </c>
      <c r="AO12" s="23" t="s">
        <v>3822</v>
      </c>
      <c r="AP12" s="23" t="s">
        <v>4385</v>
      </c>
    </row>
    <row r="13" spans="1:42" ht="43.5" customHeight="1" x14ac:dyDescent="0.2">
      <c r="A13" s="25" t="s">
        <v>151</v>
      </c>
      <c r="B13" s="25" t="s">
        <v>4386</v>
      </c>
      <c r="C13" s="25" t="s">
        <v>4387</v>
      </c>
      <c r="D13" s="25" t="s">
        <v>1859</v>
      </c>
      <c r="E13" s="25" t="s">
        <v>4350</v>
      </c>
      <c r="F13" s="25" t="s">
        <v>1008</v>
      </c>
      <c r="G13" s="25">
        <f t="shared" si="0"/>
        <v>1</v>
      </c>
      <c r="H13" s="25"/>
      <c r="I13" s="25" t="s">
        <v>4388</v>
      </c>
      <c r="J13" s="25" t="s">
        <v>1008</v>
      </c>
      <c r="K13" s="25">
        <f>COUNTIFS('AC Members v40'!$B$4:$B$148,$A13,'AC Members v40'!$D$4:$D$148,"MEMBER")</f>
        <v>7</v>
      </c>
      <c r="L13" s="25">
        <f>COUNTIFS('AC Members v40'!$B$4:$B$148,$A13,'AC Members v40'!$D$4:$D$148,"SECRETARY")</f>
        <v>1</v>
      </c>
      <c r="M13" s="25">
        <f>COUNTIFS('AC Members v40'!$B$4:$B$148,$A13,'AC Members v40'!$D$4:$D$148,"FORMER")</f>
        <v>0</v>
      </c>
      <c r="N13" s="25">
        <f>COUNTIFS('AC Members v40'!$B$4:$B$148,$A13,'AC Members v40'!$D$4:$D$148,"POST_ASOF")</f>
        <v>0</v>
      </c>
      <c r="O13" s="25">
        <f t="shared" si="1"/>
        <v>7</v>
      </c>
      <c r="P13" s="25" t="str">
        <f t="shared" si="2"/>
        <v/>
      </c>
      <c r="Q13" s="25">
        <f>COUNTIFS('AC Members v40'!$B$4:$B$148,$A13,'AC Members v40'!$D$4:$D$148,"MEMBER",'AC Members v40'!$J$4:$J$148,"Y")</f>
        <v>0</v>
      </c>
      <c r="R13" s="25">
        <f>COUNTIFS('AC Members v40'!$B$4:$B$148,$A13,'AC Members v40'!$D$4:$D$148,"MEMBER",'AC Members v40'!$J$4:$J$148,"N")</f>
        <v>0</v>
      </c>
      <c r="S13" s="25">
        <f>COUNTIFS('AC Members v40'!$B$4:$B$148,$A13,'AC Members v40'!$D$4:$D$148,"MEMBER",'AC Members v40'!$J$4:$J$148,"U")</f>
        <v>7</v>
      </c>
      <c r="T13" s="25" t="s">
        <v>4352</v>
      </c>
      <c r="U13" s="68" t="str">
        <f t="shared" si="3"/>
        <v/>
      </c>
      <c r="V13" s="68" t="str">
        <f t="shared" si="4"/>
        <v/>
      </c>
      <c r="W13" s="25">
        <f>COUNTIFS('AC Members v40'!$B$4:$B$148,$A13,'AC Members v40'!$D$4:$D$148,"MEMBER",'AC Members v40'!$N$4:$N$148,1)</f>
        <v>5</v>
      </c>
      <c r="X13" s="25">
        <f t="shared" si="5"/>
        <v>2</v>
      </c>
      <c r="Y13" s="25">
        <f>COUNTIFS('AC Members v40'!$B$4:$B$148,$A13,'AC Members v40'!$D$4:$D$148,"MEMBER",'AC Members v40'!$L$4:$L$148,"UNK",'AC Members v40'!$N$4:$N$148,0)</f>
        <v>0</v>
      </c>
      <c r="Z13" s="25" t="s">
        <v>1008</v>
      </c>
      <c r="AA13" s="25">
        <f t="shared" si="6"/>
        <v>1</v>
      </c>
      <c r="AB13" s="25" t="str">
        <f t="shared" si="7"/>
        <v>کامل</v>
      </c>
      <c r="AC13" s="68">
        <f t="shared" si="8"/>
        <v>0.7142857142857143</v>
      </c>
      <c r="AD13" s="25">
        <v>18</v>
      </c>
      <c r="AE13" s="25" t="s">
        <v>4359</v>
      </c>
      <c r="AF13" s="25">
        <f t="shared" si="9"/>
        <v>18</v>
      </c>
      <c r="AG13" s="25" t="s">
        <v>4353</v>
      </c>
      <c r="AH13" s="25">
        <v>12</v>
      </c>
      <c r="AI13" s="25">
        <f>SUMIFS('AC Members v40'!$Q$4:$Q$148,'AC Members v40'!$B$4:$B$148,$A13,'AC Members v40'!$U$4:$U$148,1)</f>
        <v>63</v>
      </c>
      <c r="AJ13" s="25">
        <f>SUMIFS('AC Members v40'!$R$4:$R$148,'AC Members v40'!$B$4:$B$148,$A13,'AC Members v40'!$U$4:$U$148,1)</f>
        <v>63</v>
      </c>
      <c r="AK13" s="25">
        <f>COUNTIFS('AC Members v40'!$B$4:$B$148,$A13,'AC Members v40'!$U$4:$U$148,1)</f>
        <v>7</v>
      </c>
      <c r="AL13" s="68">
        <f t="shared" si="10"/>
        <v>1</v>
      </c>
      <c r="AM13" s="25" t="s">
        <v>1008</v>
      </c>
      <c r="AN13" s="25" t="s">
        <v>3843</v>
      </c>
      <c r="AO13" s="25" t="s">
        <v>3846</v>
      </c>
      <c r="AP13" s="25" t="s">
        <v>4389</v>
      </c>
    </row>
    <row r="14" spans="1:42" ht="29" customHeight="1" x14ac:dyDescent="0.2">
      <c r="A14" s="23" t="s">
        <v>157</v>
      </c>
      <c r="B14" s="23" t="s">
        <v>4390</v>
      </c>
      <c r="C14" s="23" t="s">
        <v>4349</v>
      </c>
      <c r="D14" s="23" t="s">
        <v>1859</v>
      </c>
      <c r="E14" s="23" t="s">
        <v>4350</v>
      </c>
      <c r="F14" s="23" t="s">
        <v>1008</v>
      </c>
      <c r="G14" s="23">
        <f t="shared" si="0"/>
        <v>1</v>
      </c>
      <c r="H14" s="23"/>
      <c r="I14" s="23" t="s">
        <v>4370</v>
      </c>
      <c r="J14" s="23" t="s">
        <v>3897</v>
      </c>
      <c r="K14" s="23">
        <f>COUNTIFS('AC Members v40'!$B$4:$B$148,$A14,'AC Members v40'!$D$4:$D$148,"MEMBER")</f>
        <v>2</v>
      </c>
      <c r="L14" s="23">
        <f>COUNTIFS('AC Members v40'!$B$4:$B$148,$A14,'AC Members v40'!$D$4:$D$148,"SECRETARY")</f>
        <v>0</v>
      </c>
      <c r="M14" s="23">
        <f>COUNTIFS('AC Members v40'!$B$4:$B$148,$A14,'AC Members v40'!$D$4:$D$148,"FORMER")</f>
        <v>0</v>
      </c>
      <c r="N14" s="23">
        <f>COUNTIFS('AC Members v40'!$B$4:$B$148,$A14,'AC Members v40'!$D$4:$D$148,"POST_ASOF")</f>
        <v>1</v>
      </c>
      <c r="O14" s="23" t="str">
        <f t="shared" si="1"/>
        <v/>
      </c>
      <c r="P14" s="23" t="str">
        <f t="shared" si="2"/>
        <v/>
      </c>
      <c r="Q14" s="23">
        <f>COUNTIFS('AC Members v40'!$B$4:$B$148,$A14,'AC Members v40'!$D$4:$D$148,"MEMBER",'AC Members v40'!$J$4:$J$148,"Y")</f>
        <v>0</v>
      </c>
      <c r="R14" s="23">
        <f>COUNTIFS('AC Members v40'!$B$4:$B$148,$A14,'AC Members v40'!$D$4:$D$148,"MEMBER",'AC Members v40'!$J$4:$J$148,"N")</f>
        <v>2</v>
      </c>
      <c r="S14" s="23">
        <f>COUNTIFS('AC Members v40'!$B$4:$B$148,$A14,'AC Members v40'!$D$4:$D$148,"MEMBER",'AC Members v40'!$J$4:$J$148,"U")</f>
        <v>0</v>
      </c>
      <c r="T14" s="23" t="s">
        <v>3897</v>
      </c>
      <c r="U14" s="67" t="str">
        <f t="shared" si="3"/>
        <v/>
      </c>
      <c r="V14" s="67">
        <f t="shared" si="4"/>
        <v>0</v>
      </c>
      <c r="W14" s="23">
        <f>COUNTIFS('AC Members v40'!$B$4:$B$148,$A14,'AC Members v40'!$D$4:$D$148,"MEMBER",'AC Members v40'!$N$4:$N$148,1)</f>
        <v>2</v>
      </c>
      <c r="X14" s="23">
        <f t="shared" si="5"/>
        <v>0</v>
      </c>
      <c r="Y14" s="23">
        <f>COUNTIFS('AC Members v40'!$B$4:$B$148,$A14,'AC Members v40'!$D$4:$D$148,"MEMBER",'AC Members v40'!$L$4:$L$148,"UNK",'AC Members v40'!$N$4:$N$148,0)</f>
        <v>0</v>
      </c>
      <c r="Z14" s="23" t="s">
        <v>1008</v>
      </c>
      <c r="AA14" s="23">
        <f t="shared" si="6"/>
        <v>1</v>
      </c>
      <c r="AB14" s="23" t="str">
        <f t="shared" si="7"/>
        <v>ناقص (حد پایین)</v>
      </c>
      <c r="AC14" s="67" t="str">
        <f t="shared" si="8"/>
        <v/>
      </c>
      <c r="AD14" s="23">
        <v>7</v>
      </c>
      <c r="AE14" s="23" t="s">
        <v>1008</v>
      </c>
      <c r="AF14" s="23">
        <f t="shared" si="9"/>
        <v>7</v>
      </c>
      <c r="AG14" s="23" t="s">
        <v>4353</v>
      </c>
      <c r="AH14" s="23">
        <v>12</v>
      </c>
      <c r="AI14" s="23">
        <f>SUMIFS('AC Members v40'!$Q$4:$Q$148,'AC Members v40'!$B$4:$B$148,$A14,'AC Members v40'!$U$4:$U$148,1)</f>
        <v>0</v>
      </c>
      <c r="AJ14" s="23">
        <f>SUMIFS('AC Members v40'!$R$4:$R$148,'AC Members v40'!$B$4:$B$148,$A14,'AC Members v40'!$U$4:$U$148,1)</f>
        <v>0</v>
      </c>
      <c r="AK14" s="23">
        <f>COUNTIFS('AC Members v40'!$B$4:$B$148,$A14,'AC Members v40'!$U$4:$U$148,1)</f>
        <v>0</v>
      </c>
      <c r="AL14" s="67" t="str">
        <f t="shared" si="10"/>
        <v/>
      </c>
      <c r="AM14" s="23" t="s">
        <v>4352</v>
      </c>
      <c r="AN14" s="23" t="s">
        <v>4384</v>
      </c>
      <c r="AO14" s="23" t="s">
        <v>3889</v>
      </c>
      <c r="AP14" s="23" t="s">
        <v>4391</v>
      </c>
    </row>
    <row r="15" spans="1:42" ht="29" customHeight="1" x14ac:dyDescent="0.2">
      <c r="A15" s="25" t="s">
        <v>159</v>
      </c>
      <c r="B15" s="25" t="s">
        <v>4392</v>
      </c>
      <c r="C15" s="25" t="s">
        <v>4363</v>
      </c>
      <c r="D15" s="25" t="s">
        <v>4364</v>
      </c>
      <c r="E15" s="25" t="s">
        <v>4365</v>
      </c>
      <c r="F15" s="25" t="s">
        <v>1008</v>
      </c>
      <c r="G15" s="25">
        <f t="shared" si="0"/>
        <v>1</v>
      </c>
      <c r="H15" s="25"/>
      <c r="I15" s="25" t="s">
        <v>4393</v>
      </c>
      <c r="J15" s="25" t="s">
        <v>1008</v>
      </c>
      <c r="K15" s="25">
        <f>COUNTIFS('AC Members v40'!$B$4:$B$148,$A15,'AC Members v40'!$D$4:$D$148,"MEMBER")</f>
        <v>4</v>
      </c>
      <c r="L15" s="25">
        <f>COUNTIFS('AC Members v40'!$B$4:$B$148,$A15,'AC Members v40'!$D$4:$D$148,"SECRETARY")</f>
        <v>0</v>
      </c>
      <c r="M15" s="25">
        <f>COUNTIFS('AC Members v40'!$B$4:$B$148,$A15,'AC Members v40'!$D$4:$D$148,"FORMER")</f>
        <v>0</v>
      </c>
      <c r="N15" s="25">
        <f>COUNTIFS('AC Members v40'!$B$4:$B$148,$A15,'AC Members v40'!$D$4:$D$148,"POST_ASOF")</f>
        <v>0</v>
      </c>
      <c r="O15" s="25">
        <f t="shared" si="1"/>
        <v>4</v>
      </c>
      <c r="P15" s="25" t="str">
        <f t="shared" si="2"/>
        <v/>
      </c>
      <c r="Q15" s="25">
        <f>COUNTIFS('AC Members v40'!$B$4:$B$148,$A15,'AC Members v40'!$D$4:$D$148,"MEMBER",'AC Members v40'!$J$4:$J$148,"Y")</f>
        <v>0</v>
      </c>
      <c r="R15" s="25">
        <f>COUNTIFS('AC Members v40'!$B$4:$B$148,$A15,'AC Members v40'!$D$4:$D$148,"MEMBER",'AC Members v40'!$J$4:$J$148,"N")</f>
        <v>0</v>
      </c>
      <c r="S15" s="25">
        <f>COUNTIFS('AC Members v40'!$B$4:$B$148,$A15,'AC Members v40'!$D$4:$D$148,"MEMBER",'AC Members v40'!$J$4:$J$148,"U")</f>
        <v>4</v>
      </c>
      <c r="T15" s="25" t="s">
        <v>4352</v>
      </c>
      <c r="U15" s="68" t="str">
        <f t="shared" si="3"/>
        <v/>
      </c>
      <c r="V15" s="68" t="str">
        <f t="shared" si="4"/>
        <v/>
      </c>
      <c r="W15" s="25">
        <f>COUNTIFS('AC Members v40'!$B$4:$B$148,$A15,'AC Members v40'!$D$4:$D$148,"MEMBER",'AC Members v40'!$N$4:$N$148,1)</f>
        <v>3</v>
      </c>
      <c r="X15" s="25">
        <f t="shared" si="5"/>
        <v>1</v>
      </c>
      <c r="Y15" s="25">
        <f>COUNTIFS('AC Members v40'!$B$4:$B$148,$A15,'AC Members v40'!$D$4:$D$148,"MEMBER",'AC Members v40'!$L$4:$L$148,"UNK",'AC Members v40'!$N$4:$N$148,0)</f>
        <v>1</v>
      </c>
      <c r="Z15" s="25" t="s">
        <v>1008</v>
      </c>
      <c r="AA15" s="25">
        <f t="shared" si="6"/>
        <v>1</v>
      </c>
      <c r="AB15" s="25" t="str">
        <f t="shared" si="7"/>
        <v>ناقص (حد پایین)</v>
      </c>
      <c r="AC15" s="68">
        <f t="shared" si="8"/>
        <v>0.75</v>
      </c>
      <c r="AD15" s="25">
        <v>11</v>
      </c>
      <c r="AE15" s="25" t="s">
        <v>1008</v>
      </c>
      <c r="AF15" s="25">
        <f t="shared" si="9"/>
        <v>11</v>
      </c>
      <c r="AG15" s="25" t="s">
        <v>4367</v>
      </c>
      <c r="AH15" s="25">
        <v>12</v>
      </c>
      <c r="AI15" s="25">
        <f>SUMIFS('AC Members v40'!$Q$4:$Q$148,'AC Members v40'!$B$4:$B$148,$A15,'AC Members v40'!$U$4:$U$148,1)</f>
        <v>44</v>
      </c>
      <c r="AJ15" s="25">
        <f>SUMIFS('AC Members v40'!$R$4:$R$148,'AC Members v40'!$B$4:$B$148,$A15,'AC Members v40'!$U$4:$U$148,1)</f>
        <v>44</v>
      </c>
      <c r="AK15" s="25">
        <f>COUNTIFS('AC Members v40'!$B$4:$B$148,$A15,'AC Members v40'!$U$4:$U$148,1)</f>
        <v>4</v>
      </c>
      <c r="AL15" s="68">
        <f t="shared" si="10"/>
        <v>1</v>
      </c>
      <c r="AM15" s="25" t="s">
        <v>1008</v>
      </c>
      <c r="AN15" s="25" t="s">
        <v>4384</v>
      </c>
      <c r="AO15" s="25" t="s">
        <v>3906</v>
      </c>
      <c r="AP15" s="25" t="s">
        <v>4394</v>
      </c>
    </row>
    <row r="16" spans="1:42" ht="43.5" customHeight="1" x14ac:dyDescent="0.2">
      <c r="A16" s="23" t="s">
        <v>162</v>
      </c>
      <c r="B16" s="23" t="s">
        <v>4395</v>
      </c>
      <c r="C16" s="23" t="s">
        <v>4349</v>
      </c>
      <c r="D16" s="23" t="s">
        <v>1859</v>
      </c>
      <c r="E16" s="23" t="s">
        <v>4350</v>
      </c>
      <c r="F16" s="23" t="s">
        <v>1008</v>
      </c>
      <c r="G16" s="23">
        <f t="shared" si="0"/>
        <v>1</v>
      </c>
      <c r="H16" s="23"/>
      <c r="I16" s="23" t="s">
        <v>4396</v>
      </c>
      <c r="J16" s="23" t="s">
        <v>1008</v>
      </c>
      <c r="K16" s="23">
        <f>COUNTIFS('AC Members v40'!$B$4:$B$148,$A16,'AC Members v40'!$D$4:$D$148,"MEMBER")</f>
        <v>5</v>
      </c>
      <c r="L16" s="23">
        <f>COUNTIFS('AC Members v40'!$B$4:$B$148,$A16,'AC Members v40'!$D$4:$D$148,"SECRETARY")</f>
        <v>0</v>
      </c>
      <c r="M16" s="23">
        <f>COUNTIFS('AC Members v40'!$B$4:$B$148,$A16,'AC Members v40'!$D$4:$D$148,"FORMER")</f>
        <v>0</v>
      </c>
      <c r="N16" s="23">
        <f>COUNTIFS('AC Members v40'!$B$4:$B$148,$A16,'AC Members v40'!$D$4:$D$148,"POST_ASOF")</f>
        <v>0</v>
      </c>
      <c r="O16" s="23">
        <f t="shared" si="1"/>
        <v>5</v>
      </c>
      <c r="P16" s="23" t="str">
        <f t="shared" si="2"/>
        <v/>
      </c>
      <c r="Q16" s="23">
        <f>COUNTIFS('AC Members v40'!$B$4:$B$148,$A16,'AC Members v40'!$D$4:$D$148,"MEMBER",'AC Members v40'!$J$4:$J$148,"Y")</f>
        <v>0</v>
      </c>
      <c r="R16" s="23">
        <f>COUNTIFS('AC Members v40'!$B$4:$B$148,$A16,'AC Members v40'!$D$4:$D$148,"MEMBER",'AC Members v40'!$J$4:$J$148,"N")</f>
        <v>0</v>
      </c>
      <c r="S16" s="23">
        <f>COUNTIFS('AC Members v40'!$B$4:$B$148,$A16,'AC Members v40'!$D$4:$D$148,"MEMBER",'AC Members v40'!$J$4:$J$148,"U")</f>
        <v>5</v>
      </c>
      <c r="T16" s="23" t="s">
        <v>4352</v>
      </c>
      <c r="U16" s="67" t="str">
        <f t="shared" si="3"/>
        <v/>
      </c>
      <c r="V16" s="67" t="str">
        <f t="shared" si="4"/>
        <v/>
      </c>
      <c r="W16" s="23">
        <f>COUNTIFS('AC Members v40'!$B$4:$B$148,$A16,'AC Members v40'!$D$4:$D$148,"MEMBER",'AC Members v40'!$N$4:$N$148,1)</f>
        <v>5</v>
      </c>
      <c r="X16" s="23">
        <f t="shared" si="5"/>
        <v>0</v>
      </c>
      <c r="Y16" s="23">
        <f>COUNTIFS('AC Members v40'!$B$4:$B$148,$A16,'AC Members v40'!$D$4:$D$148,"MEMBER",'AC Members v40'!$L$4:$L$148,"UNK",'AC Members v40'!$N$4:$N$148,0)</f>
        <v>0</v>
      </c>
      <c r="Z16" s="23" t="s">
        <v>1008</v>
      </c>
      <c r="AA16" s="23">
        <f t="shared" si="6"/>
        <v>1</v>
      </c>
      <c r="AB16" s="23" t="str">
        <f t="shared" si="7"/>
        <v>کامل</v>
      </c>
      <c r="AC16" s="67">
        <f t="shared" si="8"/>
        <v>1</v>
      </c>
      <c r="AD16" s="23">
        <v>12</v>
      </c>
      <c r="AE16" s="23" t="s">
        <v>1008</v>
      </c>
      <c r="AF16" s="23">
        <f t="shared" si="9"/>
        <v>12</v>
      </c>
      <c r="AG16" s="23" t="s">
        <v>4353</v>
      </c>
      <c r="AH16" s="23">
        <v>12</v>
      </c>
      <c r="AI16" s="23">
        <f>SUMIFS('AC Members v40'!$Q$4:$Q$148,'AC Members v40'!$B$4:$B$148,$A16,'AC Members v40'!$U$4:$U$148,1)</f>
        <v>56</v>
      </c>
      <c r="AJ16" s="23">
        <f>SUMIFS('AC Members v40'!$R$4:$R$148,'AC Members v40'!$B$4:$B$148,$A16,'AC Members v40'!$U$4:$U$148,1)</f>
        <v>60</v>
      </c>
      <c r="AK16" s="23">
        <f>COUNTIFS('AC Members v40'!$B$4:$B$148,$A16,'AC Members v40'!$U$4:$U$148,1)</f>
        <v>5</v>
      </c>
      <c r="AL16" s="67">
        <f t="shared" si="10"/>
        <v>0.93333333333333335</v>
      </c>
      <c r="AM16" s="23" t="s">
        <v>1008</v>
      </c>
      <c r="AN16" s="23" t="s">
        <v>3919</v>
      </c>
      <c r="AO16" s="23" t="s">
        <v>3922</v>
      </c>
      <c r="AP16" s="23" t="s">
        <v>4397</v>
      </c>
    </row>
    <row r="17" spans="1:42" ht="29" customHeight="1" x14ac:dyDescent="0.2">
      <c r="A17" s="25" t="s">
        <v>165</v>
      </c>
      <c r="B17" s="25" t="s">
        <v>4398</v>
      </c>
      <c r="C17" s="25" t="s">
        <v>4399</v>
      </c>
      <c r="D17" s="25" t="s">
        <v>4400</v>
      </c>
      <c r="E17" s="25" t="s">
        <v>4401</v>
      </c>
      <c r="F17" s="25" t="s">
        <v>1008</v>
      </c>
      <c r="G17" s="25">
        <f t="shared" si="0"/>
        <v>1</v>
      </c>
      <c r="H17" s="25"/>
      <c r="I17" s="25" t="s">
        <v>4402</v>
      </c>
      <c r="J17" s="25" t="s">
        <v>1008</v>
      </c>
      <c r="K17" s="25">
        <f>COUNTIFS('AC Members v40'!$B$4:$B$148,$A17,'AC Members v40'!$D$4:$D$148,"MEMBER")</f>
        <v>4</v>
      </c>
      <c r="L17" s="25">
        <f>COUNTIFS('AC Members v40'!$B$4:$B$148,$A17,'AC Members v40'!$D$4:$D$148,"SECRETARY")</f>
        <v>0</v>
      </c>
      <c r="M17" s="25">
        <f>COUNTIFS('AC Members v40'!$B$4:$B$148,$A17,'AC Members v40'!$D$4:$D$148,"FORMER")</f>
        <v>0</v>
      </c>
      <c r="N17" s="25">
        <f>COUNTIFS('AC Members v40'!$B$4:$B$148,$A17,'AC Members v40'!$D$4:$D$148,"POST_ASOF")</f>
        <v>1</v>
      </c>
      <c r="O17" s="25">
        <f t="shared" si="1"/>
        <v>4</v>
      </c>
      <c r="P17" s="25" t="str">
        <f t="shared" si="2"/>
        <v/>
      </c>
      <c r="Q17" s="25">
        <f>COUNTIFS('AC Members v40'!$B$4:$B$148,$A17,'AC Members v40'!$D$4:$D$148,"MEMBER",'AC Members v40'!$J$4:$J$148,"Y")</f>
        <v>3</v>
      </c>
      <c r="R17" s="25">
        <f>COUNTIFS('AC Members v40'!$B$4:$B$148,$A17,'AC Members v40'!$D$4:$D$148,"MEMBER",'AC Members v40'!$J$4:$J$148,"N")</f>
        <v>1</v>
      </c>
      <c r="S17" s="25">
        <f>COUNTIFS('AC Members v40'!$B$4:$B$148,$A17,'AC Members v40'!$D$4:$D$148,"MEMBER",'AC Members v40'!$J$4:$J$148,"U")</f>
        <v>0</v>
      </c>
      <c r="T17" s="25" t="s">
        <v>1008</v>
      </c>
      <c r="U17" s="68">
        <f t="shared" si="3"/>
        <v>0.75</v>
      </c>
      <c r="V17" s="68">
        <f t="shared" si="4"/>
        <v>0.75</v>
      </c>
      <c r="W17" s="25">
        <f>COUNTIFS('AC Members v40'!$B$4:$B$148,$A17,'AC Members v40'!$D$4:$D$148,"MEMBER",'AC Members v40'!$N$4:$N$148,1)</f>
        <v>4</v>
      </c>
      <c r="X17" s="25">
        <f t="shared" si="5"/>
        <v>0</v>
      </c>
      <c r="Y17" s="25">
        <f>COUNTIFS('AC Members v40'!$B$4:$B$148,$A17,'AC Members v40'!$D$4:$D$148,"MEMBER",'AC Members v40'!$L$4:$L$148,"UNK",'AC Members v40'!$N$4:$N$148,0)</f>
        <v>0</v>
      </c>
      <c r="Z17" s="25" t="s">
        <v>1008</v>
      </c>
      <c r="AA17" s="25">
        <f t="shared" si="6"/>
        <v>1</v>
      </c>
      <c r="AB17" s="25" t="str">
        <f t="shared" si="7"/>
        <v>کامل</v>
      </c>
      <c r="AC17" s="68">
        <f t="shared" si="8"/>
        <v>1</v>
      </c>
      <c r="AD17" s="25"/>
      <c r="AE17" s="25" t="s">
        <v>4352</v>
      </c>
      <c r="AF17" s="25" t="str">
        <f t="shared" si="9"/>
        <v/>
      </c>
      <c r="AG17" s="25"/>
      <c r="AH17" s="25"/>
      <c r="AI17" s="25">
        <f>SUMIFS('AC Members v40'!$Q$4:$Q$148,'AC Members v40'!$B$4:$B$148,$A17,'AC Members v40'!$U$4:$U$148,1)</f>
        <v>0</v>
      </c>
      <c r="AJ17" s="25">
        <f>SUMIFS('AC Members v40'!$R$4:$R$148,'AC Members v40'!$B$4:$B$148,$A17,'AC Members v40'!$U$4:$U$148,1)</f>
        <v>0</v>
      </c>
      <c r="AK17" s="25">
        <f>COUNTIFS('AC Members v40'!$B$4:$B$148,$A17,'AC Members v40'!$U$4:$U$148,1)</f>
        <v>0</v>
      </c>
      <c r="AL17" s="68" t="str">
        <f t="shared" si="10"/>
        <v/>
      </c>
      <c r="AM17" s="25" t="s">
        <v>4352</v>
      </c>
      <c r="AN17" s="25" t="s">
        <v>3942</v>
      </c>
      <c r="AO17" s="25" t="s">
        <v>3947</v>
      </c>
      <c r="AP17" s="25" t="s">
        <v>4403</v>
      </c>
    </row>
    <row r="18" spans="1:42" ht="29" customHeight="1" x14ac:dyDescent="0.2">
      <c r="A18" s="23" t="s">
        <v>168</v>
      </c>
      <c r="B18" s="23" t="s">
        <v>4404</v>
      </c>
      <c r="C18" s="23" t="s">
        <v>4349</v>
      </c>
      <c r="D18" s="23" t="s">
        <v>1859</v>
      </c>
      <c r="E18" s="23" t="s">
        <v>4350</v>
      </c>
      <c r="F18" s="23" t="s">
        <v>1008</v>
      </c>
      <c r="G18" s="23">
        <f t="shared" si="0"/>
        <v>1</v>
      </c>
      <c r="H18" s="23"/>
      <c r="I18" s="23" t="s">
        <v>4405</v>
      </c>
      <c r="J18" s="23" t="s">
        <v>1008</v>
      </c>
      <c r="K18" s="23">
        <f>COUNTIFS('AC Members v40'!$B$4:$B$148,$A18,'AC Members v40'!$D$4:$D$148,"MEMBER")</f>
        <v>3</v>
      </c>
      <c r="L18" s="23">
        <f>COUNTIFS('AC Members v40'!$B$4:$B$148,$A18,'AC Members v40'!$D$4:$D$148,"SECRETARY")</f>
        <v>0</v>
      </c>
      <c r="M18" s="23">
        <f>COUNTIFS('AC Members v40'!$B$4:$B$148,$A18,'AC Members v40'!$D$4:$D$148,"FORMER")</f>
        <v>0</v>
      </c>
      <c r="N18" s="23">
        <f>COUNTIFS('AC Members v40'!$B$4:$B$148,$A18,'AC Members v40'!$D$4:$D$148,"POST_ASOF")</f>
        <v>0</v>
      </c>
      <c r="O18" s="23">
        <f t="shared" si="1"/>
        <v>3</v>
      </c>
      <c r="P18" s="23" t="str">
        <f t="shared" si="2"/>
        <v/>
      </c>
      <c r="Q18" s="23">
        <f>COUNTIFS('AC Members v40'!$B$4:$B$148,$A18,'AC Members v40'!$D$4:$D$148,"MEMBER",'AC Members v40'!$J$4:$J$148,"Y")</f>
        <v>0</v>
      </c>
      <c r="R18" s="23">
        <f>COUNTIFS('AC Members v40'!$B$4:$B$148,$A18,'AC Members v40'!$D$4:$D$148,"MEMBER",'AC Members v40'!$J$4:$J$148,"N")</f>
        <v>0</v>
      </c>
      <c r="S18" s="23">
        <f>COUNTIFS('AC Members v40'!$B$4:$B$148,$A18,'AC Members v40'!$D$4:$D$148,"MEMBER",'AC Members v40'!$J$4:$J$148,"U")</f>
        <v>3</v>
      </c>
      <c r="T18" s="23" t="s">
        <v>4352</v>
      </c>
      <c r="U18" s="67" t="str">
        <f t="shared" si="3"/>
        <v/>
      </c>
      <c r="V18" s="67" t="str">
        <f t="shared" si="4"/>
        <v/>
      </c>
      <c r="W18" s="23">
        <f>COUNTIFS('AC Members v40'!$B$4:$B$148,$A18,'AC Members v40'!$D$4:$D$148,"MEMBER",'AC Members v40'!$N$4:$N$148,1)</f>
        <v>3</v>
      </c>
      <c r="X18" s="23">
        <f t="shared" si="5"/>
        <v>0</v>
      </c>
      <c r="Y18" s="23">
        <f>COUNTIFS('AC Members v40'!$B$4:$B$148,$A18,'AC Members v40'!$D$4:$D$148,"MEMBER",'AC Members v40'!$L$4:$L$148,"UNK",'AC Members v40'!$N$4:$N$148,0)</f>
        <v>0</v>
      </c>
      <c r="Z18" s="23" t="s">
        <v>1008</v>
      </c>
      <c r="AA18" s="23">
        <f t="shared" si="6"/>
        <v>1</v>
      </c>
      <c r="AB18" s="23" t="str">
        <f t="shared" si="7"/>
        <v>کامل</v>
      </c>
      <c r="AC18" s="67">
        <f t="shared" si="8"/>
        <v>1</v>
      </c>
      <c r="AD18" s="23"/>
      <c r="AE18" s="23" t="s">
        <v>4352</v>
      </c>
      <c r="AF18" s="23" t="str">
        <f t="shared" si="9"/>
        <v/>
      </c>
      <c r="AG18" s="23"/>
      <c r="AH18" s="23"/>
      <c r="AI18" s="23">
        <f>SUMIFS('AC Members v40'!$Q$4:$Q$148,'AC Members v40'!$B$4:$B$148,$A18,'AC Members v40'!$U$4:$U$148,1)</f>
        <v>0</v>
      </c>
      <c r="AJ18" s="23">
        <f>SUMIFS('AC Members v40'!$R$4:$R$148,'AC Members v40'!$B$4:$B$148,$A18,'AC Members v40'!$U$4:$U$148,1)</f>
        <v>0</v>
      </c>
      <c r="AK18" s="23">
        <f>COUNTIFS('AC Members v40'!$B$4:$B$148,$A18,'AC Members v40'!$U$4:$U$148,1)</f>
        <v>0</v>
      </c>
      <c r="AL18" s="67" t="str">
        <f t="shared" si="10"/>
        <v/>
      </c>
      <c r="AM18" s="23" t="s">
        <v>4352</v>
      </c>
      <c r="AN18" s="23" t="s">
        <v>3969</v>
      </c>
      <c r="AO18" s="23" t="s">
        <v>3973</v>
      </c>
      <c r="AP18" s="23" t="s">
        <v>4406</v>
      </c>
    </row>
    <row r="19" spans="1:42" ht="29" customHeight="1" x14ac:dyDescent="0.2">
      <c r="A19" s="25" t="s">
        <v>171</v>
      </c>
      <c r="B19" s="25" t="s">
        <v>1381</v>
      </c>
      <c r="C19" s="25" t="s">
        <v>4349</v>
      </c>
      <c r="D19" s="25" t="s">
        <v>1859</v>
      </c>
      <c r="E19" s="25" t="s">
        <v>4350</v>
      </c>
      <c r="F19" s="25" t="s">
        <v>1008</v>
      </c>
      <c r="G19" s="25">
        <f t="shared" si="0"/>
        <v>1</v>
      </c>
      <c r="H19" s="25"/>
      <c r="I19" s="25" t="s">
        <v>4402</v>
      </c>
      <c r="J19" s="25" t="s">
        <v>1008</v>
      </c>
      <c r="K19" s="25">
        <f>COUNTIFS('AC Members v40'!$B$4:$B$148,$A19,'AC Members v40'!$D$4:$D$148,"MEMBER")</f>
        <v>5</v>
      </c>
      <c r="L19" s="25">
        <f>COUNTIFS('AC Members v40'!$B$4:$B$148,$A19,'AC Members v40'!$D$4:$D$148,"SECRETARY")</f>
        <v>0</v>
      </c>
      <c r="M19" s="25">
        <f>COUNTIFS('AC Members v40'!$B$4:$B$148,$A19,'AC Members v40'!$D$4:$D$148,"FORMER")</f>
        <v>0</v>
      </c>
      <c r="N19" s="25">
        <f>COUNTIFS('AC Members v40'!$B$4:$B$148,$A19,'AC Members v40'!$D$4:$D$148,"POST_ASOF")</f>
        <v>0</v>
      </c>
      <c r="O19" s="25">
        <f t="shared" si="1"/>
        <v>5</v>
      </c>
      <c r="P19" s="25" t="str">
        <f t="shared" si="2"/>
        <v/>
      </c>
      <c r="Q19" s="25">
        <f>COUNTIFS('AC Members v40'!$B$4:$B$148,$A19,'AC Members v40'!$D$4:$D$148,"MEMBER",'AC Members v40'!$J$4:$J$148,"Y")</f>
        <v>0</v>
      </c>
      <c r="R19" s="25">
        <f>COUNTIFS('AC Members v40'!$B$4:$B$148,$A19,'AC Members v40'!$D$4:$D$148,"MEMBER",'AC Members v40'!$J$4:$J$148,"N")</f>
        <v>0</v>
      </c>
      <c r="S19" s="25">
        <f>COUNTIFS('AC Members v40'!$B$4:$B$148,$A19,'AC Members v40'!$D$4:$D$148,"MEMBER",'AC Members v40'!$J$4:$J$148,"U")</f>
        <v>5</v>
      </c>
      <c r="T19" s="25" t="s">
        <v>4352</v>
      </c>
      <c r="U19" s="68" t="str">
        <f t="shared" si="3"/>
        <v/>
      </c>
      <c r="V19" s="68" t="str">
        <f t="shared" si="4"/>
        <v/>
      </c>
      <c r="W19" s="25">
        <f>COUNTIFS('AC Members v40'!$B$4:$B$148,$A19,'AC Members v40'!$D$4:$D$148,"MEMBER",'AC Members v40'!$N$4:$N$148,1)</f>
        <v>3</v>
      </c>
      <c r="X19" s="25">
        <f t="shared" si="5"/>
        <v>2</v>
      </c>
      <c r="Y19" s="25">
        <f>COUNTIFS('AC Members v40'!$B$4:$B$148,$A19,'AC Members v40'!$D$4:$D$148,"MEMBER",'AC Members v40'!$L$4:$L$148,"UNK",'AC Members v40'!$N$4:$N$148,0)</f>
        <v>0</v>
      </c>
      <c r="Z19" s="25" t="s">
        <v>1008</v>
      </c>
      <c r="AA19" s="25">
        <f t="shared" si="6"/>
        <v>1</v>
      </c>
      <c r="AB19" s="25" t="str">
        <f t="shared" si="7"/>
        <v>کامل</v>
      </c>
      <c r="AC19" s="68">
        <f t="shared" si="8"/>
        <v>0.6</v>
      </c>
      <c r="AD19" s="25">
        <v>22</v>
      </c>
      <c r="AE19" s="25" t="s">
        <v>1008</v>
      </c>
      <c r="AF19" s="25">
        <f t="shared" si="9"/>
        <v>22</v>
      </c>
      <c r="AG19" s="25" t="s">
        <v>4353</v>
      </c>
      <c r="AH19" s="25">
        <v>12</v>
      </c>
      <c r="AI19" s="25">
        <f>SUMIFS('AC Members v40'!$Q$4:$Q$148,'AC Members v40'!$B$4:$B$148,$A19,'AC Members v40'!$U$4:$U$148,1)</f>
        <v>108</v>
      </c>
      <c r="AJ19" s="25">
        <f>SUMIFS('AC Members v40'!$R$4:$R$148,'AC Members v40'!$B$4:$B$148,$A19,'AC Members v40'!$U$4:$U$148,1)</f>
        <v>110</v>
      </c>
      <c r="AK19" s="25">
        <f>COUNTIFS('AC Members v40'!$B$4:$B$148,$A19,'AC Members v40'!$U$4:$U$148,1)</f>
        <v>5</v>
      </c>
      <c r="AL19" s="68">
        <f t="shared" si="10"/>
        <v>0.98181818181818181</v>
      </c>
      <c r="AM19" s="25" t="s">
        <v>1008</v>
      </c>
      <c r="AN19" s="25" t="s">
        <v>3986</v>
      </c>
      <c r="AO19" s="25" t="s">
        <v>3989</v>
      </c>
      <c r="AP19" s="25" t="s">
        <v>4407</v>
      </c>
    </row>
    <row r="20" spans="1:42" ht="43.5" customHeight="1" x14ac:dyDescent="0.2">
      <c r="A20" s="23" t="s">
        <v>174</v>
      </c>
      <c r="B20" s="23" t="s">
        <v>4408</v>
      </c>
      <c r="C20" s="23" t="s">
        <v>4409</v>
      </c>
      <c r="D20" s="23" t="s">
        <v>4400</v>
      </c>
      <c r="E20" s="23" t="s">
        <v>4401</v>
      </c>
      <c r="F20" s="23" t="s">
        <v>1008</v>
      </c>
      <c r="G20" s="23">
        <f t="shared" si="0"/>
        <v>1</v>
      </c>
      <c r="H20" s="23"/>
      <c r="I20" s="23" t="s">
        <v>4402</v>
      </c>
      <c r="J20" s="23" t="s">
        <v>1008</v>
      </c>
      <c r="K20" s="23">
        <f>COUNTIFS('AC Members v40'!$B$4:$B$148,$A20,'AC Members v40'!$D$4:$D$148,"MEMBER")</f>
        <v>5</v>
      </c>
      <c r="L20" s="23">
        <f>COUNTIFS('AC Members v40'!$B$4:$B$148,$A20,'AC Members v40'!$D$4:$D$148,"SECRETARY")</f>
        <v>0</v>
      </c>
      <c r="M20" s="23">
        <f>COUNTIFS('AC Members v40'!$B$4:$B$148,$A20,'AC Members v40'!$D$4:$D$148,"FORMER")</f>
        <v>0</v>
      </c>
      <c r="N20" s="23">
        <f>COUNTIFS('AC Members v40'!$B$4:$B$148,$A20,'AC Members v40'!$D$4:$D$148,"POST_ASOF")</f>
        <v>0</v>
      </c>
      <c r="O20" s="23">
        <f t="shared" si="1"/>
        <v>5</v>
      </c>
      <c r="P20" s="23" t="str">
        <f t="shared" si="2"/>
        <v/>
      </c>
      <c r="Q20" s="23">
        <f>COUNTIFS('AC Members v40'!$B$4:$B$148,$A20,'AC Members v40'!$D$4:$D$148,"MEMBER",'AC Members v40'!$J$4:$J$148,"Y")</f>
        <v>0</v>
      </c>
      <c r="R20" s="23">
        <f>COUNTIFS('AC Members v40'!$B$4:$B$148,$A20,'AC Members v40'!$D$4:$D$148,"MEMBER",'AC Members v40'!$J$4:$J$148,"N")</f>
        <v>0</v>
      </c>
      <c r="S20" s="23">
        <f>COUNTIFS('AC Members v40'!$B$4:$B$148,$A20,'AC Members v40'!$D$4:$D$148,"MEMBER",'AC Members v40'!$J$4:$J$148,"U")</f>
        <v>5</v>
      </c>
      <c r="T20" s="23" t="s">
        <v>4352</v>
      </c>
      <c r="U20" s="67" t="str">
        <f t="shared" si="3"/>
        <v/>
      </c>
      <c r="V20" s="67" t="str">
        <f t="shared" si="4"/>
        <v/>
      </c>
      <c r="W20" s="23">
        <f>COUNTIFS('AC Members v40'!$B$4:$B$148,$A20,'AC Members v40'!$D$4:$D$148,"MEMBER",'AC Members v40'!$N$4:$N$148,1)</f>
        <v>4</v>
      </c>
      <c r="X20" s="23">
        <f t="shared" si="5"/>
        <v>1</v>
      </c>
      <c r="Y20" s="23">
        <f>COUNTIFS('AC Members v40'!$B$4:$B$148,$A20,'AC Members v40'!$D$4:$D$148,"MEMBER",'AC Members v40'!$L$4:$L$148,"UNK",'AC Members v40'!$N$4:$N$148,0)</f>
        <v>0</v>
      </c>
      <c r="Z20" s="23" t="s">
        <v>1008</v>
      </c>
      <c r="AA20" s="23">
        <f t="shared" si="6"/>
        <v>1</v>
      </c>
      <c r="AB20" s="23" t="str">
        <f t="shared" si="7"/>
        <v>کامل</v>
      </c>
      <c r="AC20" s="67">
        <f t="shared" si="8"/>
        <v>0.8</v>
      </c>
      <c r="AD20" s="23">
        <v>19</v>
      </c>
      <c r="AE20" s="23" t="s">
        <v>1008</v>
      </c>
      <c r="AF20" s="23">
        <f t="shared" si="9"/>
        <v>19</v>
      </c>
      <c r="AG20" s="23" t="s">
        <v>4410</v>
      </c>
      <c r="AH20" s="23">
        <v>9</v>
      </c>
      <c r="AI20" s="23">
        <f>SUMIFS('AC Members v40'!$Q$4:$Q$148,'AC Members v40'!$B$4:$B$148,$A20,'AC Members v40'!$U$4:$U$148,1)</f>
        <v>57</v>
      </c>
      <c r="AJ20" s="23">
        <f>SUMIFS('AC Members v40'!$R$4:$R$148,'AC Members v40'!$B$4:$B$148,$A20,'AC Members v40'!$U$4:$U$148,1)</f>
        <v>57</v>
      </c>
      <c r="AK20" s="23">
        <f>COUNTIFS('AC Members v40'!$B$4:$B$148,$A20,'AC Members v40'!$U$4:$U$148,1)</f>
        <v>3</v>
      </c>
      <c r="AL20" s="67">
        <f t="shared" si="10"/>
        <v>1</v>
      </c>
      <c r="AM20" s="23" t="s">
        <v>3897</v>
      </c>
      <c r="AN20" s="23" t="s">
        <v>2770</v>
      </c>
      <c r="AO20" s="23" t="s">
        <v>4006</v>
      </c>
      <c r="AP20" s="23" t="s">
        <v>4411</v>
      </c>
    </row>
    <row r="21" spans="1:42" ht="43.5" customHeight="1" x14ac:dyDescent="0.2">
      <c r="A21" s="25" t="s">
        <v>179</v>
      </c>
      <c r="B21" s="25" t="s">
        <v>4412</v>
      </c>
      <c r="C21" s="25" t="s">
        <v>4409</v>
      </c>
      <c r="D21" s="25" t="s">
        <v>4400</v>
      </c>
      <c r="E21" s="25" t="s">
        <v>4401</v>
      </c>
      <c r="F21" s="25" t="s">
        <v>1008</v>
      </c>
      <c r="G21" s="25">
        <f t="shared" si="0"/>
        <v>1</v>
      </c>
      <c r="H21" s="25"/>
      <c r="I21" s="25" t="s">
        <v>4413</v>
      </c>
      <c r="J21" s="25" t="s">
        <v>1008</v>
      </c>
      <c r="K21" s="25">
        <f>COUNTIFS('AC Members v40'!$B$4:$B$148,$A21,'AC Members v40'!$D$4:$D$148,"MEMBER")</f>
        <v>3</v>
      </c>
      <c r="L21" s="25">
        <f>COUNTIFS('AC Members v40'!$B$4:$B$148,$A21,'AC Members v40'!$D$4:$D$148,"SECRETARY")</f>
        <v>1</v>
      </c>
      <c r="M21" s="25">
        <f>COUNTIFS('AC Members v40'!$B$4:$B$148,$A21,'AC Members v40'!$D$4:$D$148,"FORMER")</f>
        <v>1</v>
      </c>
      <c r="N21" s="25">
        <f>COUNTIFS('AC Members v40'!$B$4:$B$148,$A21,'AC Members v40'!$D$4:$D$148,"POST_ASOF")</f>
        <v>0</v>
      </c>
      <c r="O21" s="25">
        <f t="shared" si="1"/>
        <v>3</v>
      </c>
      <c r="P21" s="25" t="str">
        <f t="shared" si="2"/>
        <v/>
      </c>
      <c r="Q21" s="25">
        <f>COUNTIFS('AC Members v40'!$B$4:$B$148,$A21,'AC Members v40'!$D$4:$D$148,"MEMBER",'AC Members v40'!$J$4:$J$148,"Y")</f>
        <v>0</v>
      </c>
      <c r="R21" s="25">
        <f>COUNTIFS('AC Members v40'!$B$4:$B$148,$A21,'AC Members v40'!$D$4:$D$148,"MEMBER",'AC Members v40'!$J$4:$J$148,"N")</f>
        <v>0</v>
      </c>
      <c r="S21" s="25">
        <f>COUNTIFS('AC Members v40'!$B$4:$B$148,$A21,'AC Members v40'!$D$4:$D$148,"MEMBER",'AC Members v40'!$J$4:$J$148,"U")</f>
        <v>3</v>
      </c>
      <c r="T21" s="25" t="s">
        <v>4352</v>
      </c>
      <c r="U21" s="68" t="str">
        <f t="shared" si="3"/>
        <v/>
      </c>
      <c r="V21" s="68" t="str">
        <f t="shared" si="4"/>
        <v/>
      </c>
      <c r="W21" s="25">
        <f>COUNTIFS('AC Members v40'!$B$4:$B$148,$A21,'AC Members v40'!$D$4:$D$148,"MEMBER",'AC Members v40'!$N$4:$N$148,1)</f>
        <v>2</v>
      </c>
      <c r="X21" s="25">
        <f t="shared" si="5"/>
        <v>1</v>
      </c>
      <c r="Y21" s="25">
        <f>COUNTIFS('AC Members v40'!$B$4:$B$148,$A21,'AC Members v40'!$D$4:$D$148,"MEMBER",'AC Members v40'!$L$4:$L$148,"UNK",'AC Members v40'!$N$4:$N$148,0)</f>
        <v>0</v>
      </c>
      <c r="Z21" s="25" t="s">
        <v>1008</v>
      </c>
      <c r="AA21" s="25">
        <f t="shared" si="6"/>
        <v>1</v>
      </c>
      <c r="AB21" s="25" t="str">
        <f t="shared" si="7"/>
        <v>کامل</v>
      </c>
      <c r="AC21" s="68">
        <f t="shared" si="8"/>
        <v>0.66666666666666663</v>
      </c>
      <c r="AD21" s="25"/>
      <c r="AE21" s="25" t="s">
        <v>4352</v>
      </c>
      <c r="AF21" s="25" t="str">
        <f t="shared" si="9"/>
        <v/>
      </c>
      <c r="AG21" s="25"/>
      <c r="AH21" s="25"/>
      <c r="AI21" s="25">
        <f>SUMIFS('AC Members v40'!$Q$4:$Q$148,'AC Members v40'!$B$4:$B$148,$A21,'AC Members v40'!$U$4:$U$148,1)</f>
        <v>0</v>
      </c>
      <c r="AJ21" s="25">
        <f>SUMIFS('AC Members v40'!$R$4:$R$148,'AC Members v40'!$B$4:$B$148,$A21,'AC Members v40'!$U$4:$U$148,1)</f>
        <v>0</v>
      </c>
      <c r="AK21" s="25">
        <f>COUNTIFS('AC Members v40'!$B$4:$B$148,$A21,'AC Members v40'!$U$4:$U$148,1)</f>
        <v>0</v>
      </c>
      <c r="AL21" s="68" t="str">
        <f t="shared" si="10"/>
        <v/>
      </c>
      <c r="AM21" s="25" t="s">
        <v>3897</v>
      </c>
      <c r="AN21" s="25" t="s">
        <v>4028</v>
      </c>
      <c r="AO21" s="25" t="s">
        <v>4032</v>
      </c>
      <c r="AP21" s="25" t="s">
        <v>4414</v>
      </c>
    </row>
    <row r="22" spans="1:42" ht="29" customHeight="1" x14ac:dyDescent="0.2">
      <c r="A22" s="23" t="s">
        <v>182</v>
      </c>
      <c r="B22" s="23" t="s">
        <v>1398</v>
      </c>
      <c r="C22" s="23" t="s">
        <v>4415</v>
      </c>
      <c r="D22" s="23" t="s">
        <v>3879</v>
      </c>
      <c r="E22" s="23" t="s">
        <v>4416</v>
      </c>
      <c r="F22" s="23" t="s">
        <v>1008</v>
      </c>
      <c r="G22" s="23">
        <f t="shared" si="0"/>
        <v>1</v>
      </c>
      <c r="H22" s="23"/>
      <c r="I22" s="23" t="s">
        <v>4417</v>
      </c>
      <c r="J22" s="23" t="s">
        <v>1008</v>
      </c>
      <c r="K22" s="23">
        <f>COUNTIFS('AC Members v40'!$B$4:$B$148,$A22,'AC Members v40'!$D$4:$D$148,"MEMBER")</f>
        <v>3</v>
      </c>
      <c r="L22" s="23">
        <f>COUNTIFS('AC Members v40'!$B$4:$B$148,$A22,'AC Members v40'!$D$4:$D$148,"SECRETARY")</f>
        <v>0</v>
      </c>
      <c r="M22" s="23">
        <f>COUNTIFS('AC Members v40'!$B$4:$B$148,$A22,'AC Members v40'!$D$4:$D$148,"FORMER")</f>
        <v>1</v>
      </c>
      <c r="N22" s="23">
        <f>COUNTIFS('AC Members v40'!$B$4:$B$148,$A22,'AC Members v40'!$D$4:$D$148,"POST_ASOF")</f>
        <v>0</v>
      </c>
      <c r="O22" s="23">
        <f t="shared" si="1"/>
        <v>3</v>
      </c>
      <c r="P22" s="23" t="str">
        <f t="shared" si="2"/>
        <v/>
      </c>
      <c r="Q22" s="23">
        <f>COUNTIFS('AC Members v40'!$B$4:$B$148,$A22,'AC Members v40'!$D$4:$D$148,"MEMBER",'AC Members v40'!$J$4:$J$148,"Y")</f>
        <v>2</v>
      </c>
      <c r="R22" s="23">
        <f>COUNTIFS('AC Members v40'!$B$4:$B$148,$A22,'AC Members v40'!$D$4:$D$148,"MEMBER",'AC Members v40'!$J$4:$J$148,"N")</f>
        <v>1</v>
      </c>
      <c r="S22" s="23">
        <f>COUNTIFS('AC Members v40'!$B$4:$B$148,$A22,'AC Members v40'!$D$4:$D$148,"MEMBER",'AC Members v40'!$J$4:$J$148,"U")</f>
        <v>0</v>
      </c>
      <c r="T22" s="23" t="s">
        <v>1008</v>
      </c>
      <c r="U22" s="67">
        <f t="shared" si="3"/>
        <v>0.66666666666666663</v>
      </c>
      <c r="V22" s="67">
        <f t="shared" si="4"/>
        <v>0.66666666666666663</v>
      </c>
      <c r="W22" s="23">
        <f>COUNTIFS('AC Members v40'!$B$4:$B$148,$A22,'AC Members v40'!$D$4:$D$148,"MEMBER",'AC Members v40'!$N$4:$N$148,1)</f>
        <v>3</v>
      </c>
      <c r="X22" s="23">
        <f t="shared" si="5"/>
        <v>0</v>
      </c>
      <c r="Y22" s="23">
        <f>COUNTIFS('AC Members v40'!$B$4:$B$148,$A22,'AC Members v40'!$D$4:$D$148,"MEMBER",'AC Members v40'!$L$4:$L$148,"UNK",'AC Members v40'!$N$4:$N$148,0)</f>
        <v>0</v>
      </c>
      <c r="Z22" s="23" t="s">
        <v>1008</v>
      </c>
      <c r="AA22" s="23">
        <f t="shared" si="6"/>
        <v>1</v>
      </c>
      <c r="AB22" s="23" t="str">
        <f t="shared" si="7"/>
        <v>کامل</v>
      </c>
      <c r="AC22" s="67">
        <f t="shared" si="8"/>
        <v>1</v>
      </c>
      <c r="AD22" s="23">
        <v>13</v>
      </c>
      <c r="AE22" s="23" t="s">
        <v>1008</v>
      </c>
      <c r="AF22" s="23">
        <f t="shared" si="9"/>
        <v>13</v>
      </c>
      <c r="AG22" s="23" t="s">
        <v>4418</v>
      </c>
      <c r="AH22" s="23">
        <v>12</v>
      </c>
      <c r="AI22" s="23">
        <f>SUMIFS('AC Members v40'!$Q$4:$Q$148,'AC Members v40'!$B$4:$B$148,$A22,'AC Members v40'!$U$4:$U$148,1)</f>
        <v>26</v>
      </c>
      <c r="AJ22" s="23">
        <f>SUMIFS('AC Members v40'!$R$4:$R$148,'AC Members v40'!$B$4:$B$148,$A22,'AC Members v40'!$U$4:$U$148,1)</f>
        <v>26</v>
      </c>
      <c r="AK22" s="23">
        <f>COUNTIFS('AC Members v40'!$B$4:$B$148,$A22,'AC Members v40'!$U$4:$U$148,1)</f>
        <v>2</v>
      </c>
      <c r="AL22" s="67">
        <f t="shared" si="10"/>
        <v>1</v>
      </c>
      <c r="AM22" s="23" t="s">
        <v>3897</v>
      </c>
      <c r="AN22" s="23" t="s">
        <v>2795</v>
      </c>
      <c r="AO22" s="23" t="s">
        <v>4058</v>
      </c>
      <c r="AP22" s="23" t="s">
        <v>4419</v>
      </c>
    </row>
    <row r="23" spans="1:42" ht="29" customHeight="1" x14ac:dyDescent="0.2">
      <c r="A23" s="25" t="s">
        <v>187</v>
      </c>
      <c r="B23" s="25" t="s">
        <v>4420</v>
      </c>
      <c r="C23" s="25" t="s">
        <v>4349</v>
      </c>
      <c r="D23" s="25" t="s">
        <v>1859</v>
      </c>
      <c r="E23" s="25" t="s">
        <v>4350</v>
      </c>
      <c r="F23" s="25" t="s">
        <v>1008</v>
      </c>
      <c r="G23" s="25">
        <f t="shared" si="0"/>
        <v>1</v>
      </c>
      <c r="H23" s="25"/>
      <c r="I23" s="25" t="s">
        <v>4421</v>
      </c>
      <c r="J23" s="25" t="s">
        <v>1008</v>
      </c>
      <c r="K23" s="25">
        <f>COUNTIFS('AC Members v40'!$B$4:$B$148,$A23,'AC Members v40'!$D$4:$D$148,"MEMBER")</f>
        <v>5</v>
      </c>
      <c r="L23" s="25">
        <f>COUNTIFS('AC Members v40'!$B$4:$B$148,$A23,'AC Members v40'!$D$4:$D$148,"SECRETARY")</f>
        <v>0</v>
      </c>
      <c r="M23" s="25">
        <f>COUNTIFS('AC Members v40'!$B$4:$B$148,$A23,'AC Members v40'!$D$4:$D$148,"FORMER")</f>
        <v>0</v>
      </c>
      <c r="N23" s="25">
        <f>COUNTIFS('AC Members v40'!$B$4:$B$148,$A23,'AC Members v40'!$D$4:$D$148,"POST_ASOF")</f>
        <v>0</v>
      </c>
      <c r="O23" s="25">
        <f t="shared" si="1"/>
        <v>5</v>
      </c>
      <c r="P23" s="25" t="str">
        <f t="shared" si="2"/>
        <v/>
      </c>
      <c r="Q23" s="25">
        <f>COUNTIFS('AC Members v40'!$B$4:$B$148,$A23,'AC Members v40'!$D$4:$D$148,"MEMBER",'AC Members v40'!$J$4:$J$148,"Y")</f>
        <v>3</v>
      </c>
      <c r="R23" s="25">
        <f>COUNTIFS('AC Members v40'!$B$4:$B$148,$A23,'AC Members v40'!$D$4:$D$148,"MEMBER",'AC Members v40'!$J$4:$J$148,"N")</f>
        <v>2</v>
      </c>
      <c r="S23" s="25">
        <f>COUNTIFS('AC Members v40'!$B$4:$B$148,$A23,'AC Members v40'!$D$4:$D$148,"MEMBER",'AC Members v40'!$J$4:$J$148,"U")</f>
        <v>0</v>
      </c>
      <c r="T23" s="25" t="s">
        <v>1008</v>
      </c>
      <c r="U23" s="68">
        <f t="shared" si="3"/>
        <v>0.6</v>
      </c>
      <c r="V23" s="68">
        <f t="shared" si="4"/>
        <v>0.6</v>
      </c>
      <c r="W23" s="25">
        <f>COUNTIFS('AC Members v40'!$B$4:$B$148,$A23,'AC Members v40'!$D$4:$D$148,"MEMBER",'AC Members v40'!$N$4:$N$148,1)</f>
        <v>3</v>
      </c>
      <c r="X23" s="25">
        <f t="shared" si="5"/>
        <v>2</v>
      </c>
      <c r="Y23" s="25">
        <f>COUNTIFS('AC Members v40'!$B$4:$B$148,$A23,'AC Members v40'!$D$4:$D$148,"MEMBER",'AC Members v40'!$L$4:$L$148,"UNK",'AC Members v40'!$N$4:$N$148,0)</f>
        <v>0</v>
      </c>
      <c r="Z23" s="25" t="s">
        <v>1008</v>
      </c>
      <c r="AA23" s="25">
        <f t="shared" si="6"/>
        <v>1</v>
      </c>
      <c r="AB23" s="25" t="str">
        <f t="shared" si="7"/>
        <v>کامل</v>
      </c>
      <c r="AC23" s="68">
        <f t="shared" si="8"/>
        <v>0.6</v>
      </c>
      <c r="AD23" s="25"/>
      <c r="AE23" s="25" t="s">
        <v>4352</v>
      </c>
      <c r="AF23" s="25" t="str">
        <f t="shared" si="9"/>
        <v/>
      </c>
      <c r="AG23" s="25"/>
      <c r="AH23" s="25"/>
      <c r="AI23" s="25">
        <f>SUMIFS('AC Members v40'!$Q$4:$Q$148,'AC Members v40'!$B$4:$B$148,$A23,'AC Members v40'!$U$4:$U$148,1)</f>
        <v>0</v>
      </c>
      <c r="AJ23" s="25">
        <f>SUMIFS('AC Members v40'!$R$4:$R$148,'AC Members v40'!$B$4:$B$148,$A23,'AC Members v40'!$U$4:$U$148,1)</f>
        <v>0</v>
      </c>
      <c r="AK23" s="25">
        <f>COUNTIFS('AC Members v40'!$B$4:$B$148,$A23,'AC Members v40'!$U$4:$U$148,1)</f>
        <v>0</v>
      </c>
      <c r="AL23" s="68" t="str">
        <f t="shared" si="10"/>
        <v/>
      </c>
      <c r="AM23" s="25" t="s">
        <v>3897</v>
      </c>
      <c r="AN23" s="25" t="s">
        <v>4076</v>
      </c>
      <c r="AO23" s="25" t="s">
        <v>4080</v>
      </c>
      <c r="AP23" s="25" t="s">
        <v>4422</v>
      </c>
    </row>
    <row r="24" spans="1:42" ht="29" customHeight="1" x14ac:dyDescent="0.2">
      <c r="A24" s="23" t="s">
        <v>190</v>
      </c>
      <c r="B24" s="23" t="s">
        <v>4423</v>
      </c>
      <c r="C24" s="23" t="s">
        <v>4349</v>
      </c>
      <c r="D24" s="23" t="s">
        <v>1859</v>
      </c>
      <c r="E24" s="23" t="s">
        <v>4350</v>
      </c>
      <c r="F24" s="23" t="s">
        <v>1008</v>
      </c>
      <c r="G24" s="23">
        <f t="shared" si="0"/>
        <v>1</v>
      </c>
      <c r="H24" s="23"/>
      <c r="I24" s="23" t="s">
        <v>4424</v>
      </c>
      <c r="J24" s="23" t="s">
        <v>1008</v>
      </c>
      <c r="K24" s="23">
        <f>COUNTIFS('AC Members v40'!$B$4:$B$148,$A24,'AC Members v40'!$D$4:$D$148,"MEMBER")</f>
        <v>5</v>
      </c>
      <c r="L24" s="23">
        <f>COUNTIFS('AC Members v40'!$B$4:$B$148,$A24,'AC Members v40'!$D$4:$D$148,"SECRETARY")</f>
        <v>1</v>
      </c>
      <c r="M24" s="23">
        <f>COUNTIFS('AC Members v40'!$B$4:$B$148,$A24,'AC Members v40'!$D$4:$D$148,"FORMER")</f>
        <v>0</v>
      </c>
      <c r="N24" s="23">
        <f>COUNTIFS('AC Members v40'!$B$4:$B$148,$A24,'AC Members v40'!$D$4:$D$148,"POST_ASOF")</f>
        <v>0</v>
      </c>
      <c r="O24" s="23">
        <f t="shared" si="1"/>
        <v>5</v>
      </c>
      <c r="P24" s="23" t="str">
        <f t="shared" si="2"/>
        <v/>
      </c>
      <c r="Q24" s="23">
        <f>COUNTIFS('AC Members v40'!$B$4:$B$148,$A24,'AC Members v40'!$D$4:$D$148,"MEMBER",'AC Members v40'!$J$4:$J$148,"Y")</f>
        <v>0</v>
      </c>
      <c r="R24" s="23">
        <f>COUNTIFS('AC Members v40'!$B$4:$B$148,$A24,'AC Members v40'!$D$4:$D$148,"MEMBER",'AC Members v40'!$J$4:$J$148,"N")</f>
        <v>0</v>
      </c>
      <c r="S24" s="23">
        <f>COUNTIFS('AC Members v40'!$B$4:$B$148,$A24,'AC Members v40'!$D$4:$D$148,"MEMBER",'AC Members v40'!$J$4:$J$148,"U")</f>
        <v>5</v>
      </c>
      <c r="T24" s="23" t="s">
        <v>4352</v>
      </c>
      <c r="U24" s="67" t="str">
        <f t="shared" si="3"/>
        <v/>
      </c>
      <c r="V24" s="67" t="str">
        <f t="shared" si="4"/>
        <v/>
      </c>
      <c r="W24" s="23">
        <f>COUNTIFS('AC Members v40'!$B$4:$B$148,$A24,'AC Members v40'!$D$4:$D$148,"MEMBER",'AC Members v40'!$N$4:$N$148,1)</f>
        <v>1</v>
      </c>
      <c r="X24" s="23">
        <f t="shared" si="5"/>
        <v>4</v>
      </c>
      <c r="Y24" s="23">
        <f>COUNTIFS('AC Members v40'!$B$4:$B$148,$A24,'AC Members v40'!$D$4:$D$148,"MEMBER",'AC Members v40'!$L$4:$L$148,"UNK",'AC Members v40'!$N$4:$N$148,0)</f>
        <v>4</v>
      </c>
      <c r="Z24" s="23" t="s">
        <v>1008</v>
      </c>
      <c r="AA24" s="23">
        <f t="shared" si="6"/>
        <v>1</v>
      </c>
      <c r="AB24" s="23" t="str">
        <f t="shared" si="7"/>
        <v>ناقص (حد پایین)</v>
      </c>
      <c r="AC24" s="67">
        <f t="shared" si="8"/>
        <v>0.2</v>
      </c>
      <c r="AD24" s="23"/>
      <c r="AE24" s="23" t="s">
        <v>4352</v>
      </c>
      <c r="AF24" s="23" t="str">
        <f t="shared" si="9"/>
        <v/>
      </c>
      <c r="AG24" s="23"/>
      <c r="AH24" s="23"/>
      <c r="AI24" s="23">
        <f>SUMIFS('AC Members v40'!$Q$4:$Q$148,'AC Members v40'!$B$4:$B$148,$A24,'AC Members v40'!$U$4:$U$148,1)</f>
        <v>0</v>
      </c>
      <c r="AJ24" s="23">
        <f>SUMIFS('AC Members v40'!$R$4:$R$148,'AC Members v40'!$B$4:$B$148,$A24,'AC Members v40'!$U$4:$U$148,1)</f>
        <v>0</v>
      </c>
      <c r="AK24" s="23">
        <f>COUNTIFS('AC Members v40'!$B$4:$B$148,$A24,'AC Members v40'!$U$4:$U$148,1)</f>
        <v>0</v>
      </c>
      <c r="AL24" s="67" t="str">
        <f t="shared" si="10"/>
        <v/>
      </c>
      <c r="AM24" s="23" t="s">
        <v>4352</v>
      </c>
      <c r="AN24" s="23" t="s">
        <v>192</v>
      </c>
      <c r="AO24" s="23" t="s">
        <v>4100</v>
      </c>
      <c r="AP24" s="23" t="s">
        <v>4425</v>
      </c>
    </row>
    <row r="25" spans="1:42" ht="29" customHeight="1" x14ac:dyDescent="0.2">
      <c r="A25" s="25" t="s">
        <v>196</v>
      </c>
      <c r="B25" s="25" t="s">
        <v>1423</v>
      </c>
      <c r="C25" s="25" t="s">
        <v>4349</v>
      </c>
      <c r="D25" s="25" t="s">
        <v>1859</v>
      </c>
      <c r="E25" s="25" t="s">
        <v>4350</v>
      </c>
      <c r="F25" s="25" t="s">
        <v>1008</v>
      </c>
      <c r="G25" s="25">
        <f t="shared" si="0"/>
        <v>1</v>
      </c>
      <c r="H25" s="25"/>
      <c r="I25" s="25" t="s">
        <v>4426</v>
      </c>
      <c r="J25" s="25" t="s">
        <v>1008</v>
      </c>
      <c r="K25" s="25">
        <f>COUNTIFS('AC Members v40'!$B$4:$B$148,$A25,'AC Members v40'!$D$4:$D$148,"MEMBER")</f>
        <v>5</v>
      </c>
      <c r="L25" s="25">
        <f>COUNTIFS('AC Members v40'!$B$4:$B$148,$A25,'AC Members v40'!$D$4:$D$148,"SECRETARY")</f>
        <v>1</v>
      </c>
      <c r="M25" s="25">
        <f>COUNTIFS('AC Members v40'!$B$4:$B$148,$A25,'AC Members v40'!$D$4:$D$148,"FORMER")</f>
        <v>0</v>
      </c>
      <c r="N25" s="25">
        <f>COUNTIFS('AC Members v40'!$B$4:$B$148,$A25,'AC Members v40'!$D$4:$D$148,"POST_ASOF")</f>
        <v>0</v>
      </c>
      <c r="O25" s="25">
        <f t="shared" si="1"/>
        <v>5</v>
      </c>
      <c r="P25" s="25" t="str">
        <f t="shared" si="2"/>
        <v/>
      </c>
      <c r="Q25" s="25">
        <f>COUNTIFS('AC Members v40'!$B$4:$B$148,$A25,'AC Members v40'!$D$4:$D$148,"MEMBER",'AC Members v40'!$J$4:$J$148,"Y")</f>
        <v>0</v>
      </c>
      <c r="R25" s="25">
        <f>COUNTIFS('AC Members v40'!$B$4:$B$148,$A25,'AC Members v40'!$D$4:$D$148,"MEMBER",'AC Members v40'!$J$4:$J$148,"N")</f>
        <v>0</v>
      </c>
      <c r="S25" s="25">
        <f>COUNTIFS('AC Members v40'!$B$4:$B$148,$A25,'AC Members v40'!$D$4:$D$148,"MEMBER",'AC Members v40'!$J$4:$J$148,"U")</f>
        <v>5</v>
      </c>
      <c r="T25" s="25" t="s">
        <v>4352</v>
      </c>
      <c r="U25" s="68" t="str">
        <f t="shared" si="3"/>
        <v/>
      </c>
      <c r="V25" s="68" t="str">
        <f t="shared" si="4"/>
        <v/>
      </c>
      <c r="W25" s="25">
        <f>COUNTIFS('AC Members v40'!$B$4:$B$148,$A25,'AC Members v40'!$D$4:$D$148,"MEMBER",'AC Members v40'!$N$4:$N$148,1)</f>
        <v>4</v>
      </c>
      <c r="X25" s="25">
        <f t="shared" si="5"/>
        <v>1</v>
      </c>
      <c r="Y25" s="25">
        <f>COUNTIFS('AC Members v40'!$B$4:$B$148,$A25,'AC Members v40'!$D$4:$D$148,"MEMBER",'AC Members v40'!$L$4:$L$148,"UNK",'AC Members v40'!$N$4:$N$148,0)</f>
        <v>1</v>
      </c>
      <c r="Z25" s="25" t="s">
        <v>1008</v>
      </c>
      <c r="AA25" s="25">
        <f t="shared" si="6"/>
        <v>1</v>
      </c>
      <c r="AB25" s="25" t="str">
        <f t="shared" si="7"/>
        <v>ناقص (حد پایین)</v>
      </c>
      <c r="AC25" s="68">
        <f t="shared" si="8"/>
        <v>0.8</v>
      </c>
      <c r="AD25" s="25">
        <v>10</v>
      </c>
      <c r="AE25" s="25" t="s">
        <v>1008</v>
      </c>
      <c r="AF25" s="25">
        <f t="shared" si="9"/>
        <v>10</v>
      </c>
      <c r="AG25" s="25" t="s">
        <v>4353</v>
      </c>
      <c r="AH25" s="25">
        <v>12</v>
      </c>
      <c r="AI25" s="25">
        <f>SUMIFS('AC Members v40'!$Q$4:$Q$148,'AC Members v40'!$B$4:$B$148,$A25,'AC Members v40'!$U$4:$U$148,1)</f>
        <v>50</v>
      </c>
      <c r="AJ25" s="25">
        <f>SUMIFS('AC Members v40'!$R$4:$R$148,'AC Members v40'!$B$4:$B$148,$A25,'AC Members v40'!$U$4:$U$148,1)</f>
        <v>50</v>
      </c>
      <c r="AK25" s="25">
        <f>COUNTIFS('AC Members v40'!$B$4:$B$148,$A25,'AC Members v40'!$U$4:$U$148,1)</f>
        <v>5</v>
      </c>
      <c r="AL25" s="68">
        <f t="shared" si="10"/>
        <v>1</v>
      </c>
      <c r="AM25" s="25" t="s">
        <v>1008</v>
      </c>
      <c r="AN25" s="25" t="s">
        <v>4118</v>
      </c>
      <c r="AO25" s="25" t="s">
        <v>4121</v>
      </c>
      <c r="AP25" s="25" t="s">
        <v>4427</v>
      </c>
    </row>
    <row r="26" spans="1:42" ht="43.5" customHeight="1" x14ac:dyDescent="0.2">
      <c r="A26" s="23" t="s">
        <v>199</v>
      </c>
      <c r="B26" s="23" t="s">
        <v>1436</v>
      </c>
      <c r="C26" s="23" t="s">
        <v>4428</v>
      </c>
      <c r="D26" s="23" t="s">
        <v>4429</v>
      </c>
      <c r="E26" s="23" t="s">
        <v>4430</v>
      </c>
      <c r="F26" s="23" t="s">
        <v>1008</v>
      </c>
      <c r="G26" s="23">
        <f t="shared" si="0"/>
        <v>1</v>
      </c>
      <c r="H26" s="23">
        <v>5</v>
      </c>
      <c r="I26" s="23" t="s">
        <v>4431</v>
      </c>
      <c r="J26" s="23" t="s">
        <v>1008</v>
      </c>
      <c r="K26" s="23">
        <f>COUNTIFS('AC Members v40'!$B$4:$B$148,$A26,'AC Members v40'!$D$4:$D$148,"MEMBER")</f>
        <v>5</v>
      </c>
      <c r="L26" s="23">
        <f>COUNTIFS('AC Members v40'!$B$4:$B$148,$A26,'AC Members v40'!$D$4:$D$148,"SECRETARY")</f>
        <v>0</v>
      </c>
      <c r="M26" s="23">
        <f>COUNTIFS('AC Members v40'!$B$4:$B$148,$A26,'AC Members v40'!$D$4:$D$148,"FORMER")</f>
        <v>0</v>
      </c>
      <c r="N26" s="23">
        <f>COUNTIFS('AC Members v40'!$B$4:$B$148,$A26,'AC Members v40'!$D$4:$D$148,"POST_ASOF")</f>
        <v>0</v>
      </c>
      <c r="O26" s="23">
        <f t="shared" si="1"/>
        <v>5</v>
      </c>
      <c r="P26" s="23">
        <f t="shared" si="2"/>
        <v>0</v>
      </c>
      <c r="Q26" s="23">
        <f>COUNTIFS('AC Members v40'!$B$4:$B$148,$A26,'AC Members v40'!$D$4:$D$148,"MEMBER",'AC Members v40'!$J$4:$J$148,"Y")</f>
        <v>3</v>
      </c>
      <c r="R26" s="23">
        <f>COUNTIFS('AC Members v40'!$B$4:$B$148,$A26,'AC Members v40'!$D$4:$D$148,"MEMBER",'AC Members v40'!$J$4:$J$148,"N")</f>
        <v>2</v>
      </c>
      <c r="S26" s="23">
        <f>COUNTIFS('AC Members v40'!$B$4:$B$148,$A26,'AC Members v40'!$D$4:$D$148,"MEMBER",'AC Members v40'!$J$4:$J$148,"U")</f>
        <v>0</v>
      </c>
      <c r="T26" s="23" t="s">
        <v>1008</v>
      </c>
      <c r="U26" s="67">
        <f t="shared" si="3"/>
        <v>0.6</v>
      </c>
      <c r="V26" s="67">
        <f t="shared" si="4"/>
        <v>0.6</v>
      </c>
      <c r="W26" s="23">
        <f>COUNTIFS('AC Members v40'!$B$4:$B$148,$A26,'AC Members v40'!$D$4:$D$148,"MEMBER",'AC Members v40'!$N$4:$N$148,1)</f>
        <v>5</v>
      </c>
      <c r="X26" s="23">
        <f t="shared" si="5"/>
        <v>0</v>
      </c>
      <c r="Y26" s="23">
        <f>COUNTIFS('AC Members v40'!$B$4:$B$148,$A26,'AC Members v40'!$D$4:$D$148,"MEMBER",'AC Members v40'!$L$4:$L$148,"UNK",'AC Members v40'!$N$4:$N$148,0)</f>
        <v>0</v>
      </c>
      <c r="Z26" s="23" t="s">
        <v>1008</v>
      </c>
      <c r="AA26" s="23">
        <f t="shared" si="6"/>
        <v>1</v>
      </c>
      <c r="AB26" s="23" t="str">
        <f t="shared" si="7"/>
        <v>کامل</v>
      </c>
      <c r="AC26" s="67">
        <f t="shared" si="8"/>
        <v>1</v>
      </c>
      <c r="AD26" s="23">
        <v>19</v>
      </c>
      <c r="AE26" s="23" t="s">
        <v>1008</v>
      </c>
      <c r="AF26" s="23">
        <f t="shared" si="9"/>
        <v>19</v>
      </c>
      <c r="AG26" s="23" t="s">
        <v>4432</v>
      </c>
      <c r="AH26" s="23">
        <v>12</v>
      </c>
      <c r="AI26" s="23">
        <f>SUMIFS('AC Members v40'!$Q$4:$Q$148,'AC Members v40'!$B$4:$B$148,$A26,'AC Members v40'!$U$4:$U$148,1)</f>
        <v>95</v>
      </c>
      <c r="AJ26" s="23">
        <f>SUMIFS('AC Members v40'!$R$4:$R$148,'AC Members v40'!$B$4:$B$148,$A26,'AC Members v40'!$U$4:$U$148,1)</f>
        <v>95</v>
      </c>
      <c r="AK26" s="23">
        <f>COUNTIFS('AC Members v40'!$B$4:$B$148,$A26,'AC Members v40'!$U$4:$U$148,1)</f>
        <v>5</v>
      </c>
      <c r="AL26" s="67">
        <f t="shared" si="10"/>
        <v>1</v>
      </c>
      <c r="AM26" s="23" t="s">
        <v>1008</v>
      </c>
      <c r="AN26" s="23" t="s">
        <v>4147</v>
      </c>
      <c r="AO26" s="23" t="s">
        <v>4150</v>
      </c>
      <c r="AP26" s="23" t="s">
        <v>4433</v>
      </c>
    </row>
    <row r="27" spans="1:42" ht="43.5" customHeight="1" x14ac:dyDescent="0.2">
      <c r="A27" s="25" t="s">
        <v>202</v>
      </c>
      <c r="B27" s="25" t="s">
        <v>4434</v>
      </c>
      <c r="C27" s="25" t="s">
        <v>4349</v>
      </c>
      <c r="D27" s="25" t="s">
        <v>1859</v>
      </c>
      <c r="E27" s="25" t="s">
        <v>4350</v>
      </c>
      <c r="F27" s="25" t="s">
        <v>1008</v>
      </c>
      <c r="G27" s="25">
        <f t="shared" si="0"/>
        <v>1</v>
      </c>
      <c r="H27" s="25">
        <v>3</v>
      </c>
      <c r="I27" s="25" t="s">
        <v>4435</v>
      </c>
      <c r="J27" s="25" t="s">
        <v>1008</v>
      </c>
      <c r="K27" s="25">
        <f>COUNTIFS('AC Members v40'!$B$4:$B$148,$A27,'AC Members v40'!$D$4:$D$148,"MEMBER")</f>
        <v>3</v>
      </c>
      <c r="L27" s="25">
        <f>COUNTIFS('AC Members v40'!$B$4:$B$148,$A27,'AC Members v40'!$D$4:$D$148,"SECRETARY")</f>
        <v>0</v>
      </c>
      <c r="M27" s="25">
        <f>COUNTIFS('AC Members v40'!$B$4:$B$148,$A27,'AC Members v40'!$D$4:$D$148,"FORMER")</f>
        <v>0</v>
      </c>
      <c r="N27" s="25">
        <f>COUNTIFS('AC Members v40'!$B$4:$B$148,$A27,'AC Members v40'!$D$4:$D$148,"POST_ASOF")</f>
        <v>0</v>
      </c>
      <c r="O27" s="25">
        <f t="shared" si="1"/>
        <v>3</v>
      </c>
      <c r="P27" s="25">
        <f t="shared" si="2"/>
        <v>0</v>
      </c>
      <c r="Q27" s="25">
        <f>COUNTIFS('AC Members v40'!$B$4:$B$148,$A27,'AC Members v40'!$D$4:$D$148,"MEMBER",'AC Members v40'!$J$4:$J$148,"Y")</f>
        <v>2</v>
      </c>
      <c r="R27" s="25">
        <f>COUNTIFS('AC Members v40'!$B$4:$B$148,$A27,'AC Members v40'!$D$4:$D$148,"MEMBER",'AC Members v40'!$J$4:$J$148,"N")</f>
        <v>0</v>
      </c>
      <c r="S27" s="25">
        <f>COUNTIFS('AC Members v40'!$B$4:$B$148,$A27,'AC Members v40'!$D$4:$D$148,"MEMBER",'AC Members v40'!$J$4:$J$148,"U")</f>
        <v>1</v>
      </c>
      <c r="T27" s="25" t="s">
        <v>3897</v>
      </c>
      <c r="U27" s="68" t="str">
        <f t="shared" si="3"/>
        <v/>
      </c>
      <c r="V27" s="68">
        <f t="shared" si="4"/>
        <v>1</v>
      </c>
      <c r="W27" s="25">
        <f>COUNTIFS('AC Members v40'!$B$4:$B$148,$A27,'AC Members v40'!$D$4:$D$148,"MEMBER",'AC Members v40'!$N$4:$N$148,1)</f>
        <v>0</v>
      </c>
      <c r="X27" s="25">
        <f t="shared" si="5"/>
        <v>3</v>
      </c>
      <c r="Y27" s="25">
        <f>COUNTIFS('AC Members v40'!$B$4:$B$148,$A27,'AC Members v40'!$D$4:$D$148,"MEMBER",'AC Members v40'!$L$4:$L$148,"UNK",'AC Members v40'!$N$4:$N$148,0)</f>
        <v>3</v>
      </c>
      <c r="Z27" s="25" t="s">
        <v>4352</v>
      </c>
      <c r="AA27" s="25" t="str">
        <f t="shared" si="6"/>
        <v/>
      </c>
      <c r="AB27" s="25" t="str">
        <f t="shared" si="7"/>
        <v>ناقص (حد پایین)</v>
      </c>
      <c r="AC27" s="68" t="str">
        <f t="shared" si="8"/>
        <v/>
      </c>
      <c r="AD27" s="25">
        <v>18</v>
      </c>
      <c r="AE27" s="25" t="s">
        <v>1008</v>
      </c>
      <c r="AF27" s="25">
        <f t="shared" si="9"/>
        <v>18</v>
      </c>
      <c r="AG27" s="25" t="s">
        <v>4353</v>
      </c>
      <c r="AH27" s="25">
        <v>12</v>
      </c>
      <c r="AI27" s="25">
        <f>SUMIFS('AC Members v40'!$Q$4:$Q$148,'AC Members v40'!$B$4:$B$148,$A27,'AC Members v40'!$U$4:$U$148,1)</f>
        <v>0</v>
      </c>
      <c r="AJ27" s="25">
        <f>SUMIFS('AC Members v40'!$R$4:$R$148,'AC Members v40'!$B$4:$B$148,$A27,'AC Members v40'!$U$4:$U$148,1)</f>
        <v>0</v>
      </c>
      <c r="AK27" s="25">
        <f>COUNTIFS('AC Members v40'!$B$4:$B$148,$A27,'AC Members v40'!$U$4:$U$148,1)</f>
        <v>0</v>
      </c>
      <c r="AL27" s="68" t="str">
        <f t="shared" si="10"/>
        <v/>
      </c>
      <c r="AM27" s="25" t="s">
        <v>4352</v>
      </c>
      <c r="AN27" s="25" t="s">
        <v>203</v>
      </c>
      <c r="AO27" s="25" t="s">
        <v>4174</v>
      </c>
      <c r="AP27" s="25" t="s">
        <v>4436</v>
      </c>
    </row>
    <row r="28" spans="1:42" ht="29" customHeight="1" x14ac:dyDescent="0.2">
      <c r="A28" s="23" t="s">
        <v>206</v>
      </c>
      <c r="B28" s="23" t="s">
        <v>1455</v>
      </c>
      <c r="C28" s="23" t="s">
        <v>4349</v>
      </c>
      <c r="D28" s="23" t="s">
        <v>1859</v>
      </c>
      <c r="E28" s="23" t="s">
        <v>4350</v>
      </c>
      <c r="F28" s="23" t="s">
        <v>1008</v>
      </c>
      <c r="G28" s="23">
        <f t="shared" si="0"/>
        <v>1</v>
      </c>
      <c r="H28" s="23"/>
      <c r="I28" s="23" t="s">
        <v>4437</v>
      </c>
      <c r="J28" s="23" t="s">
        <v>1008</v>
      </c>
      <c r="K28" s="23">
        <f>COUNTIFS('AC Members v40'!$B$4:$B$148,$A28,'AC Members v40'!$D$4:$D$148,"MEMBER")</f>
        <v>5</v>
      </c>
      <c r="L28" s="23">
        <f>COUNTIFS('AC Members v40'!$B$4:$B$148,$A28,'AC Members v40'!$D$4:$D$148,"SECRETARY")</f>
        <v>0</v>
      </c>
      <c r="M28" s="23">
        <f>COUNTIFS('AC Members v40'!$B$4:$B$148,$A28,'AC Members v40'!$D$4:$D$148,"FORMER")</f>
        <v>0</v>
      </c>
      <c r="N28" s="23">
        <f>COUNTIFS('AC Members v40'!$B$4:$B$148,$A28,'AC Members v40'!$D$4:$D$148,"POST_ASOF")</f>
        <v>0</v>
      </c>
      <c r="O28" s="23">
        <f t="shared" si="1"/>
        <v>5</v>
      </c>
      <c r="P28" s="23" t="str">
        <f t="shared" si="2"/>
        <v/>
      </c>
      <c r="Q28" s="23">
        <f>COUNTIFS('AC Members v40'!$B$4:$B$148,$A28,'AC Members v40'!$D$4:$D$148,"MEMBER",'AC Members v40'!$J$4:$J$148,"Y")</f>
        <v>3</v>
      </c>
      <c r="R28" s="23">
        <f>COUNTIFS('AC Members v40'!$B$4:$B$148,$A28,'AC Members v40'!$D$4:$D$148,"MEMBER",'AC Members v40'!$J$4:$J$148,"N")</f>
        <v>0</v>
      </c>
      <c r="S28" s="23">
        <f>COUNTIFS('AC Members v40'!$B$4:$B$148,$A28,'AC Members v40'!$D$4:$D$148,"MEMBER",'AC Members v40'!$J$4:$J$148,"U")</f>
        <v>2</v>
      </c>
      <c r="T28" s="23" t="s">
        <v>3897</v>
      </c>
      <c r="U28" s="67" t="str">
        <f t="shared" si="3"/>
        <v/>
      </c>
      <c r="V28" s="67">
        <f t="shared" si="4"/>
        <v>1</v>
      </c>
      <c r="W28" s="23">
        <f>COUNTIFS('AC Members v40'!$B$4:$B$148,$A28,'AC Members v40'!$D$4:$D$148,"MEMBER",'AC Members v40'!$N$4:$N$148,1)</f>
        <v>4</v>
      </c>
      <c r="X28" s="23">
        <f t="shared" si="5"/>
        <v>1</v>
      </c>
      <c r="Y28" s="23">
        <f>COUNTIFS('AC Members v40'!$B$4:$B$148,$A28,'AC Members v40'!$D$4:$D$148,"MEMBER",'AC Members v40'!$L$4:$L$148,"UNK",'AC Members v40'!$N$4:$N$148,0)</f>
        <v>0</v>
      </c>
      <c r="Z28" s="23" t="s">
        <v>1008</v>
      </c>
      <c r="AA28" s="23">
        <f t="shared" si="6"/>
        <v>1</v>
      </c>
      <c r="AB28" s="23" t="str">
        <f t="shared" si="7"/>
        <v>کامل</v>
      </c>
      <c r="AC28" s="67">
        <f t="shared" si="8"/>
        <v>0.8</v>
      </c>
      <c r="AD28" s="23">
        <v>20</v>
      </c>
      <c r="AE28" s="23" t="s">
        <v>1008</v>
      </c>
      <c r="AF28" s="23">
        <f t="shared" si="9"/>
        <v>20</v>
      </c>
      <c r="AG28" s="23" t="s">
        <v>4353</v>
      </c>
      <c r="AH28" s="23">
        <v>12</v>
      </c>
      <c r="AI28" s="23">
        <f>SUMIFS('AC Members v40'!$Q$4:$Q$148,'AC Members v40'!$B$4:$B$148,$A28,'AC Members v40'!$U$4:$U$148,1)</f>
        <v>80</v>
      </c>
      <c r="AJ28" s="23">
        <f>SUMIFS('AC Members v40'!$R$4:$R$148,'AC Members v40'!$B$4:$B$148,$A28,'AC Members v40'!$U$4:$U$148,1)</f>
        <v>80</v>
      </c>
      <c r="AK28" s="23">
        <f>COUNTIFS('AC Members v40'!$B$4:$B$148,$A28,'AC Members v40'!$U$4:$U$148,1)</f>
        <v>4</v>
      </c>
      <c r="AL28" s="67">
        <f t="shared" si="10"/>
        <v>1</v>
      </c>
      <c r="AM28" s="23" t="s">
        <v>3897</v>
      </c>
      <c r="AN28" s="23" t="s">
        <v>4384</v>
      </c>
      <c r="AO28" s="23" t="s">
        <v>4189</v>
      </c>
      <c r="AP28" s="23" t="s">
        <v>4438</v>
      </c>
    </row>
    <row r="29" spans="1:42" ht="29" customHeight="1" x14ac:dyDescent="0.2">
      <c r="A29" s="25" t="s">
        <v>209</v>
      </c>
      <c r="B29" s="25" t="s">
        <v>4439</v>
      </c>
      <c r="C29" s="25" t="s">
        <v>4349</v>
      </c>
      <c r="D29" s="25" t="s">
        <v>1859</v>
      </c>
      <c r="E29" s="25" t="s">
        <v>4350</v>
      </c>
      <c r="F29" s="25" t="s">
        <v>1008</v>
      </c>
      <c r="G29" s="25">
        <f t="shared" si="0"/>
        <v>1</v>
      </c>
      <c r="H29" s="25"/>
      <c r="I29" s="25" t="s">
        <v>4440</v>
      </c>
      <c r="J29" s="25" t="s">
        <v>1008</v>
      </c>
      <c r="K29" s="25">
        <f>COUNTIFS('AC Members v40'!$B$4:$B$148,$A29,'AC Members v40'!$D$4:$D$148,"MEMBER")</f>
        <v>4</v>
      </c>
      <c r="L29" s="25">
        <f>COUNTIFS('AC Members v40'!$B$4:$B$148,$A29,'AC Members v40'!$D$4:$D$148,"SECRETARY")</f>
        <v>1</v>
      </c>
      <c r="M29" s="25">
        <f>COUNTIFS('AC Members v40'!$B$4:$B$148,$A29,'AC Members v40'!$D$4:$D$148,"FORMER")</f>
        <v>0</v>
      </c>
      <c r="N29" s="25">
        <f>COUNTIFS('AC Members v40'!$B$4:$B$148,$A29,'AC Members v40'!$D$4:$D$148,"POST_ASOF")</f>
        <v>0</v>
      </c>
      <c r="O29" s="25">
        <f t="shared" si="1"/>
        <v>4</v>
      </c>
      <c r="P29" s="25" t="str">
        <f t="shared" si="2"/>
        <v/>
      </c>
      <c r="Q29" s="25">
        <f>COUNTIFS('AC Members v40'!$B$4:$B$148,$A29,'AC Members v40'!$D$4:$D$148,"MEMBER",'AC Members v40'!$J$4:$J$148,"Y")</f>
        <v>0</v>
      </c>
      <c r="R29" s="25">
        <f>COUNTIFS('AC Members v40'!$B$4:$B$148,$A29,'AC Members v40'!$D$4:$D$148,"MEMBER",'AC Members v40'!$J$4:$J$148,"N")</f>
        <v>0</v>
      </c>
      <c r="S29" s="25">
        <f>COUNTIFS('AC Members v40'!$B$4:$B$148,$A29,'AC Members v40'!$D$4:$D$148,"MEMBER",'AC Members v40'!$J$4:$J$148,"U")</f>
        <v>4</v>
      </c>
      <c r="T29" s="25" t="s">
        <v>4352</v>
      </c>
      <c r="U29" s="68" t="str">
        <f t="shared" si="3"/>
        <v/>
      </c>
      <c r="V29" s="68" t="str">
        <f t="shared" si="4"/>
        <v/>
      </c>
      <c r="W29" s="25">
        <f>COUNTIFS('AC Members v40'!$B$4:$B$148,$A29,'AC Members v40'!$D$4:$D$148,"MEMBER",'AC Members v40'!$N$4:$N$148,1)</f>
        <v>4</v>
      </c>
      <c r="X29" s="25">
        <f t="shared" si="5"/>
        <v>0</v>
      </c>
      <c r="Y29" s="25">
        <f>COUNTIFS('AC Members v40'!$B$4:$B$148,$A29,'AC Members v40'!$D$4:$D$148,"MEMBER",'AC Members v40'!$L$4:$L$148,"UNK",'AC Members v40'!$N$4:$N$148,0)</f>
        <v>0</v>
      </c>
      <c r="Z29" s="25" t="s">
        <v>1008</v>
      </c>
      <c r="AA29" s="25">
        <f t="shared" si="6"/>
        <v>1</v>
      </c>
      <c r="AB29" s="25" t="str">
        <f t="shared" si="7"/>
        <v>کامل</v>
      </c>
      <c r="AC29" s="68">
        <f t="shared" si="8"/>
        <v>1</v>
      </c>
      <c r="AD29" s="25">
        <v>37</v>
      </c>
      <c r="AE29" s="25" t="s">
        <v>1008</v>
      </c>
      <c r="AF29" s="25">
        <f t="shared" si="9"/>
        <v>37</v>
      </c>
      <c r="AG29" s="25" t="s">
        <v>4353</v>
      </c>
      <c r="AH29" s="25">
        <v>12</v>
      </c>
      <c r="AI29" s="25">
        <f>SUMIFS('AC Members v40'!$Q$4:$Q$148,'AC Members v40'!$B$4:$B$148,$A29,'AC Members v40'!$U$4:$U$148,1)</f>
        <v>106</v>
      </c>
      <c r="AJ29" s="25">
        <f>SUMIFS('AC Members v40'!$R$4:$R$148,'AC Members v40'!$B$4:$B$148,$A29,'AC Members v40'!$U$4:$U$148,1)</f>
        <v>111</v>
      </c>
      <c r="AK29" s="25">
        <f>COUNTIFS('AC Members v40'!$B$4:$B$148,$A29,'AC Members v40'!$U$4:$U$148,1)</f>
        <v>3</v>
      </c>
      <c r="AL29" s="68">
        <f t="shared" si="10"/>
        <v>0.95495495495495497</v>
      </c>
      <c r="AM29" s="25" t="s">
        <v>3897</v>
      </c>
      <c r="AN29" s="25" t="s">
        <v>4210</v>
      </c>
      <c r="AO29" s="25" t="s">
        <v>4213</v>
      </c>
      <c r="AP29" s="25" t="s">
        <v>4441</v>
      </c>
    </row>
    <row r="30" spans="1:42" ht="43.5" customHeight="1" x14ac:dyDescent="0.2">
      <c r="A30" s="23" t="s">
        <v>212</v>
      </c>
      <c r="B30" s="23" t="s">
        <v>1470</v>
      </c>
      <c r="C30" s="23" t="s">
        <v>4349</v>
      </c>
      <c r="D30" s="23" t="s">
        <v>1859</v>
      </c>
      <c r="E30" s="23" t="s">
        <v>4350</v>
      </c>
      <c r="F30" s="23" t="s">
        <v>1008</v>
      </c>
      <c r="G30" s="23">
        <f t="shared" si="0"/>
        <v>1</v>
      </c>
      <c r="H30" s="23">
        <v>6</v>
      </c>
      <c r="I30" s="23" t="s">
        <v>4442</v>
      </c>
      <c r="J30" s="23" t="s">
        <v>1008</v>
      </c>
      <c r="K30" s="23">
        <f>COUNTIFS('AC Members v40'!$B$4:$B$148,$A30,'AC Members v40'!$D$4:$D$148,"MEMBER")</f>
        <v>5</v>
      </c>
      <c r="L30" s="23">
        <f>COUNTIFS('AC Members v40'!$B$4:$B$148,$A30,'AC Members v40'!$D$4:$D$148,"SECRETARY")</f>
        <v>1</v>
      </c>
      <c r="M30" s="23">
        <f>COUNTIFS('AC Members v40'!$B$4:$B$148,$A30,'AC Members v40'!$D$4:$D$148,"FORMER")</f>
        <v>0</v>
      </c>
      <c r="N30" s="23">
        <f>COUNTIFS('AC Members v40'!$B$4:$B$148,$A30,'AC Members v40'!$D$4:$D$148,"POST_ASOF")</f>
        <v>0</v>
      </c>
      <c r="O30" s="23">
        <f t="shared" si="1"/>
        <v>5</v>
      </c>
      <c r="P30" s="23">
        <f t="shared" si="2"/>
        <v>1</v>
      </c>
      <c r="Q30" s="23">
        <f>COUNTIFS('AC Members v40'!$B$4:$B$148,$A30,'AC Members v40'!$D$4:$D$148,"MEMBER",'AC Members v40'!$J$4:$J$148,"Y")</f>
        <v>4</v>
      </c>
      <c r="R30" s="23">
        <f>COUNTIFS('AC Members v40'!$B$4:$B$148,$A30,'AC Members v40'!$D$4:$D$148,"MEMBER",'AC Members v40'!$J$4:$J$148,"N")</f>
        <v>0</v>
      </c>
      <c r="S30" s="23">
        <f>COUNTIFS('AC Members v40'!$B$4:$B$148,$A30,'AC Members v40'!$D$4:$D$148,"MEMBER",'AC Members v40'!$J$4:$J$148,"U")</f>
        <v>1</v>
      </c>
      <c r="T30" s="23" t="s">
        <v>3897</v>
      </c>
      <c r="U30" s="67" t="str">
        <f t="shared" si="3"/>
        <v/>
      </c>
      <c r="V30" s="67">
        <f t="shared" si="4"/>
        <v>1</v>
      </c>
      <c r="W30" s="23">
        <f>COUNTIFS('AC Members v40'!$B$4:$B$148,$A30,'AC Members v40'!$D$4:$D$148,"MEMBER",'AC Members v40'!$N$4:$N$148,1)</f>
        <v>4</v>
      </c>
      <c r="X30" s="23">
        <f t="shared" si="5"/>
        <v>1</v>
      </c>
      <c r="Y30" s="23">
        <f>COUNTIFS('AC Members v40'!$B$4:$B$148,$A30,'AC Members v40'!$D$4:$D$148,"MEMBER",'AC Members v40'!$L$4:$L$148,"UNK",'AC Members v40'!$N$4:$N$148,0)</f>
        <v>0</v>
      </c>
      <c r="Z30" s="23" t="s">
        <v>1008</v>
      </c>
      <c r="AA30" s="23">
        <f t="shared" si="6"/>
        <v>1</v>
      </c>
      <c r="AB30" s="23" t="str">
        <f t="shared" si="7"/>
        <v>کامل</v>
      </c>
      <c r="AC30" s="67">
        <f t="shared" si="8"/>
        <v>0.8</v>
      </c>
      <c r="AD30" s="23">
        <v>22</v>
      </c>
      <c r="AE30" s="23" t="s">
        <v>1008</v>
      </c>
      <c r="AF30" s="23">
        <f t="shared" si="9"/>
        <v>22</v>
      </c>
      <c r="AG30" s="23" t="s">
        <v>4353</v>
      </c>
      <c r="AH30" s="23">
        <v>12</v>
      </c>
      <c r="AI30" s="23">
        <f>SUMIFS('AC Members v40'!$Q$4:$Q$148,'AC Members v40'!$B$4:$B$148,$A30,'AC Members v40'!$U$4:$U$148,1)</f>
        <v>66</v>
      </c>
      <c r="AJ30" s="23">
        <f>SUMIFS('AC Members v40'!$R$4:$R$148,'AC Members v40'!$B$4:$B$148,$A30,'AC Members v40'!$U$4:$U$148,1)</f>
        <v>66</v>
      </c>
      <c r="AK30" s="23">
        <f>COUNTIFS('AC Members v40'!$B$4:$B$148,$A30,'AC Members v40'!$U$4:$U$148,1)</f>
        <v>3</v>
      </c>
      <c r="AL30" s="67">
        <f t="shared" si="10"/>
        <v>1</v>
      </c>
      <c r="AM30" s="23" t="s">
        <v>3897</v>
      </c>
      <c r="AN30" s="23" t="s">
        <v>4239</v>
      </c>
      <c r="AO30" s="23" t="s">
        <v>4241</v>
      </c>
      <c r="AP30" s="23" t="s">
        <v>4443</v>
      </c>
    </row>
    <row r="31" spans="1:42" ht="58" customHeight="1" x14ac:dyDescent="0.2">
      <c r="A31" s="25" t="s">
        <v>24</v>
      </c>
      <c r="B31" s="25" t="s">
        <v>4444</v>
      </c>
      <c r="C31" s="25" t="s">
        <v>4445</v>
      </c>
      <c r="D31" s="25" t="s">
        <v>1859</v>
      </c>
      <c r="E31" s="25" t="s">
        <v>4350</v>
      </c>
      <c r="F31" s="25" t="s">
        <v>4446</v>
      </c>
      <c r="G31" s="25" t="str">
        <f t="shared" si="0"/>
        <v/>
      </c>
      <c r="H31" s="25"/>
      <c r="I31" s="25" t="s">
        <v>4447</v>
      </c>
      <c r="J31" s="25" t="s">
        <v>4446</v>
      </c>
      <c r="K31" s="25">
        <f>COUNTIFS('AC Members v40'!$B$4:$B$148,$A31,'AC Members v40'!$D$4:$D$148,"MEMBER")</f>
        <v>0</v>
      </c>
      <c r="L31" s="25">
        <f>COUNTIFS('AC Members v40'!$B$4:$B$148,$A31,'AC Members v40'!$D$4:$D$148,"SECRETARY")</f>
        <v>0</v>
      </c>
      <c r="M31" s="25">
        <f>COUNTIFS('AC Members v40'!$B$4:$B$148,$A31,'AC Members v40'!$D$4:$D$148,"FORMER")</f>
        <v>0</v>
      </c>
      <c r="N31" s="25">
        <f>COUNTIFS('AC Members v40'!$B$4:$B$148,$A31,'AC Members v40'!$D$4:$D$148,"POST_ASOF")</f>
        <v>0</v>
      </c>
      <c r="O31" s="25" t="str">
        <f t="shared" si="1"/>
        <v/>
      </c>
      <c r="P31" s="25" t="str">
        <f t="shared" si="2"/>
        <v/>
      </c>
      <c r="Q31" s="25">
        <f>COUNTIFS('AC Members v40'!$B$4:$B$148,$A31,'AC Members v40'!$D$4:$D$148,"MEMBER",'AC Members v40'!$J$4:$J$148,"Y")</f>
        <v>0</v>
      </c>
      <c r="R31" s="25">
        <f>COUNTIFS('AC Members v40'!$B$4:$B$148,$A31,'AC Members v40'!$D$4:$D$148,"MEMBER",'AC Members v40'!$J$4:$J$148,"N")</f>
        <v>0</v>
      </c>
      <c r="S31" s="25">
        <f>COUNTIFS('AC Members v40'!$B$4:$B$148,$A31,'AC Members v40'!$D$4:$D$148,"MEMBER",'AC Members v40'!$J$4:$J$148,"U")</f>
        <v>0</v>
      </c>
      <c r="T31" s="25" t="s">
        <v>4446</v>
      </c>
      <c r="U31" s="68" t="str">
        <f t="shared" si="3"/>
        <v/>
      </c>
      <c r="V31" s="68" t="str">
        <f t="shared" si="4"/>
        <v/>
      </c>
      <c r="W31" s="25">
        <f>COUNTIFS('AC Members v40'!$B$4:$B$148,$A31,'AC Members v40'!$D$4:$D$148,"MEMBER",'AC Members v40'!$N$4:$N$148,1)</f>
        <v>0</v>
      </c>
      <c r="X31" s="25">
        <f t="shared" si="5"/>
        <v>0</v>
      </c>
      <c r="Y31" s="25">
        <f>COUNTIFS('AC Members v40'!$B$4:$B$148,$A31,'AC Members v40'!$D$4:$D$148,"MEMBER",'AC Members v40'!$L$4:$L$148,"UNK",'AC Members v40'!$N$4:$N$148,0)</f>
        <v>0</v>
      </c>
      <c r="Z31" s="25" t="s">
        <v>4446</v>
      </c>
      <c r="AA31" s="25" t="str">
        <f t="shared" si="6"/>
        <v/>
      </c>
      <c r="AB31" s="25" t="str">
        <f t="shared" si="7"/>
        <v>ناقص (حد پایین)</v>
      </c>
      <c r="AC31" s="68" t="str">
        <f t="shared" si="8"/>
        <v/>
      </c>
      <c r="AD31" s="25"/>
      <c r="AE31" s="25" t="s">
        <v>4446</v>
      </c>
      <c r="AF31" s="25" t="str">
        <f t="shared" si="9"/>
        <v/>
      </c>
      <c r="AG31" s="25"/>
      <c r="AH31" s="25"/>
      <c r="AI31" s="25">
        <f>SUMIFS('AC Members v40'!$Q$4:$Q$148,'AC Members v40'!$B$4:$B$148,$A31,'AC Members v40'!$U$4:$U$148,1)</f>
        <v>0</v>
      </c>
      <c r="AJ31" s="25">
        <f>SUMIFS('AC Members v40'!$R$4:$R$148,'AC Members v40'!$B$4:$B$148,$A31,'AC Members v40'!$U$4:$U$148,1)</f>
        <v>0</v>
      </c>
      <c r="AK31" s="25">
        <f>COUNTIFS('AC Members v40'!$B$4:$B$148,$A31,'AC Members v40'!$U$4:$U$148,1)</f>
        <v>0</v>
      </c>
      <c r="AL31" s="68" t="str">
        <f t="shared" si="10"/>
        <v/>
      </c>
      <c r="AM31" s="25" t="s">
        <v>4446</v>
      </c>
      <c r="AN31" s="25"/>
      <c r="AO31" s="25" t="s">
        <v>4448</v>
      </c>
      <c r="AP31" s="25" t="s">
        <v>4449</v>
      </c>
    </row>
    <row r="32" spans="1:42" ht="43.5" customHeight="1" x14ac:dyDescent="0.2">
      <c r="A32" s="23" t="s">
        <v>28</v>
      </c>
      <c r="B32" s="23" t="s">
        <v>4450</v>
      </c>
      <c r="C32" s="23" t="s">
        <v>4363</v>
      </c>
      <c r="D32" s="23" t="s">
        <v>4364</v>
      </c>
      <c r="E32" s="23" t="s">
        <v>4365</v>
      </c>
      <c r="F32" s="23" t="s">
        <v>1008</v>
      </c>
      <c r="G32" s="23">
        <f t="shared" si="0"/>
        <v>1</v>
      </c>
      <c r="H32" s="23"/>
      <c r="I32" s="23" t="s">
        <v>4451</v>
      </c>
      <c r="J32" s="23" t="s">
        <v>3897</v>
      </c>
      <c r="K32" s="23">
        <f>COUNTIFS('AC Members v40'!$B$4:$B$148,$A32,'AC Members v40'!$D$4:$D$148,"MEMBER")</f>
        <v>5</v>
      </c>
      <c r="L32" s="23">
        <f>COUNTIFS('AC Members v40'!$B$4:$B$148,$A32,'AC Members v40'!$D$4:$D$148,"SECRETARY")</f>
        <v>1</v>
      </c>
      <c r="M32" s="23">
        <f>COUNTIFS('AC Members v40'!$B$4:$B$148,$A32,'AC Members v40'!$D$4:$D$148,"FORMER")</f>
        <v>0</v>
      </c>
      <c r="N32" s="23">
        <f>COUNTIFS('AC Members v40'!$B$4:$B$148,$A32,'AC Members v40'!$D$4:$D$148,"POST_ASOF")</f>
        <v>0</v>
      </c>
      <c r="O32" s="23" t="str">
        <f t="shared" si="1"/>
        <v/>
      </c>
      <c r="P32" s="23" t="str">
        <f t="shared" si="2"/>
        <v/>
      </c>
      <c r="Q32" s="23">
        <f>COUNTIFS('AC Members v40'!$B$4:$B$148,$A32,'AC Members v40'!$D$4:$D$148,"MEMBER",'AC Members v40'!$J$4:$J$148,"Y")</f>
        <v>0</v>
      </c>
      <c r="R32" s="23">
        <f>COUNTIFS('AC Members v40'!$B$4:$B$148,$A32,'AC Members v40'!$D$4:$D$148,"MEMBER",'AC Members v40'!$J$4:$J$148,"N")</f>
        <v>0</v>
      </c>
      <c r="S32" s="23">
        <f>COUNTIFS('AC Members v40'!$B$4:$B$148,$A32,'AC Members v40'!$D$4:$D$148,"MEMBER",'AC Members v40'!$J$4:$J$148,"U")</f>
        <v>5</v>
      </c>
      <c r="T32" s="23" t="s">
        <v>4352</v>
      </c>
      <c r="U32" s="67" t="str">
        <f t="shared" si="3"/>
        <v/>
      </c>
      <c r="V32" s="67" t="str">
        <f t="shared" si="4"/>
        <v/>
      </c>
      <c r="W32" s="23">
        <f>COUNTIFS('AC Members v40'!$B$4:$B$148,$A32,'AC Members v40'!$D$4:$D$148,"MEMBER",'AC Members v40'!$N$4:$N$148,1)</f>
        <v>0</v>
      </c>
      <c r="X32" s="23">
        <f t="shared" si="5"/>
        <v>5</v>
      </c>
      <c r="Y32" s="23">
        <f>COUNTIFS('AC Members v40'!$B$4:$B$148,$A32,'AC Members v40'!$D$4:$D$148,"MEMBER",'AC Members v40'!$L$4:$L$148,"UNK",'AC Members v40'!$N$4:$N$148,0)</f>
        <v>5</v>
      </c>
      <c r="Z32" s="23" t="s">
        <v>3897</v>
      </c>
      <c r="AA32" s="23" t="str">
        <f t="shared" si="6"/>
        <v/>
      </c>
      <c r="AB32" s="23" t="str">
        <f t="shared" si="7"/>
        <v>ناقص (حد پایین)</v>
      </c>
      <c r="AC32" s="67" t="str">
        <f t="shared" si="8"/>
        <v/>
      </c>
      <c r="AD32" s="23"/>
      <c r="AE32" s="23" t="s">
        <v>4352</v>
      </c>
      <c r="AF32" s="23" t="str">
        <f t="shared" si="9"/>
        <v/>
      </c>
      <c r="AG32" s="23"/>
      <c r="AH32" s="23"/>
      <c r="AI32" s="23">
        <f>SUMIFS('AC Members v40'!$Q$4:$Q$148,'AC Members v40'!$B$4:$B$148,$A32,'AC Members v40'!$U$4:$U$148,1)</f>
        <v>0</v>
      </c>
      <c r="AJ32" s="23">
        <f>SUMIFS('AC Members v40'!$R$4:$R$148,'AC Members v40'!$B$4:$B$148,$A32,'AC Members v40'!$U$4:$U$148,1)</f>
        <v>0</v>
      </c>
      <c r="AK32" s="23">
        <f>COUNTIFS('AC Members v40'!$B$4:$B$148,$A32,'AC Members v40'!$U$4:$U$148,1)</f>
        <v>0</v>
      </c>
      <c r="AL32" s="67" t="str">
        <f t="shared" si="10"/>
        <v/>
      </c>
      <c r="AM32" s="23" t="s">
        <v>3897</v>
      </c>
      <c r="AN32" s="23" t="s">
        <v>4452</v>
      </c>
      <c r="AO32" s="23" t="s">
        <v>4271</v>
      </c>
      <c r="AP32" s="23" t="s">
        <v>4453</v>
      </c>
    </row>
    <row r="33" spans="1:42" ht="29" customHeight="1" x14ac:dyDescent="0.2">
      <c r="A33" s="25" t="s">
        <v>222</v>
      </c>
      <c r="B33" s="25" t="s">
        <v>4454</v>
      </c>
      <c r="C33" s="25" t="s">
        <v>4415</v>
      </c>
      <c r="D33" s="25" t="s">
        <v>3879</v>
      </c>
      <c r="E33" s="25" t="s">
        <v>4416</v>
      </c>
      <c r="F33" s="25" t="s">
        <v>1008</v>
      </c>
      <c r="G33" s="25">
        <f t="shared" si="0"/>
        <v>1</v>
      </c>
      <c r="H33" s="25"/>
      <c r="I33" s="25" t="s">
        <v>4455</v>
      </c>
      <c r="J33" s="25" t="s">
        <v>1008</v>
      </c>
      <c r="K33" s="25">
        <f>COUNTIFS('AC Members v40'!$B$4:$B$148,$A33,'AC Members v40'!$D$4:$D$148,"MEMBER")</f>
        <v>3</v>
      </c>
      <c r="L33" s="25">
        <f>COUNTIFS('AC Members v40'!$B$4:$B$148,$A33,'AC Members v40'!$D$4:$D$148,"SECRETARY")</f>
        <v>1</v>
      </c>
      <c r="M33" s="25">
        <f>COUNTIFS('AC Members v40'!$B$4:$B$148,$A33,'AC Members v40'!$D$4:$D$148,"FORMER")</f>
        <v>0</v>
      </c>
      <c r="N33" s="25">
        <f>COUNTIFS('AC Members v40'!$B$4:$B$148,$A33,'AC Members v40'!$D$4:$D$148,"POST_ASOF")</f>
        <v>0</v>
      </c>
      <c r="O33" s="25">
        <f t="shared" si="1"/>
        <v>3</v>
      </c>
      <c r="P33" s="25" t="str">
        <f t="shared" si="2"/>
        <v/>
      </c>
      <c r="Q33" s="25">
        <f>COUNTIFS('AC Members v40'!$B$4:$B$148,$A33,'AC Members v40'!$D$4:$D$148,"MEMBER",'AC Members v40'!$J$4:$J$148,"Y")</f>
        <v>0</v>
      </c>
      <c r="R33" s="25">
        <f>COUNTIFS('AC Members v40'!$B$4:$B$148,$A33,'AC Members v40'!$D$4:$D$148,"MEMBER",'AC Members v40'!$J$4:$J$148,"N")</f>
        <v>0</v>
      </c>
      <c r="S33" s="25">
        <f>COUNTIFS('AC Members v40'!$B$4:$B$148,$A33,'AC Members v40'!$D$4:$D$148,"MEMBER",'AC Members v40'!$J$4:$J$148,"U")</f>
        <v>3</v>
      </c>
      <c r="T33" s="25" t="s">
        <v>4352</v>
      </c>
      <c r="U33" s="68" t="str">
        <f t="shared" si="3"/>
        <v/>
      </c>
      <c r="V33" s="68" t="str">
        <f t="shared" si="4"/>
        <v/>
      </c>
      <c r="W33" s="25">
        <f>COUNTIFS('AC Members v40'!$B$4:$B$148,$A33,'AC Members v40'!$D$4:$D$148,"MEMBER",'AC Members v40'!$N$4:$N$148,1)</f>
        <v>2</v>
      </c>
      <c r="X33" s="25">
        <f t="shared" si="5"/>
        <v>1</v>
      </c>
      <c r="Y33" s="25">
        <f>COUNTIFS('AC Members v40'!$B$4:$B$148,$A33,'AC Members v40'!$D$4:$D$148,"MEMBER",'AC Members v40'!$L$4:$L$148,"UNK",'AC Members v40'!$N$4:$N$148,0)</f>
        <v>0</v>
      </c>
      <c r="Z33" s="25" t="s">
        <v>1008</v>
      </c>
      <c r="AA33" s="25">
        <f t="shared" si="6"/>
        <v>1</v>
      </c>
      <c r="AB33" s="25" t="str">
        <f t="shared" si="7"/>
        <v>کامل</v>
      </c>
      <c r="AC33" s="68">
        <f t="shared" si="8"/>
        <v>0.66666666666666663</v>
      </c>
      <c r="AD33" s="25">
        <v>8</v>
      </c>
      <c r="AE33" s="25" t="s">
        <v>1008</v>
      </c>
      <c r="AF33" s="25">
        <f t="shared" si="9"/>
        <v>8</v>
      </c>
      <c r="AG33" s="25" t="s">
        <v>4418</v>
      </c>
      <c r="AH33" s="25">
        <v>12</v>
      </c>
      <c r="AI33" s="25">
        <f>SUMIFS('AC Members v40'!$Q$4:$Q$148,'AC Members v40'!$B$4:$B$148,$A33,'AC Members v40'!$U$4:$U$148,1)</f>
        <v>0</v>
      </c>
      <c r="AJ33" s="25">
        <f>SUMIFS('AC Members v40'!$R$4:$R$148,'AC Members v40'!$B$4:$B$148,$A33,'AC Members v40'!$U$4:$U$148,1)</f>
        <v>0</v>
      </c>
      <c r="AK33" s="25">
        <f>COUNTIFS('AC Members v40'!$B$4:$B$148,$A33,'AC Members v40'!$U$4:$U$148,1)</f>
        <v>0</v>
      </c>
      <c r="AL33" s="68" t="str">
        <f t="shared" si="10"/>
        <v/>
      </c>
      <c r="AM33" s="25" t="s">
        <v>4352</v>
      </c>
      <c r="AN33" s="25" t="s">
        <v>223</v>
      </c>
      <c r="AO33" s="25" t="s">
        <v>4294</v>
      </c>
      <c r="AP33" s="25" t="s">
        <v>4456</v>
      </c>
    </row>
  </sheetData>
  <mergeCells count="2">
    <mergeCell ref="A2:AP2"/>
    <mergeCell ref="A1:AP1"/>
  </mergeCells>
  <pageMargins left="0.75" right="0.75" top="1" bottom="1" header="0.5" footer="0.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rgb="FF548235"/>
  </sheetPr>
  <dimension ref="A1:N48"/>
  <sheetViews>
    <sheetView showGridLines="0" rightToLeft="1" workbookViewId="0">
      <pane xSplit="2" ySplit="3" topLeftCell="C4" activePane="bottomRight" state="frozen"/>
      <selection pane="topRight"/>
      <selection pane="bottomLeft"/>
      <selection pane="bottomRight"/>
    </sheetView>
  </sheetViews>
  <sheetFormatPr baseColWidth="10" defaultColWidth="8.83203125" defaultRowHeight="15" x14ac:dyDescent="0.2"/>
  <cols>
    <col min="1" max="1" width="26" customWidth="1"/>
    <col min="2" max="2" width="24" customWidth="1"/>
    <col min="3" max="3" width="10" customWidth="1"/>
    <col min="4" max="4" width="38" customWidth="1"/>
    <col min="5" max="5" width="12" customWidth="1"/>
    <col min="6" max="6" width="16" customWidth="1"/>
    <col min="7" max="7" width="28" customWidth="1"/>
    <col min="8" max="8" width="8" customWidth="1"/>
    <col min="9" max="9" width="12" customWidth="1"/>
    <col min="10" max="10" width="44" customWidth="1"/>
    <col min="11" max="11" width="40" customWidth="1"/>
    <col min="12" max="12" width="34" customWidth="1"/>
    <col min="13" max="13" width="44" customWidth="1"/>
    <col min="14" max="14" width="12" customWidth="1"/>
  </cols>
  <sheetData>
    <row r="1" spans="1:14" ht="30" customHeight="1" x14ac:dyDescent="0.2">
      <c r="A1" s="87" t="s">
        <v>4457</v>
      </c>
      <c r="B1" s="76"/>
      <c r="C1" s="76"/>
      <c r="D1" s="76"/>
      <c r="E1" s="76"/>
      <c r="F1" s="76"/>
      <c r="G1" s="76"/>
      <c r="H1" s="76"/>
      <c r="I1" s="76"/>
      <c r="J1" s="76"/>
      <c r="K1" s="76"/>
      <c r="L1" s="76"/>
      <c r="M1" s="76"/>
      <c r="N1" s="76"/>
    </row>
    <row r="2" spans="1:14" ht="22" customHeight="1" x14ac:dyDescent="0.2">
      <c r="A2" s="85" t="s">
        <v>4458</v>
      </c>
      <c r="B2" s="76"/>
      <c r="C2" s="76"/>
      <c r="D2" s="76"/>
      <c r="E2" s="76"/>
      <c r="F2" s="76"/>
      <c r="G2" s="76"/>
      <c r="H2" s="76"/>
      <c r="I2" s="76"/>
      <c r="J2" s="76"/>
      <c r="K2" s="76"/>
      <c r="L2" s="76"/>
      <c r="M2" s="76"/>
      <c r="N2" s="76"/>
    </row>
    <row r="3" spans="1:14" ht="30" customHeight="1" x14ac:dyDescent="0.2">
      <c r="A3" s="24" t="s">
        <v>3590</v>
      </c>
      <c r="B3" s="24" t="s">
        <v>4459</v>
      </c>
      <c r="C3" s="24" t="s">
        <v>94</v>
      </c>
      <c r="D3" s="24" t="s">
        <v>4460</v>
      </c>
      <c r="E3" s="24" t="s">
        <v>4461</v>
      </c>
      <c r="F3" s="24" t="s">
        <v>4462</v>
      </c>
      <c r="G3" s="24" t="s">
        <v>4463</v>
      </c>
      <c r="H3" s="24" t="s">
        <v>4464</v>
      </c>
      <c r="I3" s="24" t="s">
        <v>4465</v>
      </c>
      <c r="J3" s="24" t="s">
        <v>4466</v>
      </c>
      <c r="K3" s="24" t="s">
        <v>4467</v>
      </c>
      <c r="L3" s="24" t="s">
        <v>4468</v>
      </c>
      <c r="M3" s="24" t="s">
        <v>4469</v>
      </c>
      <c r="N3" s="24" t="s">
        <v>4470</v>
      </c>
    </row>
    <row r="4" spans="1:14" ht="29" customHeight="1" x14ac:dyDescent="0.2">
      <c r="A4" s="23" t="s">
        <v>3605</v>
      </c>
      <c r="B4" s="23" t="s">
        <v>4348</v>
      </c>
      <c r="C4" s="23" t="s">
        <v>109</v>
      </c>
      <c r="D4" s="23" t="s">
        <v>4471</v>
      </c>
      <c r="E4" s="23" t="s">
        <v>4472</v>
      </c>
      <c r="F4" s="23" t="s">
        <v>4473</v>
      </c>
      <c r="G4" s="23" t="s">
        <v>4349</v>
      </c>
      <c r="H4" s="23">
        <v>36</v>
      </c>
      <c r="I4" s="23">
        <v>31</v>
      </c>
      <c r="J4" s="23" t="s">
        <v>4474</v>
      </c>
      <c r="K4" s="23" t="s">
        <v>4475</v>
      </c>
      <c r="L4" s="23" t="s">
        <v>4476</v>
      </c>
      <c r="M4" s="23" t="s">
        <v>4351</v>
      </c>
      <c r="N4" s="23" t="s">
        <v>119</v>
      </c>
    </row>
    <row r="5" spans="1:14" ht="43.5" customHeight="1" x14ac:dyDescent="0.2">
      <c r="A5" s="25" t="s">
        <v>3637</v>
      </c>
      <c r="B5" s="25" t="s">
        <v>4355</v>
      </c>
      <c r="C5" s="25" t="s">
        <v>117</v>
      </c>
      <c r="D5" s="25" t="s">
        <v>4477</v>
      </c>
      <c r="E5" s="25" t="s">
        <v>4478</v>
      </c>
      <c r="F5" s="25" t="s">
        <v>4479</v>
      </c>
      <c r="G5" s="25" t="s">
        <v>4356</v>
      </c>
      <c r="H5" s="25">
        <v>82</v>
      </c>
      <c r="I5" s="25">
        <v>82</v>
      </c>
      <c r="J5" s="25" t="s">
        <v>4480</v>
      </c>
      <c r="K5" s="25" t="s">
        <v>4481</v>
      </c>
      <c r="L5" s="25" t="s">
        <v>4482</v>
      </c>
      <c r="M5" s="25"/>
      <c r="N5" s="25" t="s">
        <v>111</v>
      </c>
    </row>
    <row r="6" spans="1:14" ht="43.5" customHeight="1" x14ac:dyDescent="0.2">
      <c r="A6" s="23" t="s">
        <v>4483</v>
      </c>
      <c r="B6" s="23" t="s">
        <v>4355</v>
      </c>
      <c r="C6" s="23" t="s">
        <v>117</v>
      </c>
      <c r="D6" s="23" t="s">
        <v>4477</v>
      </c>
      <c r="E6" s="23" t="s">
        <v>4478</v>
      </c>
      <c r="F6" s="23" t="s">
        <v>4479</v>
      </c>
      <c r="G6" s="23" t="s">
        <v>4356</v>
      </c>
      <c r="H6" s="23">
        <v>83</v>
      </c>
      <c r="I6" s="23" t="s">
        <v>4484</v>
      </c>
      <c r="J6" s="23" t="s">
        <v>4480</v>
      </c>
      <c r="K6" s="23" t="s">
        <v>4481</v>
      </c>
      <c r="L6" s="23" t="s">
        <v>4485</v>
      </c>
      <c r="M6" s="23" t="s">
        <v>4486</v>
      </c>
      <c r="N6" s="23" t="s">
        <v>111</v>
      </c>
    </row>
    <row r="7" spans="1:14" ht="58" customHeight="1" x14ac:dyDescent="0.2">
      <c r="A7" s="25" t="s">
        <v>3688</v>
      </c>
      <c r="B7" s="25" t="s">
        <v>4362</v>
      </c>
      <c r="C7" s="25" t="s">
        <v>126</v>
      </c>
      <c r="D7" s="25" t="s">
        <v>4487</v>
      </c>
      <c r="E7" s="25" t="s">
        <v>4488</v>
      </c>
      <c r="F7" s="25" t="s">
        <v>4489</v>
      </c>
      <c r="G7" s="25" t="s">
        <v>4363</v>
      </c>
      <c r="H7" s="25">
        <v>42</v>
      </c>
      <c r="I7" s="25">
        <v>41</v>
      </c>
      <c r="J7" s="25" t="s">
        <v>4490</v>
      </c>
      <c r="K7" s="25" t="s">
        <v>4491</v>
      </c>
      <c r="L7" s="25" t="s">
        <v>4492</v>
      </c>
      <c r="M7" s="25" t="s">
        <v>4366</v>
      </c>
      <c r="N7" s="25" t="s">
        <v>111</v>
      </c>
    </row>
    <row r="8" spans="1:14" ht="43.5" customHeight="1" x14ac:dyDescent="0.2">
      <c r="A8" s="23" t="s">
        <v>3706</v>
      </c>
      <c r="B8" s="23" t="s">
        <v>4369</v>
      </c>
      <c r="C8" s="23" t="s">
        <v>131</v>
      </c>
      <c r="D8" s="23" t="s">
        <v>4493</v>
      </c>
      <c r="E8" s="23" t="s">
        <v>4494</v>
      </c>
      <c r="F8" s="23" t="s">
        <v>4494</v>
      </c>
      <c r="G8" s="23" t="s">
        <v>4349</v>
      </c>
      <c r="H8" s="23">
        <v>54</v>
      </c>
      <c r="I8" s="23">
        <v>54</v>
      </c>
      <c r="J8" s="23" t="s">
        <v>4494</v>
      </c>
      <c r="K8" s="23" t="s">
        <v>4495</v>
      </c>
      <c r="L8" s="23" t="s">
        <v>4496</v>
      </c>
      <c r="M8" s="23" t="s">
        <v>4370</v>
      </c>
      <c r="N8" s="23" t="s">
        <v>119</v>
      </c>
    </row>
    <row r="9" spans="1:14" ht="29" customHeight="1" x14ac:dyDescent="0.2">
      <c r="A9" s="25" t="s">
        <v>3724</v>
      </c>
      <c r="B9" s="25" t="s">
        <v>4372</v>
      </c>
      <c r="C9" s="25" t="s">
        <v>135</v>
      </c>
      <c r="D9" s="25" t="s">
        <v>4471</v>
      </c>
      <c r="E9" s="25" t="s">
        <v>4497</v>
      </c>
      <c r="F9" s="25" t="s">
        <v>4498</v>
      </c>
      <c r="G9" s="25" t="s">
        <v>4349</v>
      </c>
      <c r="H9" s="25">
        <v>27</v>
      </c>
      <c r="I9" s="25">
        <v>26</v>
      </c>
      <c r="J9" s="25" t="s">
        <v>4499</v>
      </c>
      <c r="K9" s="25" t="s">
        <v>4500</v>
      </c>
      <c r="L9" s="25" t="s">
        <v>4501</v>
      </c>
      <c r="M9" s="25" t="s">
        <v>4373</v>
      </c>
      <c r="N9" s="25" t="s">
        <v>119</v>
      </c>
    </row>
    <row r="10" spans="1:14" ht="43.5" customHeight="1" x14ac:dyDescent="0.2">
      <c r="A10" s="23" t="s">
        <v>4502</v>
      </c>
      <c r="B10" s="23" t="s">
        <v>4372</v>
      </c>
      <c r="C10" s="23" t="s">
        <v>135</v>
      </c>
      <c r="D10" s="23" t="s">
        <v>4471</v>
      </c>
      <c r="E10" s="23" t="s">
        <v>4497</v>
      </c>
      <c r="F10" s="23" t="s">
        <v>4498</v>
      </c>
      <c r="G10" s="23" t="s">
        <v>4349</v>
      </c>
      <c r="H10" s="23">
        <v>29</v>
      </c>
      <c r="I10" s="23" t="s">
        <v>4484</v>
      </c>
      <c r="J10" s="23" t="s">
        <v>4499</v>
      </c>
      <c r="K10" s="23" t="s">
        <v>4500</v>
      </c>
      <c r="L10" s="23" t="s">
        <v>4503</v>
      </c>
      <c r="M10" s="23" t="s">
        <v>4486</v>
      </c>
      <c r="N10" s="23" t="s">
        <v>119</v>
      </c>
    </row>
    <row r="11" spans="1:14" ht="29" customHeight="1" x14ac:dyDescent="0.2">
      <c r="A11" s="25" t="s">
        <v>3750</v>
      </c>
      <c r="B11" s="25" t="s">
        <v>2195</v>
      </c>
      <c r="C11" s="25" t="s">
        <v>137</v>
      </c>
      <c r="D11" s="25" t="s">
        <v>4471</v>
      </c>
      <c r="E11" s="25" t="s">
        <v>4504</v>
      </c>
      <c r="F11" s="25" t="s">
        <v>4505</v>
      </c>
      <c r="G11" s="25" t="s">
        <v>4349</v>
      </c>
      <c r="H11" s="25">
        <v>56</v>
      </c>
      <c r="I11" s="25">
        <v>56</v>
      </c>
      <c r="J11" s="25" t="s">
        <v>4506</v>
      </c>
      <c r="K11" s="25" t="s">
        <v>4507</v>
      </c>
      <c r="L11" s="25" t="s">
        <v>4508</v>
      </c>
      <c r="M11" s="25" t="s">
        <v>4375</v>
      </c>
      <c r="N11" s="25" t="s">
        <v>119</v>
      </c>
    </row>
    <row r="12" spans="1:14" ht="43.5" customHeight="1" x14ac:dyDescent="0.2">
      <c r="A12" s="23" t="s">
        <v>3767</v>
      </c>
      <c r="B12" s="23" t="s">
        <v>2195</v>
      </c>
      <c r="C12" s="23" t="s">
        <v>137</v>
      </c>
      <c r="D12" s="23" t="s">
        <v>4471</v>
      </c>
      <c r="E12" s="23" t="s">
        <v>4504</v>
      </c>
      <c r="F12" s="23" t="s">
        <v>4505</v>
      </c>
      <c r="G12" s="23" t="s">
        <v>4349</v>
      </c>
      <c r="H12" s="23">
        <v>57</v>
      </c>
      <c r="I12" s="23" t="s">
        <v>4484</v>
      </c>
      <c r="J12" s="23" t="s">
        <v>4506</v>
      </c>
      <c r="K12" s="23" t="s">
        <v>4507</v>
      </c>
      <c r="L12" s="23" t="s">
        <v>4509</v>
      </c>
      <c r="M12" s="23" t="s">
        <v>4486</v>
      </c>
      <c r="N12" s="23" t="s">
        <v>119</v>
      </c>
    </row>
    <row r="13" spans="1:14" ht="43.5" customHeight="1" x14ac:dyDescent="0.2">
      <c r="A13" s="25" t="s">
        <v>4510</v>
      </c>
      <c r="B13" s="25" t="s">
        <v>2195</v>
      </c>
      <c r="C13" s="25" t="s">
        <v>137</v>
      </c>
      <c r="D13" s="25" t="s">
        <v>4471</v>
      </c>
      <c r="E13" s="25" t="s">
        <v>4504</v>
      </c>
      <c r="F13" s="25" t="s">
        <v>4505</v>
      </c>
      <c r="G13" s="25" t="s">
        <v>4349</v>
      </c>
      <c r="H13" s="25">
        <v>59</v>
      </c>
      <c r="I13" s="25" t="s">
        <v>4484</v>
      </c>
      <c r="J13" s="25" t="s">
        <v>4506</v>
      </c>
      <c r="K13" s="25" t="s">
        <v>4507</v>
      </c>
      <c r="L13" s="25" t="s">
        <v>4511</v>
      </c>
      <c r="M13" s="25" t="s">
        <v>4486</v>
      </c>
      <c r="N13" s="25" t="s">
        <v>119</v>
      </c>
    </row>
    <row r="14" spans="1:14" ht="29" customHeight="1" x14ac:dyDescent="0.2">
      <c r="A14" s="23" t="s">
        <v>3776</v>
      </c>
      <c r="B14" s="23" t="s">
        <v>4377</v>
      </c>
      <c r="C14" s="23" t="s">
        <v>140</v>
      </c>
      <c r="D14" s="23" t="s">
        <v>4471</v>
      </c>
      <c r="E14" s="23" t="s">
        <v>4512</v>
      </c>
      <c r="F14" s="23" t="s">
        <v>4513</v>
      </c>
      <c r="G14" s="23" t="s">
        <v>4349</v>
      </c>
      <c r="H14" s="23">
        <v>36</v>
      </c>
      <c r="I14" s="23">
        <v>36</v>
      </c>
      <c r="J14" s="23" t="s">
        <v>4514</v>
      </c>
      <c r="K14" s="23" t="s">
        <v>4515</v>
      </c>
      <c r="L14" s="23" t="s">
        <v>4516</v>
      </c>
      <c r="M14" s="23" t="s">
        <v>4378</v>
      </c>
      <c r="N14" s="23" t="s">
        <v>119</v>
      </c>
    </row>
    <row r="15" spans="1:14" ht="29" customHeight="1" x14ac:dyDescent="0.2">
      <c r="A15" s="25" t="s">
        <v>3802</v>
      </c>
      <c r="B15" s="25" t="s">
        <v>1315</v>
      </c>
      <c r="C15" s="25" t="s">
        <v>143</v>
      </c>
      <c r="D15" s="25" t="s">
        <v>4471</v>
      </c>
      <c r="E15" s="25" t="s">
        <v>4517</v>
      </c>
      <c r="F15" s="25" t="s">
        <v>4518</v>
      </c>
      <c r="G15" s="25" t="s">
        <v>4349</v>
      </c>
      <c r="H15" s="25">
        <v>17</v>
      </c>
      <c r="I15" s="25">
        <v>15</v>
      </c>
      <c r="J15" s="25" t="s">
        <v>1318</v>
      </c>
      <c r="K15" s="25" t="s">
        <v>4519</v>
      </c>
      <c r="L15" s="25" t="s">
        <v>4520</v>
      </c>
      <c r="M15" s="25" t="s">
        <v>4380</v>
      </c>
      <c r="N15" s="25" t="s">
        <v>119</v>
      </c>
    </row>
    <row r="16" spans="1:14" ht="29" customHeight="1" x14ac:dyDescent="0.2">
      <c r="A16" s="23" t="s">
        <v>3822</v>
      </c>
      <c r="B16" s="23" t="s">
        <v>1326</v>
      </c>
      <c r="C16" s="23" t="s">
        <v>20</v>
      </c>
      <c r="D16" s="23" t="s">
        <v>4471</v>
      </c>
      <c r="E16" s="23" t="s">
        <v>4521</v>
      </c>
      <c r="F16" s="23" t="s">
        <v>4522</v>
      </c>
      <c r="G16" s="23" t="s">
        <v>4382</v>
      </c>
      <c r="H16" s="23">
        <v>52</v>
      </c>
      <c r="I16" s="23">
        <v>51</v>
      </c>
      <c r="J16" s="23" t="s">
        <v>4523</v>
      </c>
      <c r="K16" s="23" t="s">
        <v>4524</v>
      </c>
      <c r="L16" s="23" t="s">
        <v>4525</v>
      </c>
      <c r="M16" s="23" t="s">
        <v>4383</v>
      </c>
      <c r="N16" s="23" t="s">
        <v>119</v>
      </c>
    </row>
    <row r="17" spans="1:14" ht="29" customHeight="1" x14ac:dyDescent="0.2">
      <c r="A17" s="25" t="s">
        <v>3846</v>
      </c>
      <c r="B17" s="25" t="s">
        <v>4386</v>
      </c>
      <c r="C17" s="25" t="s">
        <v>151</v>
      </c>
      <c r="D17" s="25" t="s">
        <v>4526</v>
      </c>
      <c r="E17" s="25" t="s">
        <v>4527</v>
      </c>
      <c r="F17" s="25" t="s">
        <v>4528</v>
      </c>
      <c r="G17" s="25" t="s">
        <v>4387</v>
      </c>
      <c r="H17" s="25">
        <v>38</v>
      </c>
      <c r="I17" s="25">
        <v>38</v>
      </c>
      <c r="J17" s="25" t="s">
        <v>4529</v>
      </c>
      <c r="K17" s="25" t="s">
        <v>4530</v>
      </c>
      <c r="L17" s="25" t="s">
        <v>4531</v>
      </c>
      <c r="M17" s="25" t="s">
        <v>4388</v>
      </c>
      <c r="N17" s="25" t="s">
        <v>119</v>
      </c>
    </row>
    <row r="18" spans="1:14" ht="29" customHeight="1" x14ac:dyDescent="0.2">
      <c r="A18" s="23" t="s">
        <v>3889</v>
      </c>
      <c r="B18" s="23" t="s">
        <v>4390</v>
      </c>
      <c r="C18" s="23" t="s">
        <v>157</v>
      </c>
      <c r="D18" s="23" t="s">
        <v>4471</v>
      </c>
      <c r="E18" s="23" t="s">
        <v>4532</v>
      </c>
      <c r="F18" s="23" t="s">
        <v>4533</v>
      </c>
      <c r="G18" s="23" t="s">
        <v>4349</v>
      </c>
      <c r="H18" s="23">
        <v>34</v>
      </c>
      <c r="I18" s="23">
        <v>30</v>
      </c>
      <c r="J18" s="23" t="s">
        <v>4534</v>
      </c>
      <c r="K18" s="23" t="s">
        <v>4535</v>
      </c>
      <c r="L18" s="23" t="s">
        <v>4536</v>
      </c>
      <c r="M18" s="23" t="s">
        <v>4370</v>
      </c>
      <c r="N18" s="23" t="s">
        <v>119</v>
      </c>
    </row>
    <row r="19" spans="1:14" ht="43.5" customHeight="1" x14ac:dyDescent="0.2">
      <c r="A19" s="25" t="s">
        <v>4537</v>
      </c>
      <c r="B19" s="25" t="s">
        <v>4390</v>
      </c>
      <c r="C19" s="25" t="s">
        <v>157</v>
      </c>
      <c r="D19" s="25" t="s">
        <v>4471</v>
      </c>
      <c r="E19" s="25" t="s">
        <v>4532</v>
      </c>
      <c r="F19" s="25" t="s">
        <v>4533</v>
      </c>
      <c r="G19" s="25" t="s">
        <v>4349</v>
      </c>
      <c r="H19" s="25">
        <v>35</v>
      </c>
      <c r="I19" s="25" t="s">
        <v>4484</v>
      </c>
      <c r="J19" s="25" t="s">
        <v>4534</v>
      </c>
      <c r="K19" s="25" t="s">
        <v>4535</v>
      </c>
      <c r="L19" s="25" t="s">
        <v>4538</v>
      </c>
      <c r="M19" s="25" t="s">
        <v>4486</v>
      </c>
      <c r="N19" s="25" t="s">
        <v>119</v>
      </c>
    </row>
    <row r="20" spans="1:14" ht="29" customHeight="1" x14ac:dyDescent="0.2">
      <c r="A20" s="23" t="s">
        <v>3906</v>
      </c>
      <c r="B20" s="23" t="s">
        <v>4392</v>
      </c>
      <c r="C20" s="23" t="s">
        <v>159</v>
      </c>
      <c r="D20" s="23" t="s">
        <v>4487</v>
      </c>
      <c r="E20" s="23" t="s">
        <v>4539</v>
      </c>
      <c r="F20" s="23" t="s">
        <v>4540</v>
      </c>
      <c r="G20" s="23" t="s">
        <v>4363</v>
      </c>
      <c r="H20" s="23">
        <v>30</v>
      </c>
      <c r="I20" s="23">
        <v>30</v>
      </c>
      <c r="J20" s="23" t="s">
        <v>4541</v>
      </c>
      <c r="K20" s="23" t="s">
        <v>4542</v>
      </c>
      <c r="L20" s="23" t="s">
        <v>4543</v>
      </c>
      <c r="M20" s="23" t="s">
        <v>4393</v>
      </c>
      <c r="N20" s="23" t="s">
        <v>111</v>
      </c>
    </row>
    <row r="21" spans="1:14" ht="29" customHeight="1" x14ac:dyDescent="0.2">
      <c r="A21" s="25" t="s">
        <v>3922</v>
      </c>
      <c r="B21" s="25" t="s">
        <v>4395</v>
      </c>
      <c r="C21" s="25" t="s">
        <v>162</v>
      </c>
      <c r="D21" s="25" t="s">
        <v>4471</v>
      </c>
      <c r="E21" s="25" t="s">
        <v>4544</v>
      </c>
      <c r="F21" s="25" t="s">
        <v>4545</v>
      </c>
      <c r="G21" s="25" t="s">
        <v>4349</v>
      </c>
      <c r="H21" s="25">
        <v>79</v>
      </c>
      <c r="I21" s="25">
        <v>80</v>
      </c>
      <c r="J21" s="25" t="s">
        <v>4546</v>
      </c>
      <c r="K21" s="25" t="s">
        <v>4547</v>
      </c>
      <c r="L21" s="25" t="s">
        <v>4548</v>
      </c>
      <c r="M21" s="25" t="s">
        <v>4396</v>
      </c>
      <c r="N21" s="25" t="s">
        <v>119</v>
      </c>
    </row>
    <row r="22" spans="1:14" ht="43.5" customHeight="1" x14ac:dyDescent="0.2">
      <c r="A22" s="23" t="s">
        <v>4549</v>
      </c>
      <c r="B22" s="23" t="s">
        <v>4395</v>
      </c>
      <c r="C22" s="23" t="s">
        <v>162</v>
      </c>
      <c r="D22" s="23" t="s">
        <v>4471</v>
      </c>
      <c r="E22" s="23" t="s">
        <v>4544</v>
      </c>
      <c r="F22" s="23" t="s">
        <v>4545</v>
      </c>
      <c r="G22" s="23" t="s">
        <v>4349</v>
      </c>
      <c r="H22" s="23">
        <v>80</v>
      </c>
      <c r="I22" s="23" t="s">
        <v>4484</v>
      </c>
      <c r="J22" s="23" t="s">
        <v>4546</v>
      </c>
      <c r="K22" s="23" t="s">
        <v>4547</v>
      </c>
      <c r="L22" s="23" t="s">
        <v>4550</v>
      </c>
      <c r="M22" s="23" t="s">
        <v>4486</v>
      </c>
      <c r="N22" s="23" t="s">
        <v>119</v>
      </c>
    </row>
    <row r="23" spans="1:14" ht="43.5" customHeight="1" x14ac:dyDescent="0.2">
      <c r="A23" s="25" t="s">
        <v>4551</v>
      </c>
      <c r="B23" s="25" t="s">
        <v>4395</v>
      </c>
      <c r="C23" s="25" t="s">
        <v>162</v>
      </c>
      <c r="D23" s="25" t="s">
        <v>4471</v>
      </c>
      <c r="E23" s="25" t="s">
        <v>4544</v>
      </c>
      <c r="F23" s="25" t="s">
        <v>4545</v>
      </c>
      <c r="G23" s="25" t="s">
        <v>4349</v>
      </c>
      <c r="H23" s="25">
        <v>83</v>
      </c>
      <c r="I23" s="25" t="s">
        <v>4484</v>
      </c>
      <c r="J23" s="25" t="s">
        <v>4546</v>
      </c>
      <c r="K23" s="25" t="s">
        <v>4547</v>
      </c>
      <c r="L23" s="25" t="s">
        <v>4552</v>
      </c>
      <c r="M23" s="25" t="s">
        <v>4486</v>
      </c>
      <c r="N23" s="25" t="s">
        <v>119</v>
      </c>
    </row>
    <row r="24" spans="1:14" ht="29" customHeight="1" x14ac:dyDescent="0.2">
      <c r="A24" s="23" t="s">
        <v>3947</v>
      </c>
      <c r="B24" s="23" t="s">
        <v>4398</v>
      </c>
      <c r="C24" s="23" t="s">
        <v>165</v>
      </c>
      <c r="D24" s="23" t="s">
        <v>4553</v>
      </c>
      <c r="E24" s="23" t="s">
        <v>4554</v>
      </c>
      <c r="F24" s="23" t="s">
        <v>4555</v>
      </c>
      <c r="G24" s="23" t="s">
        <v>4399</v>
      </c>
      <c r="H24" s="23">
        <v>34</v>
      </c>
      <c r="I24" s="23">
        <v>31</v>
      </c>
      <c r="J24" s="23" t="s">
        <v>4556</v>
      </c>
      <c r="K24" s="23" t="s">
        <v>4557</v>
      </c>
      <c r="L24" s="23" t="s">
        <v>4558</v>
      </c>
      <c r="M24" s="23" t="s">
        <v>4402</v>
      </c>
      <c r="N24" s="23" t="s">
        <v>111</v>
      </c>
    </row>
    <row r="25" spans="1:14" ht="43.5" customHeight="1" x14ac:dyDescent="0.2">
      <c r="A25" s="25" t="s">
        <v>4559</v>
      </c>
      <c r="B25" s="25" t="s">
        <v>4398</v>
      </c>
      <c r="C25" s="25" t="s">
        <v>165</v>
      </c>
      <c r="D25" s="25" t="s">
        <v>4553</v>
      </c>
      <c r="E25" s="25" t="s">
        <v>4554</v>
      </c>
      <c r="F25" s="25" t="s">
        <v>4555</v>
      </c>
      <c r="G25" s="25" t="s">
        <v>4399</v>
      </c>
      <c r="H25" s="25">
        <v>38</v>
      </c>
      <c r="I25" s="25" t="s">
        <v>4484</v>
      </c>
      <c r="J25" s="25" t="s">
        <v>4556</v>
      </c>
      <c r="K25" s="25" t="s">
        <v>4557</v>
      </c>
      <c r="L25" s="25" t="s">
        <v>4560</v>
      </c>
      <c r="M25" s="25" t="s">
        <v>4486</v>
      </c>
      <c r="N25" s="25" t="s">
        <v>111</v>
      </c>
    </row>
    <row r="26" spans="1:14" ht="29" customHeight="1" x14ac:dyDescent="0.2">
      <c r="A26" s="23" t="s">
        <v>3973</v>
      </c>
      <c r="B26" s="23" t="s">
        <v>4404</v>
      </c>
      <c r="C26" s="23" t="s">
        <v>168</v>
      </c>
      <c r="D26" s="23" t="s">
        <v>4471</v>
      </c>
      <c r="E26" s="23" t="s">
        <v>4561</v>
      </c>
      <c r="F26" s="23" t="s">
        <v>4562</v>
      </c>
      <c r="G26" s="23" t="s">
        <v>4349</v>
      </c>
      <c r="H26" s="23">
        <v>43</v>
      </c>
      <c r="I26" s="23">
        <v>43</v>
      </c>
      <c r="J26" s="23" t="s">
        <v>1376</v>
      </c>
      <c r="K26" s="23" t="s">
        <v>4563</v>
      </c>
      <c r="L26" s="23" t="s">
        <v>4564</v>
      </c>
      <c r="M26" s="23" t="s">
        <v>4405</v>
      </c>
      <c r="N26" s="23" t="s">
        <v>119</v>
      </c>
    </row>
    <row r="27" spans="1:14" ht="29" customHeight="1" x14ac:dyDescent="0.2">
      <c r="A27" s="25" t="s">
        <v>3989</v>
      </c>
      <c r="B27" s="25" t="s">
        <v>1381</v>
      </c>
      <c r="C27" s="25" t="s">
        <v>171</v>
      </c>
      <c r="D27" s="25" t="s">
        <v>4471</v>
      </c>
      <c r="E27" s="25" t="s">
        <v>4565</v>
      </c>
      <c r="F27" s="25" t="s">
        <v>4566</v>
      </c>
      <c r="G27" s="25" t="s">
        <v>4349</v>
      </c>
      <c r="H27" s="25">
        <v>34</v>
      </c>
      <c r="I27" s="25">
        <v>33</v>
      </c>
      <c r="J27" s="25" t="s">
        <v>1383</v>
      </c>
      <c r="K27" s="25" t="s">
        <v>4567</v>
      </c>
      <c r="L27" s="25" t="s">
        <v>4568</v>
      </c>
      <c r="M27" s="25" t="s">
        <v>4402</v>
      </c>
      <c r="N27" s="25" t="s">
        <v>119</v>
      </c>
    </row>
    <row r="28" spans="1:14" ht="43.5" customHeight="1" x14ac:dyDescent="0.2">
      <c r="A28" s="23" t="s">
        <v>4006</v>
      </c>
      <c r="B28" s="23" t="s">
        <v>4408</v>
      </c>
      <c r="C28" s="23" t="s">
        <v>174</v>
      </c>
      <c r="D28" s="23" t="s">
        <v>4569</v>
      </c>
      <c r="E28" s="23" t="s">
        <v>4570</v>
      </c>
      <c r="F28" s="23" t="s">
        <v>4571</v>
      </c>
      <c r="G28" s="23" t="s">
        <v>4409</v>
      </c>
      <c r="H28" s="23">
        <v>143</v>
      </c>
      <c r="I28" s="23">
        <v>142</v>
      </c>
      <c r="J28" s="23" t="s">
        <v>4572</v>
      </c>
      <c r="K28" s="23" t="s">
        <v>4573</v>
      </c>
      <c r="L28" s="23" t="s">
        <v>4574</v>
      </c>
      <c r="M28" s="23" t="s">
        <v>4402</v>
      </c>
      <c r="N28" s="23" t="s">
        <v>119</v>
      </c>
    </row>
    <row r="29" spans="1:14" ht="43.5" customHeight="1" x14ac:dyDescent="0.2">
      <c r="A29" s="25" t="s">
        <v>4032</v>
      </c>
      <c r="B29" s="25" t="s">
        <v>4412</v>
      </c>
      <c r="C29" s="25" t="s">
        <v>179</v>
      </c>
      <c r="D29" s="25" t="s">
        <v>4569</v>
      </c>
      <c r="E29" s="25" t="s">
        <v>4575</v>
      </c>
      <c r="F29" s="25" t="s">
        <v>4576</v>
      </c>
      <c r="G29" s="25" t="s">
        <v>4409</v>
      </c>
      <c r="H29" s="25">
        <v>136</v>
      </c>
      <c r="I29" s="25">
        <v>135</v>
      </c>
      <c r="J29" s="25" t="s">
        <v>4577</v>
      </c>
      <c r="K29" s="25" t="s">
        <v>4578</v>
      </c>
      <c r="L29" s="25" t="s">
        <v>4579</v>
      </c>
      <c r="M29" s="25" t="s">
        <v>4413</v>
      </c>
      <c r="N29" s="25" t="s">
        <v>119</v>
      </c>
    </row>
    <row r="30" spans="1:14" ht="29" customHeight="1" x14ac:dyDescent="0.2">
      <c r="A30" s="23" t="s">
        <v>4058</v>
      </c>
      <c r="B30" s="23" t="s">
        <v>1398</v>
      </c>
      <c r="C30" s="23" t="s">
        <v>182</v>
      </c>
      <c r="D30" s="23" t="s">
        <v>4580</v>
      </c>
      <c r="E30" s="23" t="s">
        <v>4581</v>
      </c>
      <c r="F30" s="23" t="s">
        <v>4582</v>
      </c>
      <c r="G30" s="23" t="s">
        <v>4415</v>
      </c>
      <c r="H30" s="23">
        <v>42</v>
      </c>
      <c r="I30" s="23">
        <v>42</v>
      </c>
      <c r="J30" s="23" t="s">
        <v>1400</v>
      </c>
      <c r="K30" s="23" t="s">
        <v>4583</v>
      </c>
      <c r="L30" s="23" t="s">
        <v>4584</v>
      </c>
      <c r="M30" s="23" t="s">
        <v>4417</v>
      </c>
      <c r="N30" s="23" t="s">
        <v>111</v>
      </c>
    </row>
    <row r="31" spans="1:14" ht="43.5" customHeight="1" x14ac:dyDescent="0.2">
      <c r="A31" s="25" t="s">
        <v>4585</v>
      </c>
      <c r="B31" s="25" t="s">
        <v>4420</v>
      </c>
      <c r="C31" s="25" t="s">
        <v>187</v>
      </c>
      <c r="D31" s="25" t="s">
        <v>4471</v>
      </c>
      <c r="E31" s="25" t="s">
        <v>4586</v>
      </c>
      <c r="F31" s="25" t="s">
        <v>4587</v>
      </c>
      <c r="G31" s="25" t="s">
        <v>4349</v>
      </c>
      <c r="H31" s="25">
        <v>95</v>
      </c>
      <c r="I31" s="25" t="s">
        <v>4484</v>
      </c>
      <c r="J31" s="25" t="s">
        <v>4588</v>
      </c>
      <c r="K31" s="25" t="s">
        <v>4589</v>
      </c>
      <c r="L31" s="25" t="s">
        <v>4590</v>
      </c>
      <c r="M31" s="25" t="s">
        <v>4486</v>
      </c>
      <c r="N31" s="25" t="s">
        <v>119</v>
      </c>
    </row>
    <row r="32" spans="1:14" ht="29" customHeight="1" x14ac:dyDescent="0.2">
      <c r="A32" s="23" t="s">
        <v>4080</v>
      </c>
      <c r="B32" s="23" t="s">
        <v>4420</v>
      </c>
      <c r="C32" s="23" t="s">
        <v>187</v>
      </c>
      <c r="D32" s="23" t="s">
        <v>4471</v>
      </c>
      <c r="E32" s="23" t="s">
        <v>4586</v>
      </c>
      <c r="F32" s="23" t="s">
        <v>4587</v>
      </c>
      <c r="G32" s="23" t="s">
        <v>4349</v>
      </c>
      <c r="H32" s="23">
        <v>99</v>
      </c>
      <c r="I32" s="23">
        <v>99</v>
      </c>
      <c r="J32" s="23" t="s">
        <v>4588</v>
      </c>
      <c r="K32" s="23" t="s">
        <v>4589</v>
      </c>
      <c r="L32" s="23" t="s">
        <v>4591</v>
      </c>
      <c r="M32" s="23" t="s">
        <v>4421</v>
      </c>
      <c r="N32" s="23" t="s">
        <v>119</v>
      </c>
    </row>
    <row r="33" spans="1:14" ht="29" customHeight="1" x14ac:dyDescent="0.2">
      <c r="A33" s="25" t="s">
        <v>4100</v>
      </c>
      <c r="B33" s="25" t="s">
        <v>4423</v>
      </c>
      <c r="C33" s="25" t="s">
        <v>190</v>
      </c>
      <c r="D33" s="25" t="s">
        <v>4471</v>
      </c>
      <c r="E33" s="25" t="s">
        <v>4592</v>
      </c>
      <c r="F33" s="25" t="s">
        <v>4593</v>
      </c>
      <c r="G33" s="25" t="s">
        <v>4349</v>
      </c>
      <c r="H33" s="25">
        <v>62</v>
      </c>
      <c r="I33" s="25">
        <v>62</v>
      </c>
      <c r="J33" s="25" t="s">
        <v>4594</v>
      </c>
      <c r="K33" s="25" t="s">
        <v>4595</v>
      </c>
      <c r="L33" s="25" t="s">
        <v>4596</v>
      </c>
      <c r="M33" s="25" t="s">
        <v>4424</v>
      </c>
      <c r="N33" s="25" t="s">
        <v>119</v>
      </c>
    </row>
    <row r="34" spans="1:14" ht="29" customHeight="1" x14ac:dyDescent="0.2">
      <c r="A34" s="23" t="s">
        <v>4121</v>
      </c>
      <c r="B34" s="23" t="s">
        <v>1423</v>
      </c>
      <c r="C34" s="23" t="s">
        <v>196</v>
      </c>
      <c r="D34" s="23" t="s">
        <v>4471</v>
      </c>
      <c r="E34" s="23" t="s">
        <v>4597</v>
      </c>
      <c r="F34" s="23" t="s">
        <v>4598</v>
      </c>
      <c r="G34" s="23" t="s">
        <v>4349</v>
      </c>
      <c r="H34" s="23">
        <v>44</v>
      </c>
      <c r="I34" s="23">
        <v>43</v>
      </c>
      <c r="J34" s="23" t="s">
        <v>1425</v>
      </c>
      <c r="K34" s="23" t="s">
        <v>4599</v>
      </c>
      <c r="L34" s="23" t="s">
        <v>4600</v>
      </c>
      <c r="M34" s="23" t="s">
        <v>4426</v>
      </c>
      <c r="N34" s="23" t="s">
        <v>119</v>
      </c>
    </row>
    <row r="35" spans="1:14" ht="43.5" customHeight="1" x14ac:dyDescent="0.2">
      <c r="A35" s="25" t="s">
        <v>4132</v>
      </c>
      <c r="B35" s="25" t="s">
        <v>1423</v>
      </c>
      <c r="C35" s="25" t="s">
        <v>196</v>
      </c>
      <c r="D35" s="25" t="s">
        <v>4471</v>
      </c>
      <c r="E35" s="25" t="s">
        <v>4597</v>
      </c>
      <c r="F35" s="25" t="s">
        <v>4598</v>
      </c>
      <c r="G35" s="25" t="s">
        <v>4349</v>
      </c>
      <c r="H35" s="25">
        <v>45</v>
      </c>
      <c r="I35" s="25" t="s">
        <v>4484</v>
      </c>
      <c r="J35" s="25" t="s">
        <v>1425</v>
      </c>
      <c r="K35" s="25" t="s">
        <v>4599</v>
      </c>
      <c r="L35" s="25" t="s">
        <v>4601</v>
      </c>
      <c r="M35" s="25" t="s">
        <v>4486</v>
      </c>
      <c r="N35" s="25" t="s">
        <v>119</v>
      </c>
    </row>
    <row r="36" spans="1:14" ht="43.5" customHeight="1" x14ac:dyDescent="0.2">
      <c r="A36" s="23" t="s">
        <v>4150</v>
      </c>
      <c r="B36" s="23" t="s">
        <v>1436</v>
      </c>
      <c r="C36" s="23" t="s">
        <v>199</v>
      </c>
      <c r="D36" s="23" t="s">
        <v>4602</v>
      </c>
      <c r="E36" s="23" t="s">
        <v>4603</v>
      </c>
      <c r="F36" s="23" t="s">
        <v>4604</v>
      </c>
      <c r="G36" s="23" t="s">
        <v>4428</v>
      </c>
      <c r="H36" s="23">
        <v>73</v>
      </c>
      <c r="I36" s="23">
        <v>71</v>
      </c>
      <c r="J36" s="23" t="s">
        <v>1437</v>
      </c>
      <c r="K36" s="23" t="s">
        <v>4605</v>
      </c>
      <c r="L36" s="23" t="s">
        <v>4606</v>
      </c>
      <c r="M36" s="23" t="s">
        <v>4431</v>
      </c>
      <c r="N36" s="23" t="s">
        <v>119</v>
      </c>
    </row>
    <row r="37" spans="1:14" ht="43.5" customHeight="1" x14ac:dyDescent="0.2">
      <c r="A37" s="25" t="s">
        <v>4174</v>
      </c>
      <c r="B37" s="25" t="s">
        <v>4434</v>
      </c>
      <c r="C37" s="25" t="s">
        <v>202</v>
      </c>
      <c r="D37" s="25" t="s">
        <v>4471</v>
      </c>
      <c r="E37" s="25" t="s">
        <v>4607</v>
      </c>
      <c r="F37" s="25" t="s">
        <v>4608</v>
      </c>
      <c r="G37" s="25" t="s">
        <v>4349</v>
      </c>
      <c r="H37" s="25">
        <v>49</v>
      </c>
      <c r="I37" s="25">
        <v>96</v>
      </c>
      <c r="J37" s="25" t="s">
        <v>4609</v>
      </c>
      <c r="K37" s="25" t="s">
        <v>4610</v>
      </c>
      <c r="L37" s="25" t="s">
        <v>4611</v>
      </c>
      <c r="M37" s="25" t="s">
        <v>4435</v>
      </c>
      <c r="N37" s="25" t="s">
        <v>119</v>
      </c>
    </row>
    <row r="38" spans="1:14" ht="29" customHeight="1" x14ac:dyDescent="0.2">
      <c r="A38" s="23" t="s">
        <v>4189</v>
      </c>
      <c r="B38" s="23" t="s">
        <v>1455</v>
      </c>
      <c r="C38" s="23" t="s">
        <v>206</v>
      </c>
      <c r="D38" s="23" t="s">
        <v>4471</v>
      </c>
      <c r="E38" s="23" t="s">
        <v>4612</v>
      </c>
      <c r="F38" s="23" t="s">
        <v>4613</v>
      </c>
      <c r="G38" s="23" t="s">
        <v>4349</v>
      </c>
      <c r="H38" s="23">
        <v>29</v>
      </c>
      <c r="I38" s="23">
        <v>28</v>
      </c>
      <c r="J38" s="23" t="s">
        <v>1456</v>
      </c>
      <c r="K38" s="23" t="s">
        <v>4614</v>
      </c>
      <c r="L38" s="23" t="s">
        <v>4615</v>
      </c>
      <c r="M38" s="23" t="s">
        <v>4437</v>
      </c>
      <c r="N38" s="23" t="s">
        <v>119</v>
      </c>
    </row>
    <row r="39" spans="1:14" ht="29" customHeight="1" x14ac:dyDescent="0.2">
      <c r="A39" s="25" t="s">
        <v>4213</v>
      </c>
      <c r="B39" s="25" t="s">
        <v>4439</v>
      </c>
      <c r="C39" s="25" t="s">
        <v>209</v>
      </c>
      <c r="D39" s="25" t="s">
        <v>4471</v>
      </c>
      <c r="E39" s="25" t="s">
        <v>4616</v>
      </c>
      <c r="F39" s="25" t="s">
        <v>4617</v>
      </c>
      <c r="G39" s="25" t="s">
        <v>4349</v>
      </c>
      <c r="H39" s="25">
        <v>53</v>
      </c>
      <c r="I39" s="25">
        <v>53</v>
      </c>
      <c r="J39" s="25" t="s">
        <v>4618</v>
      </c>
      <c r="K39" s="25" t="s">
        <v>4619</v>
      </c>
      <c r="L39" s="25" t="s">
        <v>4620</v>
      </c>
      <c r="M39" s="25" t="s">
        <v>4440</v>
      </c>
      <c r="N39" s="25" t="s">
        <v>119</v>
      </c>
    </row>
    <row r="40" spans="1:14" ht="43.5" customHeight="1" x14ac:dyDescent="0.2">
      <c r="A40" s="23" t="s">
        <v>4224</v>
      </c>
      <c r="B40" s="23" t="s">
        <v>4439</v>
      </c>
      <c r="C40" s="23" t="s">
        <v>209</v>
      </c>
      <c r="D40" s="23" t="s">
        <v>4471</v>
      </c>
      <c r="E40" s="23" t="s">
        <v>4616</v>
      </c>
      <c r="F40" s="23" t="s">
        <v>4617</v>
      </c>
      <c r="G40" s="23" t="s">
        <v>4349</v>
      </c>
      <c r="H40" s="23">
        <v>54</v>
      </c>
      <c r="I40" s="23" t="s">
        <v>4484</v>
      </c>
      <c r="J40" s="23" t="s">
        <v>4618</v>
      </c>
      <c r="K40" s="23" t="s">
        <v>4619</v>
      </c>
      <c r="L40" s="23" t="s">
        <v>4621</v>
      </c>
      <c r="M40" s="23" t="s">
        <v>4486</v>
      </c>
      <c r="N40" s="23" t="s">
        <v>119</v>
      </c>
    </row>
    <row r="41" spans="1:14" ht="43.5" customHeight="1" x14ac:dyDescent="0.2">
      <c r="A41" s="25" t="s">
        <v>4235</v>
      </c>
      <c r="B41" s="25" t="s">
        <v>4439</v>
      </c>
      <c r="C41" s="25" t="s">
        <v>209</v>
      </c>
      <c r="D41" s="25" t="s">
        <v>4471</v>
      </c>
      <c r="E41" s="25" t="s">
        <v>4616</v>
      </c>
      <c r="F41" s="25" t="s">
        <v>4617</v>
      </c>
      <c r="G41" s="25" t="s">
        <v>4349</v>
      </c>
      <c r="H41" s="25">
        <v>55</v>
      </c>
      <c r="I41" s="25" t="s">
        <v>4484</v>
      </c>
      <c r="J41" s="25" t="s">
        <v>4618</v>
      </c>
      <c r="K41" s="25" t="s">
        <v>4619</v>
      </c>
      <c r="L41" s="25" t="s">
        <v>4622</v>
      </c>
      <c r="M41" s="25" t="s">
        <v>4486</v>
      </c>
      <c r="N41" s="25" t="s">
        <v>119</v>
      </c>
    </row>
    <row r="42" spans="1:14" ht="43.5" customHeight="1" x14ac:dyDescent="0.2">
      <c r="A42" s="23" t="s">
        <v>4241</v>
      </c>
      <c r="B42" s="23" t="s">
        <v>1470</v>
      </c>
      <c r="C42" s="23" t="s">
        <v>212</v>
      </c>
      <c r="D42" s="23" t="s">
        <v>4471</v>
      </c>
      <c r="E42" s="23" t="s">
        <v>4623</v>
      </c>
      <c r="F42" s="23" t="s">
        <v>4624</v>
      </c>
      <c r="G42" s="23" t="s">
        <v>4349</v>
      </c>
      <c r="H42" s="23">
        <v>49</v>
      </c>
      <c r="I42" s="23">
        <v>49</v>
      </c>
      <c r="J42" s="23" t="s">
        <v>1472</v>
      </c>
      <c r="K42" s="23" t="s">
        <v>4625</v>
      </c>
      <c r="L42" s="23" t="s">
        <v>4626</v>
      </c>
      <c r="M42" s="23" t="s">
        <v>4442</v>
      </c>
      <c r="N42" s="23" t="s">
        <v>119</v>
      </c>
    </row>
    <row r="43" spans="1:14" ht="43.5" customHeight="1" x14ac:dyDescent="0.2">
      <c r="A43" s="25" t="s">
        <v>4247</v>
      </c>
      <c r="B43" s="25" t="s">
        <v>1470</v>
      </c>
      <c r="C43" s="25" t="s">
        <v>212</v>
      </c>
      <c r="D43" s="25" t="s">
        <v>4471</v>
      </c>
      <c r="E43" s="25" t="s">
        <v>4623</v>
      </c>
      <c r="F43" s="25" t="s">
        <v>4624</v>
      </c>
      <c r="G43" s="25" t="s">
        <v>4349</v>
      </c>
      <c r="H43" s="25">
        <v>50</v>
      </c>
      <c r="I43" s="25" t="s">
        <v>4484</v>
      </c>
      <c r="J43" s="25" t="s">
        <v>1472</v>
      </c>
      <c r="K43" s="25" t="s">
        <v>4625</v>
      </c>
      <c r="L43" s="25" t="s">
        <v>4627</v>
      </c>
      <c r="M43" s="25" t="s">
        <v>4486</v>
      </c>
      <c r="N43" s="25" t="s">
        <v>119</v>
      </c>
    </row>
    <row r="44" spans="1:14" ht="58" customHeight="1" x14ac:dyDescent="0.2">
      <c r="A44" s="23" t="s">
        <v>4448</v>
      </c>
      <c r="B44" s="23" t="s">
        <v>4444</v>
      </c>
      <c r="C44" s="23" t="s">
        <v>24</v>
      </c>
      <c r="D44" s="23" t="s">
        <v>4628</v>
      </c>
      <c r="E44" s="23" t="s">
        <v>4629</v>
      </c>
      <c r="F44" s="23" t="s">
        <v>4630</v>
      </c>
      <c r="G44" s="23" t="s">
        <v>4445</v>
      </c>
      <c r="H44" s="23">
        <v>1</v>
      </c>
      <c r="I44" s="23">
        <v>1</v>
      </c>
      <c r="J44" s="23" t="s">
        <v>289</v>
      </c>
      <c r="K44" s="23" t="s">
        <v>4631</v>
      </c>
      <c r="L44" s="23" t="s">
        <v>4632</v>
      </c>
      <c r="M44" s="23" t="s">
        <v>4447</v>
      </c>
      <c r="N44" s="23" t="s">
        <v>119</v>
      </c>
    </row>
    <row r="45" spans="1:14" ht="43.5" customHeight="1" x14ac:dyDescent="0.2">
      <c r="A45" s="25" t="s">
        <v>4633</v>
      </c>
      <c r="B45" s="25" t="s">
        <v>4444</v>
      </c>
      <c r="C45" s="25" t="s">
        <v>24</v>
      </c>
      <c r="D45" s="25" t="s">
        <v>4628</v>
      </c>
      <c r="E45" s="25" t="s">
        <v>4629</v>
      </c>
      <c r="F45" s="25" t="s">
        <v>4630</v>
      </c>
      <c r="G45" s="25" t="s">
        <v>4445</v>
      </c>
      <c r="H45" s="25">
        <v>2</v>
      </c>
      <c r="I45" s="25" t="s">
        <v>4484</v>
      </c>
      <c r="J45" s="25" t="s">
        <v>289</v>
      </c>
      <c r="K45" s="25" t="s">
        <v>4631</v>
      </c>
      <c r="L45" s="25" t="s">
        <v>4634</v>
      </c>
      <c r="M45" s="25" t="s">
        <v>4486</v>
      </c>
      <c r="N45" s="25" t="s">
        <v>119</v>
      </c>
    </row>
    <row r="46" spans="1:14" ht="43.5" customHeight="1" x14ac:dyDescent="0.2">
      <c r="A46" s="23" t="s">
        <v>4271</v>
      </c>
      <c r="B46" s="23" t="s">
        <v>4450</v>
      </c>
      <c r="C46" s="23" t="s">
        <v>28</v>
      </c>
      <c r="D46" s="23" t="s">
        <v>4487</v>
      </c>
      <c r="E46" s="23" t="s">
        <v>4635</v>
      </c>
      <c r="F46" s="23" t="s">
        <v>4636</v>
      </c>
      <c r="G46" s="23" t="s">
        <v>4363</v>
      </c>
      <c r="H46" s="23">
        <v>89</v>
      </c>
      <c r="I46" s="23">
        <v>84</v>
      </c>
      <c r="J46" s="23" t="s">
        <v>4637</v>
      </c>
      <c r="K46" s="23" t="s">
        <v>4638</v>
      </c>
      <c r="L46" s="23" t="s">
        <v>4639</v>
      </c>
      <c r="M46" s="23" t="s">
        <v>4451</v>
      </c>
      <c r="N46" s="23" t="s">
        <v>111</v>
      </c>
    </row>
    <row r="47" spans="1:14" ht="43.5" customHeight="1" x14ac:dyDescent="0.2">
      <c r="A47" s="25" t="s">
        <v>4294</v>
      </c>
      <c r="B47" s="25" t="s">
        <v>4454</v>
      </c>
      <c r="C47" s="25" t="s">
        <v>222</v>
      </c>
      <c r="D47" s="25" t="s">
        <v>4580</v>
      </c>
      <c r="E47" s="25" t="s">
        <v>4640</v>
      </c>
      <c r="F47" s="25" t="s">
        <v>4641</v>
      </c>
      <c r="G47" s="25" t="s">
        <v>4415</v>
      </c>
      <c r="H47" s="25">
        <v>23</v>
      </c>
      <c r="I47" s="25">
        <v>22</v>
      </c>
      <c r="J47" s="25" t="s">
        <v>4642</v>
      </c>
      <c r="K47" s="25" t="s">
        <v>4643</v>
      </c>
      <c r="L47" s="25" t="s">
        <v>4644</v>
      </c>
      <c r="M47" s="25" t="s">
        <v>4455</v>
      </c>
      <c r="N47" s="25" t="s">
        <v>111</v>
      </c>
    </row>
    <row r="48" spans="1:14" ht="43.5" customHeight="1" x14ac:dyDescent="0.2">
      <c r="A48" s="23" t="s">
        <v>4645</v>
      </c>
      <c r="B48" s="23" t="s">
        <v>4454</v>
      </c>
      <c r="C48" s="23" t="s">
        <v>222</v>
      </c>
      <c r="D48" s="23" t="s">
        <v>4580</v>
      </c>
      <c r="E48" s="23" t="s">
        <v>4640</v>
      </c>
      <c r="F48" s="23" t="s">
        <v>4641</v>
      </c>
      <c r="G48" s="23" t="s">
        <v>4415</v>
      </c>
      <c r="H48" s="23">
        <v>24</v>
      </c>
      <c r="I48" s="23" t="s">
        <v>4484</v>
      </c>
      <c r="J48" s="23" t="s">
        <v>4642</v>
      </c>
      <c r="K48" s="23" t="s">
        <v>4643</v>
      </c>
      <c r="L48" s="23" t="s">
        <v>4646</v>
      </c>
      <c r="M48" s="23" t="s">
        <v>4486</v>
      </c>
      <c r="N48" s="23" t="s">
        <v>111</v>
      </c>
    </row>
  </sheetData>
  <mergeCells count="2">
    <mergeCell ref="A2:N2"/>
    <mergeCell ref="A1:N1"/>
  </mergeCells>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rgb="FF548235"/>
  </sheetPr>
  <dimension ref="A1:K13"/>
  <sheetViews>
    <sheetView showGridLines="0" rightToLeft="1" workbookViewId="0">
      <pane xSplit="1" ySplit="3" topLeftCell="B4" activePane="bottomRight" state="frozen"/>
      <selection pane="topRight"/>
      <selection pane="bottomLeft"/>
      <selection pane="bottomRight"/>
    </sheetView>
  </sheetViews>
  <sheetFormatPr baseColWidth="10" defaultColWidth="8.83203125" defaultRowHeight="15" x14ac:dyDescent="0.2"/>
  <cols>
    <col min="1" max="1" width="9" customWidth="1"/>
    <col min="2" max="2" width="24" customWidth="1"/>
    <col min="3" max="3" width="20" customWidth="1"/>
    <col min="4" max="4" width="70" customWidth="1"/>
    <col min="5" max="5" width="9" customWidth="1"/>
    <col min="6" max="7" width="22" customWidth="1"/>
    <col min="8" max="8" width="36" customWidth="1"/>
    <col min="9" max="9" width="24" customWidth="1"/>
    <col min="10" max="10" width="22" customWidth="1"/>
    <col min="11" max="11" width="28" customWidth="1"/>
  </cols>
  <sheetData>
    <row r="1" spans="1:11" ht="30" customHeight="1" x14ac:dyDescent="0.2">
      <c r="A1" s="87" t="s">
        <v>4647</v>
      </c>
      <c r="B1" s="76"/>
      <c r="C1" s="76"/>
      <c r="D1" s="76"/>
      <c r="E1" s="76"/>
      <c r="F1" s="76"/>
      <c r="G1" s="76"/>
      <c r="H1" s="76"/>
      <c r="I1" s="76"/>
      <c r="J1" s="76"/>
      <c r="K1" s="76"/>
    </row>
    <row r="2" spans="1:11" ht="22" customHeight="1" x14ac:dyDescent="0.2">
      <c r="A2" s="85" t="s">
        <v>4648</v>
      </c>
      <c r="B2" s="76"/>
      <c r="C2" s="76"/>
      <c r="D2" s="76"/>
      <c r="E2" s="76"/>
      <c r="F2" s="76"/>
      <c r="G2" s="76"/>
      <c r="H2" s="76"/>
      <c r="I2" s="76"/>
      <c r="J2" s="76"/>
      <c r="K2" s="76"/>
    </row>
    <row r="3" spans="1:11" ht="30" customHeight="1" x14ac:dyDescent="0.2">
      <c r="A3" s="24" t="s">
        <v>442</v>
      </c>
      <c r="B3" s="24" t="s">
        <v>1685</v>
      </c>
      <c r="C3" s="24" t="s">
        <v>376</v>
      </c>
      <c r="D3" s="24" t="s">
        <v>4649</v>
      </c>
      <c r="E3" s="24" t="s">
        <v>910</v>
      </c>
      <c r="F3" s="24" t="s">
        <v>4650</v>
      </c>
      <c r="G3" s="24" t="s">
        <v>4651</v>
      </c>
      <c r="H3" s="24" t="s">
        <v>4652</v>
      </c>
      <c r="I3" s="24" t="s">
        <v>4653</v>
      </c>
      <c r="J3" s="24" t="s">
        <v>4654</v>
      </c>
      <c r="K3" s="24" t="s">
        <v>4655</v>
      </c>
    </row>
    <row r="4" spans="1:11" ht="29" customHeight="1" x14ac:dyDescent="0.2">
      <c r="A4" s="23" t="s">
        <v>478</v>
      </c>
      <c r="B4" s="23" t="s">
        <v>479</v>
      </c>
      <c r="C4" s="23" t="s">
        <v>4656</v>
      </c>
      <c r="D4" s="23" t="s">
        <v>4657</v>
      </c>
      <c r="E4" s="23" t="s">
        <v>4658</v>
      </c>
      <c r="F4" s="23" t="s">
        <v>4659</v>
      </c>
      <c r="G4" s="23" t="s">
        <v>329</v>
      </c>
      <c r="H4" s="23" t="s">
        <v>4660</v>
      </c>
      <c r="I4" s="23" t="s">
        <v>4661</v>
      </c>
      <c r="J4" s="23" t="s">
        <v>4662</v>
      </c>
      <c r="K4" s="23" t="s">
        <v>4312</v>
      </c>
    </row>
    <row r="5" spans="1:11" ht="43.5" customHeight="1" x14ac:dyDescent="0.2">
      <c r="A5" s="25" t="s">
        <v>483</v>
      </c>
      <c r="B5" s="25" t="s">
        <v>484</v>
      </c>
      <c r="C5" s="25" t="s">
        <v>4656</v>
      </c>
      <c r="D5" s="25" t="s">
        <v>4663</v>
      </c>
      <c r="E5" s="25" t="s">
        <v>2268</v>
      </c>
      <c r="F5" s="25" t="s">
        <v>4664</v>
      </c>
      <c r="G5" s="25" t="s">
        <v>1234</v>
      </c>
      <c r="H5" s="25" t="s">
        <v>4665</v>
      </c>
      <c r="I5" s="25" t="s">
        <v>4666</v>
      </c>
      <c r="J5" s="25" t="s">
        <v>4667</v>
      </c>
      <c r="K5" s="25" t="s">
        <v>4320</v>
      </c>
    </row>
    <row r="6" spans="1:11" ht="43.5" customHeight="1" x14ac:dyDescent="0.2">
      <c r="A6" s="23" t="s">
        <v>2361</v>
      </c>
      <c r="B6" s="23" t="s">
        <v>2362</v>
      </c>
      <c r="C6" s="23" t="s">
        <v>4668</v>
      </c>
      <c r="D6" s="23" t="s">
        <v>4669</v>
      </c>
      <c r="E6" s="23" t="s">
        <v>2310</v>
      </c>
      <c r="F6" s="23" t="s">
        <v>4670</v>
      </c>
      <c r="G6" s="23" t="s">
        <v>4671</v>
      </c>
      <c r="H6" s="23" t="s">
        <v>4672</v>
      </c>
      <c r="I6" s="23" t="s">
        <v>4673</v>
      </c>
      <c r="J6" s="23" t="s">
        <v>4674</v>
      </c>
      <c r="K6" s="23" t="s">
        <v>4326</v>
      </c>
    </row>
    <row r="7" spans="1:11" ht="58" customHeight="1" x14ac:dyDescent="0.2">
      <c r="A7" s="25" t="s">
        <v>2368</v>
      </c>
      <c r="B7" s="25" t="s">
        <v>4675</v>
      </c>
      <c r="C7" s="25" t="s">
        <v>4668</v>
      </c>
      <c r="D7" s="25" t="s">
        <v>4676</v>
      </c>
      <c r="E7" s="25" t="s">
        <v>4658</v>
      </c>
      <c r="F7" s="25" t="s">
        <v>4677</v>
      </c>
      <c r="G7" s="25" t="s">
        <v>1234</v>
      </c>
      <c r="H7" s="25" t="s">
        <v>4678</v>
      </c>
      <c r="I7" s="25" t="s">
        <v>4673</v>
      </c>
      <c r="J7" s="25" t="s">
        <v>4674</v>
      </c>
      <c r="K7" s="25" t="s">
        <v>4332</v>
      </c>
    </row>
    <row r="8" spans="1:11" ht="29" customHeight="1" x14ac:dyDescent="0.2">
      <c r="A8" s="23" t="s">
        <v>2376</v>
      </c>
      <c r="B8" s="23" t="s">
        <v>2377</v>
      </c>
      <c r="C8" s="23" t="s">
        <v>4668</v>
      </c>
      <c r="D8" s="23" t="s">
        <v>4679</v>
      </c>
      <c r="E8" s="23" t="s">
        <v>4680</v>
      </c>
      <c r="F8" s="23" t="s">
        <v>4681</v>
      </c>
      <c r="G8" s="23" t="s">
        <v>1234</v>
      </c>
      <c r="H8" s="23" t="s">
        <v>4682</v>
      </c>
      <c r="I8" s="23" t="s">
        <v>4683</v>
      </c>
      <c r="J8" s="23" t="s">
        <v>4674</v>
      </c>
      <c r="K8" s="23" t="s">
        <v>4337</v>
      </c>
    </row>
    <row r="9" spans="1:11" ht="72.5" customHeight="1" x14ac:dyDescent="0.2">
      <c r="A9" s="25" t="s">
        <v>4684</v>
      </c>
      <c r="B9" s="25" t="s">
        <v>945</v>
      </c>
      <c r="C9" s="25" t="s">
        <v>4685</v>
      </c>
      <c r="D9" s="25" t="s">
        <v>4686</v>
      </c>
      <c r="E9" s="25" t="s">
        <v>2310</v>
      </c>
      <c r="F9" s="25" t="s">
        <v>4687</v>
      </c>
      <c r="G9" s="25" t="s">
        <v>4688</v>
      </c>
      <c r="H9" s="25" t="s">
        <v>4689</v>
      </c>
      <c r="I9" s="25" t="s">
        <v>4673</v>
      </c>
      <c r="J9" s="25" t="s">
        <v>4690</v>
      </c>
      <c r="K9" s="25" t="s">
        <v>4334</v>
      </c>
    </row>
    <row r="10" spans="1:11" ht="72.5" customHeight="1" x14ac:dyDescent="0.2">
      <c r="A10" s="23" t="s">
        <v>4691</v>
      </c>
      <c r="B10" s="23" t="s">
        <v>4692</v>
      </c>
      <c r="C10" s="23" t="s">
        <v>4685</v>
      </c>
      <c r="D10" s="23" t="s">
        <v>4693</v>
      </c>
      <c r="E10" s="23" t="s">
        <v>2310</v>
      </c>
      <c r="F10" s="23" t="s">
        <v>4694</v>
      </c>
      <c r="G10" s="23" t="s">
        <v>4695</v>
      </c>
      <c r="H10" s="23" t="s">
        <v>4696</v>
      </c>
      <c r="I10" s="23" t="s">
        <v>4697</v>
      </c>
      <c r="J10" s="23" t="s">
        <v>4690</v>
      </c>
      <c r="K10" s="23" t="s">
        <v>4343</v>
      </c>
    </row>
    <row r="11" spans="1:11" ht="43.5" customHeight="1" x14ac:dyDescent="0.2">
      <c r="A11" s="25" t="s">
        <v>4698</v>
      </c>
      <c r="B11" s="25" t="s">
        <v>4699</v>
      </c>
      <c r="C11" s="25" t="s">
        <v>4700</v>
      </c>
      <c r="D11" s="25" t="s">
        <v>4701</v>
      </c>
      <c r="E11" s="25" t="s">
        <v>4702</v>
      </c>
      <c r="F11" s="25" t="s">
        <v>1234</v>
      </c>
      <c r="G11" s="25" t="s">
        <v>1234</v>
      </c>
      <c r="H11" s="25" t="s">
        <v>1234</v>
      </c>
      <c r="I11" s="25" t="s">
        <v>4703</v>
      </c>
      <c r="J11" s="25" t="s">
        <v>1856</v>
      </c>
      <c r="K11" s="25" t="s">
        <v>4309</v>
      </c>
    </row>
    <row r="12" spans="1:11" ht="43.5" customHeight="1" x14ac:dyDescent="0.2">
      <c r="A12" s="23" t="s">
        <v>4704</v>
      </c>
      <c r="B12" s="23" t="s">
        <v>3574</v>
      </c>
      <c r="C12" s="23" t="s">
        <v>4700</v>
      </c>
      <c r="D12" s="23" t="s">
        <v>4705</v>
      </c>
      <c r="E12" s="23" t="s">
        <v>442</v>
      </c>
      <c r="F12" s="23" t="s">
        <v>1234</v>
      </c>
      <c r="G12" s="23" t="s">
        <v>1234</v>
      </c>
      <c r="H12" s="23" t="s">
        <v>1234</v>
      </c>
      <c r="I12" s="23" t="s">
        <v>4309</v>
      </c>
      <c r="J12" s="23" t="s">
        <v>1856</v>
      </c>
      <c r="K12" s="23" t="s">
        <v>3574</v>
      </c>
    </row>
    <row r="13" spans="1:11" ht="29" customHeight="1" x14ac:dyDescent="0.2">
      <c r="A13" s="25" t="s">
        <v>4706</v>
      </c>
      <c r="B13" s="25" t="s">
        <v>97</v>
      </c>
      <c r="C13" s="25" t="s">
        <v>4700</v>
      </c>
      <c r="D13" s="25" t="s">
        <v>4707</v>
      </c>
      <c r="E13" s="25" t="s">
        <v>4708</v>
      </c>
      <c r="F13" s="25" t="s">
        <v>1234</v>
      </c>
      <c r="G13" s="25" t="s">
        <v>1234</v>
      </c>
      <c r="H13" s="25" t="s">
        <v>1234</v>
      </c>
      <c r="I13" s="25" t="s">
        <v>1234</v>
      </c>
      <c r="J13" s="25" t="s">
        <v>1856</v>
      </c>
      <c r="K13" s="25" t="s">
        <v>4709</v>
      </c>
    </row>
  </sheetData>
  <mergeCells count="2">
    <mergeCell ref="A2:K2"/>
    <mergeCell ref="A1:K1"/>
  </mergeCells>
  <pageMargins left="0.75" right="0.75" top="1" bottom="1" header="0.5" footer="0.5"/>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548235"/>
  </sheetPr>
  <dimension ref="A1:H63"/>
  <sheetViews>
    <sheetView showGridLines="0" rightToLeft="1" workbookViewId="0">
      <pane xSplit="2" ySplit="3" topLeftCell="C4" activePane="bottomRight" state="frozen"/>
      <selection pane="topRight"/>
      <selection pane="bottomLeft"/>
      <selection pane="bottomRight"/>
    </sheetView>
  </sheetViews>
  <sheetFormatPr baseColWidth="10" defaultColWidth="8.83203125" defaultRowHeight="15" x14ac:dyDescent="0.2"/>
  <cols>
    <col min="1" max="1" width="9" customWidth="1"/>
    <col min="2" max="3" width="12" customWidth="1"/>
    <col min="4" max="5" width="10" customWidth="1"/>
    <col min="6" max="7" width="16" customWidth="1"/>
    <col min="8" max="8" width="40" customWidth="1"/>
  </cols>
  <sheetData>
    <row r="1" spans="1:8" ht="30" customHeight="1" x14ac:dyDescent="0.2">
      <c r="A1" s="87" t="s">
        <v>4710</v>
      </c>
      <c r="B1" s="76"/>
      <c r="C1" s="76"/>
      <c r="D1" s="76"/>
      <c r="E1" s="76"/>
      <c r="F1" s="76"/>
      <c r="G1" s="76"/>
      <c r="H1" s="76"/>
    </row>
    <row r="2" spans="1:8" ht="30" customHeight="1" x14ac:dyDescent="0.2">
      <c r="A2" s="85" t="s">
        <v>4711</v>
      </c>
      <c r="B2" s="76"/>
      <c r="C2" s="76"/>
      <c r="D2" s="76"/>
      <c r="E2" s="76"/>
      <c r="F2" s="76"/>
      <c r="G2" s="76"/>
      <c r="H2" s="76"/>
    </row>
    <row r="3" spans="1:8" ht="30" customHeight="1" x14ac:dyDescent="0.2">
      <c r="A3" s="24" t="s">
        <v>442</v>
      </c>
      <c r="B3" s="24" t="s">
        <v>94</v>
      </c>
      <c r="C3" s="24" t="s">
        <v>228</v>
      </c>
      <c r="D3" s="24" t="s">
        <v>4650</v>
      </c>
      <c r="E3" s="24" t="s">
        <v>4651</v>
      </c>
      <c r="F3" s="24" t="s">
        <v>4712</v>
      </c>
      <c r="G3" s="24" t="s">
        <v>376</v>
      </c>
      <c r="H3" s="24" t="s">
        <v>107</v>
      </c>
    </row>
    <row r="4" spans="1:8" ht="20" customHeight="1" x14ac:dyDescent="0.2">
      <c r="A4" s="23" t="s">
        <v>4684</v>
      </c>
      <c r="B4" s="23" t="s">
        <v>109</v>
      </c>
      <c r="C4" s="67">
        <f>'AC Company v40'!AC4</f>
        <v>0.8</v>
      </c>
      <c r="D4" s="23">
        <f>'AC Company v40'!W4</f>
        <v>4</v>
      </c>
      <c r="E4" s="23">
        <f>'AC Company v40'!K4</f>
        <v>5</v>
      </c>
      <c r="F4" s="23">
        <f>'AC Company v40'!X4</f>
        <v>1</v>
      </c>
      <c r="G4" s="23" t="str">
        <f>IF(ISNUMBER(C4),IF('AC Company v40'!AB4="کامل","دقیق","حد پایین"),"ثبت نشد")</f>
        <v>دقیق</v>
      </c>
      <c r="H4" s="23" t="s">
        <v>4713</v>
      </c>
    </row>
    <row r="5" spans="1:8" ht="20" customHeight="1" x14ac:dyDescent="0.2">
      <c r="A5" s="25" t="s">
        <v>4684</v>
      </c>
      <c r="B5" s="25" t="s">
        <v>117</v>
      </c>
      <c r="C5" s="68">
        <f>'AC Company v40'!AC5</f>
        <v>0.2</v>
      </c>
      <c r="D5" s="25">
        <f>'AC Company v40'!W5</f>
        <v>1</v>
      </c>
      <c r="E5" s="25">
        <f>'AC Company v40'!K5</f>
        <v>5</v>
      </c>
      <c r="F5" s="25">
        <f>'AC Company v40'!X5</f>
        <v>4</v>
      </c>
      <c r="G5" s="25" t="str">
        <f>IF(ISNUMBER(C5),IF('AC Company v40'!AB5="کامل","دقیق","حد پایین"),"ثبت نشد")</f>
        <v>حد پایین</v>
      </c>
      <c r="H5" s="25" t="s">
        <v>4713</v>
      </c>
    </row>
    <row r="6" spans="1:8" ht="20" customHeight="1" x14ac:dyDescent="0.2">
      <c r="A6" s="23" t="s">
        <v>4684</v>
      </c>
      <c r="B6" s="23" t="s">
        <v>126</v>
      </c>
      <c r="C6" s="67">
        <f>'AC Company v40'!AC6</f>
        <v>0.66666666666666663</v>
      </c>
      <c r="D6" s="23">
        <f>'AC Company v40'!W6</f>
        <v>2</v>
      </c>
      <c r="E6" s="23">
        <f>'AC Company v40'!K6</f>
        <v>3</v>
      </c>
      <c r="F6" s="23">
        <f>'AC Company v40'!X6</f>
        <v>1</v>
      </c>
      <c r="G6" s="23" t="str">
        <f>IF(ISNUMBER(C6),IF('AC Company v40'!AB6="کامل","دقیق","حد پایین"),"ثبت نشد")</f>
        <v>دقیق</v>
      </c>
      <c r="H6" s="23" t="s">
        <v>4713</v>
      </c>
    </row>
    <row r="7" spans="1:8" ht="20" customHeight="1" x14ac:dyDescent="0.2">
      <c r="A7" s="25" t="s">
        <v>4684</v>
      </c>
      <c r="B7" s="25" t="s">
        <v>131</v>
      </c>
      <c r="C7" s="68">
        <f>'AC Company v40'!AC7</f>
        <v>1</v>
      </c>
      <c r="D7" s="25">
        <f>'AC Company v40'!W7</f>
        <v>3</v>
      </c>
      <c r="E7" s="25">
        <f>'AC Company v40'!K7</f>
        <v>3</v>
      </c>
      <c r="F7" s="25">
        <f>'AC Company v40'!X7</f>
        <v>0</v>
      </c>
      <c r="G7" s="25" t="str">
        <f>IF(ISNUMBER(C7),IF('AC Company v40'!AB7="کامل","دقیق","حد پایین"),"ثبت نشد")</f>
        <v>دقیق</v>
      </c>
      <c r="H7" s="25" t="s">
        <v>4713</v>
      </c>
    </row>
    <row r="8" spans="1:8" ht="20" customHeight="1" x14ac:dyDescent="0.2">
      <c r="A8" s="23" t="s">
        <v>4684</v>
      </c>
      <c r="B8" s="23" t="s">
        <v>135</v>
      </c>
      <c r="C8" s="67">
        <f>'AC Company v40'!AC8</f>
        <v>0.6</v>
      </c>
      <c r="D8" s="23">
        <f>'AC Company v40'!W8</f>
        <v>3</v>
      </c>
      <c r="E8" s="23">
        <f>'AC Company v40'!K8</f>
        <v>5</v>
      </c>
      <c r="F8" s="23">
        <f>'AC Company v40'!X8</f>
        <v>2</v>
      </c>
      <c r="G8" s="23" t="str">
        <f>IF(ISNUMBER(C8),IF('AC Company v40'!AB8="کامل","دقیق","حد پایین"),"ثبت نشد")</f>
        <v>دقیق</v>
      </c>
      <c r="H8" s="23" t="s">
        <v>4713</v>
      </c>
    </row>
    <row r="9" spans="1:8" ht="20" customHeight="1" x14ac:dyDescent="0.2">
      <c r="A9" s="25" t="s">
        <v>4684</v>
      </c>
      <c r="B9" s="25" t="s">
        <v>137</v>
      </c>
      <c r="C9" s="68">
        <f>'AC Company v40'!AC9</f>
        <v>0.4</v>
      </c>
      <c r="D9" s="25">
        <f>'AC Company v40'!W9</f>
        <v>2</v>
      </c>
      <c r="E9" s="25">
        <f>'AC Company v40'!K9</f>
        <v>5</v>
      </c>
      <c r="F9" s="25">
        <f>'AC Company v40'!X9</f>
        <v>3</v>
      </c>
      <c r="G9" s="25" t="str">
        <f>IF(ISNUMBER(C9),IF('AC Company v40'!AB9="کامل","دقیق","حد پایین"),"ثبت نشد")</f>
        <v>حد پایین</v>
      </c>
      <c r="H9" s="25" t="s">
        <v>4713</v>
      </c>
    </row>
    <row r="10" spans="1:8" ht="20" customHeight="1" x14ac:dyDescent="0.2">
      <c r="A10" s="23" t="s">
        <v>4684</v>
      </c>
      <c r="B10" s="23" t="s">
        <v>140</v>
      </c>
      <c r="C10" s="67">
        <f>'AC Company v40'!AC10</f>
        <v>0.8</v>
      </c>
      <c r="D10" s="23">
        <f>'AC Company v40'!W10</f>
        <v>4</v>
      </c>
      <c r="E10" s="23">
        <f>'AC Company v40'!K10</f>
        <v>5</v>
      </c>
      <c r="F10" s="23">
        <f>'AC Company v40'!X10</f>
        <v>1</v>
      </c>
      <c r="G10" s="23" t="str">
        <f>IF(ISNUMBER(C10),IF('AC Company v40'!AB10="کامل","دقیق","حد پایین"),"ثبت نشد")</f>
        <v>دقیق</v>
      </c>
      <c r="H10" s="23" t="s">
        <v>4713</v>
      </c>
    </row>
    <row r="11" spans="1:8" ht="20" customHeight="1" x14ac:dyDescent="0.2">
      <c r="A11" s="25" t="s">
        <v>4684</v>
      </c>
      <c r="B11" s="25" t="s">
        <v>143</v>
      </c>
      <c r="C11" s="68">
        <f>'AC Company v40'!AC11</f>
        <v>1</v>
      </c>
      <c r="D11" s="25">
        <f>'AC Company v40'!W11</f>
        <v>3</v>
      </c>
      <c r="E11" s="25">
        <f>'AC Company v40'!K11</f>
        <v>3</v>
      </c>
      <c r="F11" s="25">
        <f>'AC Company v40'!X11</f>
        <v>0</v>
      </c>
      <c r="G11" s="25" t="str">
        <f>IF(ISNUMBER(C11),IF('AC Company v40'!AB11="کامل","دقیق","حد پایین"),"ثبت نشد")</f>
        <v>دقیق</v>
      </c>
      <c r="H11" s="25" t="s">
        <v>4713</v>
      </c>
    </row>
    <row r="12" spans="1:8" ht="20" customHeight="1" x14ac:dyDescent="0.2">
      <c r="A12" s="23" t="s">
        <v>4684</v>
      </c>
      <c r="B12" s="23" t="s">
        <v>20</v>
      </c>
      <c r="C12" s="67">
        <f>'AC Company v40'!AC12</f>
        <v>0.8</v>
      </c>
      <c r="D12" s="23">
        <f>'AC Company v40'!W12</f>
        <v>4</v>
      </c>
      <c r="E12" s="23">
        <f>'AC Company v40'!K12</f>
        <v>5</v>
      </c>
      <c r="F12" s="23">
        <f>'AC Company v40'!X12</f>
        <v>1</v>
      </c>
      <c r="G12" s="23" t="str">
        <f>IF(ISNUMBER(C12),IF('AC Company v40'!AB12="کامل","دقیق","حد پایین"),"ثبت نشد")</f>
        <v>دقیق</v>
      </c>
      <c r="H12" s="23" t="s">
        <v>4713</v>
      </c>
    </row>
    <row r="13" spans="1:8" ht="20" customHeight="1" x14ac:dyDescent="0.2">
      <c r="A13" s="25" t="s">
        <v>4684</v>
      </c>
      <c r="B13" s="25" t="s">
        <v>151</v>
      </c>
      <c r="C13" s="68">
        <f>'AC Company v40'!AC13</f>
        <v>0.7142857142857143</v>
      </c>
      <c r="D13" s="25">
        <f>'AC Company v40'!W13</f>
        <v>5</v>
      </c>
      <c r="E13" s="25">
        <f>'AC Company v40'!K13</f>
        <v>7</v>
      </c>
      <c r="F13" s="25">
        <f>'AC Company v40'!X13</f>
        <v>2</v>
      </c>
      <c r="G13" s="25" t="str">
        <f>IF(ISNUMBER(C13),IF('AC Company v40'!AB13="کامل","دقیق","حد پایین"),"ثبت نشد")</f>
        <v>دقیق</v>
      </c>
      <c r="H13" s="25" t="s">
        <v>4713</v>
      </c>
    </row>
    <row r="14" spans="1:8" ht="20" customHeight="1" x14ac:dyDescent="0.2">
      <c r="A14" s="23" t="s">
        <v>4684</v>
      </c>
      <c r="B14" s="23" t="s">
        <v>157</v>
      </c>
      <c r="C14" s="67" t="str">
        <f>'AC Company v40'!AC14</f>
        <v/>
      </c>
      <c r="D14" s="23">
        <f>'AC Company v40'!W14</f>
        <v>2</v>
      </c>
      <c r="E14" s="23">
        <f>'AC Company v40'!K14</f>
        <v>2</v>
      </c>
      <c r="F14" s="23">
        <f>'AC Company v40'!X14</f>
        <v>0</v>
      </c>
      <c r="G14" s="23" t="str">
        <f>IF(ISNUMBER(C14),IF('AC Company v40'!AB14="کامل","دقیق","حد پایین"),"ثبت نشد")</f>
        <v>ثبت نشد</v>
      </c>
      <c r="H14" s="23" t="s">
        <v>4713</v>
      </c>
    </row>
    <row r="15" spans="1:8" ht="20" customHeight="1" x14ac:dyDescent="0.2">
      <c r="A15" s="25" t="s">
        <v>4684</v>
      </c>
      <c r="B15" s="25" t="s">
        <v>159</v>
      </c>
      <c r="C15" s="68">
        <f>'AC Company v40'!AC15</f>
        <v>0.75</v>
      </c>
      <c r="D15" s="25">
        <f>'AC Company v40'!W15</f>
        <v>3</v>
      </c>
      <c r="E15" s="25">
        <f>'AC Company v40'!K15</f>
        <v>4</v>
      </c>
      <c r="F15" s="25">
        <f>'AC Company v40'!X15</f>
        <v>1</v>
      </c>
      <c r="G15" s="25" t="str">
        <f>IF(ISNUMBER(C15),IF('AC Company v40'!AB15="کامل","دقیق","حد پایین"),"ثبت نشد")</f>
        <v>حد پایین</v>
      </c>
      <c r="H15" s="25" t="s">
        <v>4713</v>
      </c>
    </row>
    <row r="16" spans="1:8" ht="20" customHeight="1" x14ac:dyDescent="0.2">
      <c r="A16" s="23" t="s">
        <v>4684</v>
      </c>
      <c r="B16" s="23" t="s">
        <v>162</v>
      </c>
      <c r="C16" s="67">
        <f>'AC Company v40'!AC16</f>
        <v>1</v>
      </c>
      <c r="D16" s="23">
        <f>'AC Company v40'!W16</f>
        <v>5</v>
      </c>
      <c r="E16" s="23">
        <f>'AC Company v40'!K16</f>
        <v>5</v>
      </c>
      <c r="F16" s="23">
        <f>'AC Company v40'!X16</f>
        <v>0</v>
      </c>
      <c r="G16" s="23" t="str">
        <f>IF(ISNUMBER(C16),IF('AC Company v40'!AB16="کامل","دقیق","حد پایین"),"ثبت نشد")</f>
        <v>دقیق</v>
      </c>
      <c r="H16" s="23" t="s">
        <v>4713</v>
      </c>
    </row>
    <row r="17" spans="1:8" ht="20" customHeight="1" x14ac:dyDescent="0.2">
      <c r="A17" s="25" t="s">
        <v>4684</v>
      </c>
      <c r="B17" s="25" t="s">
        <v>165</v>
      </c>
      <c r="C17" s="68">
        <f>'AC Company v40'!AC17</f>
        <v>1</v>
      </c>
      <c r="D17" s="25">
        <f>'AC Company v40'!W17</f>
        <v>4</v>
      </c>
      <c r="E17" s="25">
        <f>'AC Company v40'!K17</f>
        <v>4</v>
      </c>
      <c r="F17" s="25">
        <f>'AC Company v40'!X17</f>
        <v>0</v>
      </c>
      <c r="G17" s="25" t="str">
        <f>IF(ISNUMBER(C17),IF('AC Company v40'!AB17="کامل","دقیق","حد پایین"),"ثبت نشد")</f>
        <v>دقیق</v>
      </c>
      <c r="H17" s="25" t="s">
        <v>4713</v>
      </c>
    </row>
    <row r="18" spans="1:8" ht="20" customHeight="1" x14ac:dyDescent="0.2">
      <c r="A18" s="23" t="s">
        <v>4684</v>
      </c>
      <c r="B18" s="23" t="s">
        <v>168</v>
      </c>
      <c r="C18" s="67">
        <f>'AC Company v40'!AC18</f>
        <v>1</v>
      </c>
      <c r="D18" s="23">
        <f>'AC Company v40'!W18</f>
        <v>3</v>
      </c>
      <c r="E18" s="23">
        <f>'AC Company v40'!K18</f>
        <v>3</v>
      </c>
      <c r="F18" s="23">
        <f>'AC Company v40'!X18</f>
        <v>0</v>
      </c>
      <c r="G18" s="23" t="str">
        <f>IF(ISNUMBER(C18),IF('AC Company v40'!AB18="کامل","دقیق","حد پایین"),"ثبت نشد")</f>
        <v>دقیق</v>
      </c>
      <c r="H18" s="23" t="s">
        <v>4713</v>
      </c>
    </row>
    <row r="19" spans="1:8" ht="20" customHeight="1" x14ac:dyDescent="0.2">
      <c r="A19" s="25" t="s">
        <v>4684</v>
      </c>
      <c r="B19" s="25" t="s">
        <v>171</v>
      </c>
      <c r="C19" s="68">
        <f>'AC Company v40'!AC19</f>
        <v>0.6</v>
      </c>
      <c r="D19" s="25">
        <f>'AC Company v40'!W19</f>
        <v>3</v>
      </c>
      <c r="E19" s="25">
        <f>'AC Company v40'!K19</f>
        <v>5</v>
      </c>
      <c r="F19" s="25">
        <f>'AC Company v40'!X19</f>
        <v>2</v>
      </c>
      <c r="G19" s="25" t="str">
        <f>IF(ISNUMBER(C19),IF('AC Company v40'!AB19="کامل","دقیق","حد پایین"),"ثبت نشد")</f>
        <v>دقیق</v>
      </c>
      <c r="H19" s="25" t="s">
        <v>4713</v>
      </c>
    </row>
    <row r="20" spans="1:8" ht="20" customHeight="1" x14ac:dyDescent="0.2">
      <c r="A20" s="23" t="s">
        <v>4684</v>
      </c>
      <c r="B20" s="23" t="s">
        <v>174</v>
      </c>
      <c r="C20" s="67">
        <f>'AC Company v40'!AC20</f>
        <v>0.8</v>
      </c>
      <c r="D20" s="23">
        <f>'AC Company v40'!W20</f>
        <v>4</v>
      </c>
      <c r="E20" s="23">
        <f>'AC Company v40'!K20</f>
        <v>5</v>
      </c>
      <c r="F20" s="23">
        <f>'AC Company v40'!X20</f>
        <v>1</v>
      </c>
      <c r="G20" s="23" t="str">
        <f>IF(ISNUMBER(C20),IF('AC Company v40'!AB20="کامل","دقیق","حد پایین"),"ثبت نشد")</f>
        <v>دقیق</v>
      </c>
      <c r="H20" s="23" t="s">
        <v>4713</v>
      </c>
    </row>
    <row r="21" spans="1:8" ht="20" customHeight="1" x14ac:dyDescent="0.2">
      <c r="A21" s="25" t="s">
        <v>4684</v>
      </c>
      <c r="B21" s="25" t="s">
        <v>179</v>
      </c>
      <c r="C21" s="68">
        <f>'AC Company v40'!AC21</f>
        <v>0.66666666666666663</v>
      </c>
      <c r="D21" s="25">
        <f>'AC Company v40'!W21</f>
        <v>2</v>
      </c>
      <c r="E21" s="25">
        <f>'AC Company v40'!K21</f>
        <v>3</v>
      </c>
      <c r="F21" s="25">
        <f>'AC Company v40'!X21</f>
        <v>1</v>
      </c>
      <c r="G21" s="25" t="str">
        <f>IF(ISNUMBER(C21),IF('AC Company v40'!AB21="کامل","دقیق","حد پایین"),"ثبت نشد")</f>
        <v>دقیق</v>
      </c>
      <c r="H21" s="25" t="s">
        <v>4713</v>
      </c>
    </row>
    <row r="22" spans="1:8" ht="20" customHeight="1" x14ac:dyDescent="0.2">
      <c r="A22" s="23" t="s">
        <v>4684</v>
      </c>
      <c r="B22" s="23" t="s">
        <v>182</v>
      </c>
      <c r="C22" s="67">
        <f>'AC Company v40'!AC22</f>
        <v>1</v>
      </c>
      <c r="D22" s="23">
        <f>'AC Company v40'!W22</f>
        <v>3</v>
      </c>
      <c r="E22" s="23">
        <f>'AC Company v40'!K22</f>
        <v>3</v>
      </c>
      <c r="F22" s="23">
        <f>'AC Company v40'!X22</f>
        <v>0</v>
      </c>
      <c r="G22" s="23" t="str">
        <f>IF(ISNUMBER(C22),IF('AC Company v40'!AB22="کامل","دقیق","حد پایین"),"ثبت نشد")</f>
        <v>دقیق</v>
      </c>
      <c r="H22" s="23" t="s">
        <v>4713</v>
      </c>
    </row>
    <row r="23" spans="1:8" ht="20" customHeight="1" x14ac:dyDescent="0.2">
      <c r="A23" s="25" t="s">
        <v>4684</v>
      </c>
      <c r="B23" s="25" t="s">
        <v>187</v>
      </c>
      <c r="C23" s="68">
        <f>'AC Company v40'!AC23</f>
        <v>0.6</v>
      </c>
      <c r="D23" s="25">
        <f>'AC Company v40'!W23</f>
        <v>3</v>
      </c>
      <c r="E23" s="25">
        <f>'AC Company v40'!K23</f>
        <v>5</v>
      </c>
      <c r="F23" s="25">
        <f>'AC Company v40'!X23</f>
        <v>2</v>
      </c>
      <c r="G23" s="25" t="str">
        <f>IF(ISNUMBER(C23),IF('AC Company v40'!AB23="کامل","دقیق","حد پایین"),"ثبت نشد")</f>
        <v>دقیق</v>
      </c>
      <c r="H23" s="25" t="s">
        <v>4713</v>
      </c>
    </row>
    <row r="24" spans="1:8" ht="20" customHeight="1" x14ac:dyDescent="0.2">
      <c r="A24" s="23" t="s">
        <v>4684</v>
      </c>
      <c r="B24" s="23" t="s">
        <v>190</v>
      </c>
      <c r="C24" s="67">
        <f>'AC Company v40'!AC24</f>
        <v>0.2</v>
      </c>
      <c r="D24" s="23">
        <f>'AC Company v40'!W24</f>
        <v>1</v>
      </c>
      <c r="E24" s="23">
        <f>'AC Company v40'!K24</f>
        <v>5</v>
      </c>
      <c r="F24" s="23">
        <f>'AC Company v40'!X24</f>
        <v>4</v>
      </c>
      <c r="G24" s="23" t="str">
        <f>IF(ISNUMBER(C24),IF('AC Company v40'!AB24="کامل","دقیق","حد پایین"),"ثبت نشد")</f>
        <v>حد پایین</v>
      </c>
      <c r="H24" s="23" t="s">
        <v>4713</v>
      </c>
    </row>
    <row r="25" spans="1:8" ht="20" customHeight="1" x14ac:dyDescent="0.2">
      <c r="A25" s="25" t="s">
        <v>4684</v>
      </c>
      <c r="B25" s="25" t="s">
        <v>196</v>
      </c>
      <c r="C25" s="68">
        <f>'AC Company v40'!AC25</f>
        <v>0.8</v>
      </c>
      <c r="D25" s="25">
        <f>'AC Company v40'!W25</f>
        <v>4</v>
      </c>
      <c r="E25" s="25">
        <f>'AC Company v40'!K25</f>
        <v>5</v>
      </c>
      <c r="F25" s="25">
        <f>'AC Company v40'!X25</f>
        <v>1</v>
      </c>
      <c r="G25" s="25" t="str">
        <f>IF(ISNUMBER(C25),IF('AC Company v40'!AB25="کامل","دقیق","حد پایین"),"ثبت نشد")</f>
        <v>حد پایین</v>
      </c>
      <c r="H25" s="25" t="s">
        <v>4713</v>
      </c>
    </row>
    <row r="26" spans="1:8" ht="20" customHeight="1" x14ac:dyDescent="0.2">
      <c r="A26" s="23" t="s">
        <v>4684</v>
      </c>
      <c r="B26" s="23" t="s">
        <v>199</v>
      </c>
      <c r="C26" s="67">
        <f>'AC Company v40'!AC26</f>
        <v>1</v>
      </c>
      <c r="D26" s="23">
        <f>'AC Company v40'!W26</f>
        <v>5</v>
      </c>
      <c r="E26" s="23">
        <f>'AC Company v40'!K26</f>
        <v>5</v>
      </c>
      <c r="F26" s="23">
        <f>'AC Company v40'!X26</f>
        <v>0</v>
      </c>
      <c r="G26" s="23" t="str">
        <f>IF(ISNUMBER(C26),IF('AC Company v40'!AB26="کامل","دقیق","حد پایین"),"ثبت نشد")</f>
        <v>دقیق</v>
      </c>
      <c r="H26" s="23" t="s">
        <v>4713</v>
      </c>
    </row>
    <row r="27" spans="1:8" ht="20" customHeight="1" x14ac:dyDescent="0.2">
      <c r="A27" s="25" t="s">
        <v>4684</v>
      </c>
      <c r="B27" s="25" t="s">
        <v>202</v>
      </c>
      <c r="C27" s="68" t="str">
        <f>'AC Company v40'!AC27</f>
        <v/>
      </c>
      <c r="D27" s="25">
        <f>'AC Company v40'!W27</f>
        <v>0</v>
      </c>
      <c r="E27" s="25">
        <f>'AC Company v40'!K27</f>
        <v>3</v>
      </c>
      <c r="F27" s="25">
        <f>'AC Company v40'!X27</f>
        <v>3</v>
      </c>
      <c r="G27" s="25" t="str">
        <f>IF(ISNUMBER(C27),IF('AC Company v40'!AB27="کامل","دقیق","حد پایین"),"ثبت نشد")</f>
        <v>ثبت نشد</v>
      </c>
      <c r="H27" s="25" t="s">
        <v>4713</v>
      </c>
    </row>
    <row r="28" spans="1:8" ht="20" customHeight="1" x14ac:dyDescent="0.2">
      <c r="A28" s="23" t="s">
        <v>4684</v>
      </c>
      <c r="B28" s="23" t="s">
        <v>206</v>
      </c>
      <c r="C28" s="67">
        <f>'AC Company v40'!AC28</f>
        <v>0.8</v>
      </c>
      <c r="D28" s="23">
        <f>'AC Company v40'!W28</f>
        <v>4</v>
      </c>
      <c r="E28" s="23">
        <f>'AC Company v40'!K28</f>
        <v>5</v>
      </c>
      <c r="F28" s="23">
        <f>'AC Company v40'!X28</f>
        <v>1</v>
      </c>
      <c r="G28" s="23" t="str">
        <f>IF(ISNUMBER(C28),IF('AC Company v40'!AB28="کامل","دقیق","حد پایین"),"ثبت نشد")</f>
        <v>دقیق</v>
      </c>
      <c r="H28" s="23" t="s">
        <v>4713</v>
      </c>
    </row>
    <row r="29" spans="1:8" ht="20" customHeight="1" x14ac:dyDescent="0.2">
      <c r="A29" s="25" t="s">
        <v>4684</v>
      </c>
      <c r="B29" s="25" t="s">
        <v>209</v>
      </c>
      <c r="C29" s="68">
        <f>'AC Company v40'!AC29</f>
        <v>1</v>
      </c>
      <c r="D29" s="25">
        <f>'AC Company v40'!W29</f>
        <v>4</v>
      </c>
      <c r="E29" s="25">
        <f>'AC Company v40'!K29</f>
        <v>4</v>
      </c>
      <c r="F29" s="25">
        <f>'AC Company v40'!X29</f>
        <v>0</v>
      </c>
      <c r="G29" s="25" t="str">
        <f>IF(ISNUMBER(C29),IF('AC Company v40'!AB29="کامل","دقیق","حد پایین"),"ثبت نشد")</f>
        <v>دقیق</v>
      </c>
      <c r="H29" s="25" t="s">
        <v>4713</v>
      </c>
    </row>
    <row r="30" spans="1:8" ht="20" customHeight="1" x14ac:dyDescent="0.2">
      <c r="A30" s="23" t="s">
        <v>4684</v>
      </c>
      <c r="B30" s="23" t="s">
        <v>212</v>
      </c>
      <c r="C30" s="67">
        <f>'AC Company v40'!AC30</f>
        <v>0.8</v>
      </c>
      <c r="D30" s="23">
        <f>'AC Company v40'!W30</f>
        <v>4</v>
      </c>
      <c r="E30" s="23">
        <f>'AC Company v40'!K30</f>
        <v>5</v>
      </c>
      <c r="F30" s="23">
        <f>'AC Company v40'!X30</f>
        <v>1</v>
      </c>
      <c r="G30" s="23" t="str">
        <f>IF(ISNUMBER(C30),IF('AC Company v40'!AB30="کامل","دقیق","حد پایین"),"ثبت نشد")</f>
        <v>دقیق</v>
      </c>
      <c r="H30" s="23" t="s">
        <v>4713</v>
      </c>
    </row>
    <row r="31" spans="1:8" ht="20" customHeight="1" x14ac:dyDescent="0.2">
      <c r="A31" s="25" t="s">
        <v>4684</v>
      </c>
      <c r="B31" s="25" t="s">
        <v>24</v>
      </c>
      <c r="C31" s="68" t="str">
        <f>'AC Company v40'!AC31</f>
        <v/>
      </c>
      <c r="D31" s="25">
        <f>'AC Company v40'!W31</f>
        <v>0</v>
      </c>
      <c r="E31" s="25">
        <f>'AC Company v40'!K31</f>
        <v>0</v>
      </c>
      <c r="F31" s="25">
        <f>'AC Company v40'!X31</f>
        <v>0</v>
      </c>
      <c r="G31" s="25" t="str">
        <f>IF(ISNUMBER(C31),IF('AC Company v40'!AB31="کامل","دقیق","حد پایین"),"ثبت نشد")</f>
        <v>ثبت نشد</v>
      </c>
      <c r="H31" s="25" t="s">
        <v>4713</v>
      </c>
    </row>
    <row r="32" spans="1:8" ht="20" customHeight="1" x14ac:dyDescent="0.2">
      <c r="A32" s="23" t="s">
        <v>4684</v>
      </c>
      <c r="B32" s="23" t="s">
        <v>28</v>
      </c>
      <c r="C32" s="67" t="str">
        <f>'AC Company v40'!AC32</f>
        <v/>
      </c>
      <c r="D32" s="23">
        <f>'AC Company v40'!W32</f>
        <v>0</v>
      </c>
      <c r="E32" s="23">
        <f>'AC Company v40'!K32</f>
        <v>5</v>
      </c>
      <c r="F32" s="23">
        <f>'AC Company v40'!X32</f>
        <v>5</v>
      </c>
      <c r="G32" s="23" t="str">
        <f>IF(ISNUMBER(C32),IF('AC Company v40'!AB32="کامل","دقیق","حد پایین"),"ثبت نشد")</f>
        <v>ثبت نشد</v>
      </c>
      <c r="H32" s="23" t="s">
        <v>4713</v>
      </c>
    </row>
    <row r="33" spans="1:8" ht="20" customHeight="1" x14ac:dyDescent="0.2">
      <c r="A33" s="25" t="s">
        <v>4684</v>
      </c>
      <c r="B33" s="25" t="s">
        <v>222</v>
      </c>
      <c r="C33" s="68">
        <f>'AC Company v40'!AC33</f>
        <v>0.66666666666666663</v>
      </c>
      <c r="D33" s="25">
        <f>'AC Company v40'!W33</f>
        <v>2</v>
      </c>
      <c r="E33" s="25">
        <f>'AC Company v40'!K33</f>
        <v>3</v>
      </c>
      <c r="F33" s="25">
        <f>'AC Company v40'!X33</f>
        <v>1</v>
      </c>
      <c r="G33" s="25" t="str">
        <f>IF(ISNUMBER(C33),IF('AC Company v40'!AB33="کامل","دقیق","حد پایین"),"ثبت نشد")</f>
        <v>دقیق</v>
      </c>
      <c r="H33" s="25" t="s">
        <v>4713</v>
      </c>
    </row>
    <row r="34" spans="1:8" ht="29" customHeight="1" x14ac:dyDescent="0.2">
      <c r="A34" s="23" t="s">
        <v>4691</v>
      </c>
      <c r="B34" s="23" t="s">
        <v>109</v>
      </c>
      <c r="C34" s="67" t="str">
        <f>'AC Company v40'!AL4</f>
        <v/>
      </c>
      <c r="D34" s="23">
        <f>'AC Company v40'!AI4</f>
        <v>0</v>
      </c>
      <c r="E34" s="23">
        <f>'AC Company v40'!AJ4</f>
        <v>0</v>
      </c>
      <c r="F34" s="23">
        <f>'AC Company v40'!K4-'AC Company v40'!AK4</f>
        <v>5</v>
      </c>
      <c r="G34" s="23" t="str">
        <f t="shared" ref="G34:G63" si="0">IF(ISNUMBER(C34),IF(F34=0,"همه اعضا مشمول","بخشی از اعضا"),"ثبت نشد")</f>
        <v>ثبت نشد</v>
      </c>
      <c r="H34" s="23" t="s">
        <v>4714</v>
      </c>
    </row>
    <row r="35" spans="1:8" ht="29" customHeight="1" x14ac:dyDescent="0.2">
      <c r="A35" s="25" t="s">
        <v>4691</v>
      </c>
      <c r="B35" s="25" t="s">
        <v>117</v>
      </c>
      <c r="C35" s="68" t="str">
        <f>'AC Company v40'!AL5</f>
        <v/>
      </c>
      <c r="D35" s="25">
        <f>'AC Company v40'!AI5</f>
        <v>0</v>
      </c>
      <c r="E35" s="25">
        <f>'AC Company v40'!AJ5</f>
        <v>0</v>
      </c>
      <c r="F35" s="25">
        <f>'AC Company v40'!K5-'AC Company v40'!AK5</f>
        <v>5</v>
      </c>
      <c r="G35" s="25" t="str">
        <f t="shared" si="0"/>
        <v>ثبت نشد</v>
      </c>
      <c r="H35" s="25" t="s">
        <v>4714</v>
      </c>
    </row>
    <row r="36" spans="1:8" ht="29" customHeight="1" x14ac:dyDescent="0.2">
      <c r="A36" s="23" t="s">
        <v>4691</v>
      </c>
      <c r="B36" s="23" t="s">
        <v>126</v>
      </c>
      <c r="C36" s="67">
        <f>'AC Company v40'!AL6</f>
        <v>1</v>
      </c>
      <c r="D36" s="23">
        <f>'AC Company v40'!AI6</f>
        <v>28</v>
      </c>
      <c r="E36" s="23">
        <f>'AC Company v40'!AJ6</f>
        <v>28</v>
      </c>
      <c r="F36" s="23">
        <f>'AC Company v40'!K6-'AC Company v40'!AK6</f>
        <v>1</v>
      </c>
      <c r="G36" s="23" t="str">
        <f t="shared" si="0"/>
        <v>بخشی از اعضا</v>
      </c>
      <c r="H36" s="23" t="s">
        <v>4714</v>
      </c>
    </row>
    <row r="37" spans="1:8" ht="29" customHeight="1" x14ac:dyDescent="0.2">
      <c r="A37" s="25" t="s">
        <v>4691</v>
      </c>
      <c r="B37" s="25" t="s">
        <v>131</v>
      </c>
      <c r="C37" s="68" t="str">
        <f>'AC Company v40'!AL7</f>
        <v/>
      </c>
      <c r="D37" s="25">
        <f>'AC Company v40'!AI7</f>
        <v>0</v>
      </c>
      <c r="E37" s="25">
        <f>'AC Company v40'!AJ7</f>
        <v>0</v>
      </c>
      <c r="F37" s="25">
        <f>'AC Company v40'!K7-'AC Company v40'!AK7</f>
        <v>3</v>
      </c>
      <c r="G37" s="25" t="str">
        <f t="shared" si="0"/>
        <v>ثبت نشد</v>
      </c>
      <c r="H37" s="25" t="s">
        <v>4714</v>
      </c>
    </row>
    <row r="38" spans="1:8" ht="29" customHeight="1" x14ac:dyDescent="0.2">
      <c r="A38" s="23" t="s">
        <v>4691</v>
      </c>
      <c r="B38" s="23" t="s">
        <v>135</v>
      </c>
      <c r="C38" s="67" t="str">
        <f>'AC Company v40'!AL8</f>
        <v/>
      </c>
      <c r="D38" s="23">
        <f>'AC Company v40'!AI8</f>
        <v>0</v>
      </c>
      <c r="E38" s="23">
        <f>'AC Company v40'!AJ8</f>
        <v>0</v>
      </c>
      <c r="F38" s="23">
        <f>'AC Company v40'!K8-'AC Company v40'!AK8</f>
        <v>5</v>
      </c>
      <c r="G38" s="23" t="str">
        <f t="shared" si="0"/>
        <v>ثبت نشد</v>
      </c>
      <c r="H38" s="23" t="s">
        <v>4714</v>
      </c>
    </row>
    <row r="39" spans="1:8" ht="29" customHeight="1" x14ac:dyDescent="0.2">
      <c r="A39" s="25" t="s">
        <v>4691</v>
      </c>
      <c r="B39" s="25" t="s">
        <v>137</v>
      </c>
      <c r="C39" s="68" t="str">
        <f>'AC Company v40'!AL9</f>
        <v/>
      </c>
      <c r="D39" s="25">
        <f>'AC Company v40'!AI9</f>
        <v>0</v>
      </c>
      <c r="E39" s="25">
        <f>'AC Company v40'!AJ9</f>
        <v>0</v>
      </c>
      <c r="F39" s="25">
        <f>'AC Company v40'!K9-'AC Company v40'!AK9</f>
        <v>5</v>
      </c>
      <c r="G39" s="25" t="str">
        <f t="shared" si="0"/>
        <v>ثبت نشد</v>
      </c>
      <c r="H39" s="25" t="s">
        <v>4714</v>
      </c>
    </row>
    <row r="40" spans="1:8" ht="29" customHeight="1" x14ac:dyDescent="0.2">
      <c r="A40" s="23" t="s">
        <v>4691</v>
      </c>
      <c r="B40" s="23" t="s">
        <v>140</v>
      </c>
      <c r="C40" s="67" t="str">
        <f>'AC Company v40'!AL10</f>
        <v/>
      </c>
      <c r="D40" s="23">
        <f>'AC Company v40'!AI10</f>
        <v>34</v>
      </c>
      <c r="E40" s="23">
        <f>'AC Company v40'!AJ10</f>
        <v>34</v>
      </c>
      <c r="F40" s="23">
        <f>'AC Company v40'!K10-'AC Company v40'!AK10</f>
        <v>3</v>
      </c>
      <c r="G40" s="23" t="str">
        <f t="shared" si="0"/>
        <v>ثبت نشد</v>
      </c>
      <c r="H40" s="23" t="s">
        <v>4714</v>
      </c>
    </row>
    <row r="41" spans="1:8" ht="29" customHeight="1" x14ac:dyDescent="0.2">
      <c r="A41" s="25" t="s">
        <v>4691</v>
      </c>
      <c r="B41" s="25" t="s">
        <v>143</v>
      </c>
      <c r="C41" s="68">
        <f>'AC Company v40'!AL11</f>
        <v>1</v>
      </c>
      <c r="D41" s="25">
        <f>'AC Company v40'!AI11</f>
        <v>60</v>
      </c>
      <c r="E41" s="25">
        <f>'AC Company v40'!AJ11</f>
        <v>60</v>
      </c>
      <c r="F41" s="25">
        <f>'AC Company v40'!K11-'AC Company v40'!AK11</f>
        <v>0</v>
      </c>
      <c r="G41" s="25" t="str">
        <f t="shared" si="0"/>
        <v>همه اعضا مشمول</v>
      </c>
      <c r="H41" s="25" t="s">
        <v>4714</v>
      </c>
    </row>
    <row r="42" spans="1:8" ht="29" customHeight="1" x14ac:dyDescent="0.2">
      <c r="A42" s="23" t="s">
        <v>4691</v>
      </c>
      <c r="B42" s="23" t="s">
        <v>20</v>
      </c>
      <c r="C42" s="67" t="str">
        <f>'AC Company v40'!AL12</f>
        <v/>
      </c>
      <c r="D42" s="23">
        <f>'AC Company v40'!AI12</f>
        <v>0</v>
      </c>
      <c r="E42" s="23">
        <f>'AC Company v40'!AJ12</f>
        <v>0</v>
      </c>
      <c r="F42" s="23">
        <f>'AC Company v40'!K12-'AC Company v40'!AK12</f>
        <v>5</v>
      </c>
      <c r="G42" s="23" t="str">
        <f t="shared" si="0"/>
        <v>ثبت نشد</v>
      </c>
      <c r="H42" s="23" t="s">
        <v>4714</v>
      </c>
    </row>
    <row r="43" spans="1:8" ht="29" customHeight="1" x14ac:dyDescent="0.2">
      <c r="A43" s="25" t="s">
        <v>4691</v>
      </c>
      <c r="B43" s="25" t="s">
        <v>151</v>
      </c>
      <c r="C43" s="68">
        <f>'AC Company v40'!AL13</f>
        <v>1</v>
      </c>
      <c r="D43" s="25">
        <f>'AC Company v40'!AI13</f>
        <v>63</v>
      </c>
      <c r="E43" s="25">
        <f>'AC Company v40'!AJ13</f>
        <v>63</v>
      </c>
      <c r="F43" s="25">
        <f>'AC Company v40'!K13-'AC Company v40'!AK13</f>
        <v>0</v>
      </c>
      <c r="G43" s="25" t="str">
        <f t="shared" si="0"/>
        <v>همه اعضا مشمول</v>
      </c>
      <c r="H43" s="25" t="s">
        <v>4714</v>
      </c>
    </row>
    <row r="44" spans="1:8" ht="29" customHeight="1" x14ac:dyDescent="0.2">
      <c r="A44" s="23" t="s">
        <v>4691</v>
      </c>
      <c r="B44" s="23" t="s">
        <v>157</v>
      </c>
      <c r="C44" s="67" t="str">
        <f>'AC Company v40'!AL14</f>
        <v/>
      </c>
      <c r="D44" s="23">
        <f>'AC Company v40'!AI14</f>
        <v>0</v>
      </c>
      <c r="E44" s="23">
        <f>'AC Company v40'!AJ14</f>
        <v>0</v>
      </c>
      <c r="F44" s="23">
        <f>'AC Company v40'!K14-'AC Company v40'!AK14</f>
        <v>2</v>
      </c>
      <c r="G44" s="23" t="str">
        <f t="shared" si="0"/>
        <v>ثبت نشد</v>
      </c>
      <c r="H44" s="23" t="s">
        <v>4714</v>
      </c>
    </row>
    <row r="45" spans="1:8" ht="29" customHeight="1" x14ac:dyDescent="0.2">
      <c r="A45" s="25" t="s">
        <v>4691</v>
      </c>
      <c r="B45" s="25" t="s">
        <v>159</v>
      </c>
      <c r="C45" s="68">
        <f>'AC Company v40'!AL15</f>
        <v>1</v>
      </c>
      <c r="D45" s="25">
        <f>'AC Company v40'!AI15</f>
        <v>44</v>
      </c>
      <c r="E45" s="25">
        <f>'AC Company v40'!AJ15</f>
        <v>44</v>
      </c>
      <c r="F45" s="25">
        <f>'AC Company v40'!K15-'AC Company v40'!AK15</f>
        <v>0</v>
      </c>
      <c r="G45" s="25" t="str">
        <f t="shared" si="0"/>
        <v>همه اعضا مشمول</v>
      </c>
      <c r="H45" s="25" t="s">
        <v>4714</v>
      </c>
    </row>
    <row r="46" spans="1:8" ht="29" customHeight="1" x14ac:dyDescent="0.2">
      <c r="A46" s="23" t="s">
        <v>4691</v>
      </c>
      <c r="B46" s="23" t="s">
        <v>162</v>
      </c>
      <c r="C46" s="67">
        <f>'AC Company v40'!AL16</f>
        <v>0.93333333333333335</v>
      </c>
      <c r="D46" s="23">
        <f>'AC Company v40'!AI16</f>
        <v>56</v>
      </c>
      <c r="E46" s="23">
        <f>'AC Company v40'!AJ16</f>
        <v>60</v>
      </c>
      <c r="F46" s="23">
        <f>'AC Company v40'!K16-'AC Company v40'!AK16</f>
        <v>0</v>
      </c>
      <c r="G46" s="23" t="str">
        <f t="shared" si="0"/>
        <v>همه اعضا مشمول</v>
      </c>
      <c r="H46" s="23" t="s">
        <v>4714</v>
      </c>
    </row>
    <row r="47" spans="1:8" ht="29" customHeight="1" x14ac:dyDescent="0.2">
      <c r="A47" s="25" t="s">
        <v>4691</v>
      </c>
      <c r="B47" s="25" t="s">
        <v>165</v>
      </c>
      <c r="C47" s="68" t="str">
        <f>'AC Company v40'!AL17</f>
        <v/>
      </c>
      <c r="D47" s="25">
        <f>'AC Company v40'!AI17</f>
        <v>0</v>
      </c>
      <c r="E47" s="25">
        <f>'AC Company v40'!AJ17</f>
        <v>0</v>
      </c>
      <c r="F47" s="25">
        <f>'AC Company v40'!K17-'AC Company v40'!AK17</f>
        <v>4</v>
      </c>
      <c r="G47" s="25" t="str">
        <f t="shared" si="0"/>
        <v>ثبت نشد</v>
      </c>
      <c r="H47" s="25" t="s">
        <v>4714</v>
      </c>
    </row>
    <row r="48" spans="1:8" ht="29" customHeight="1" x14ac:dyDescent="0.2">
      <c r="A48" s="23" t="s">
        <v>4691</v>
      </c>
      <c r="B48" s="23" t="s">
        <v>168</v>
      </c>
      <c r="C48" s="67" t="str">
        <f>'AC Company v40'!AL18</f>
        <v/>
      </c>
      <c r="D48" s="23">
        <f>'AC Company v40'!AI18</f>
        <v>0</v>
      </c>
      <c r="E48" s="23">
        <f>'AC Company v40'!AJ18</f>
        <v>0</v>
      </c>
      <c r="F48" s="23">
        <f>'AC Company v40'!K18-'AC Company v40'!AK18</f>
        <v>3</v>
      </c>
      <c r="G48" s="23" t="str">
        <f t="shared" si="0"/>
        <v>ثبت نشد</v>
      </c>
      <c r="H48" s="23" t="s">
        <v>4714</v>
      </c>
    </row>
    <row r="49" spans="1:8" ht="29" customHeight="1" x14ac:dyDescent="0.2">
      <c r="A49" s="25" t="s">
        <v>4691</v>
      </c>
      <c r="B49" s="25" t="s">
        <v>171</v>
      </c>
      <c r="C49" s="68">
        <f>'AC Company v40'!AL19</f>
        <v>0.98181818181818181</v>
      </c>
      <c r="D49" s="25">
        <f>'AC Company v40'!AI19</f>
        <v>108</v>
      </c>
      <c r="E49" s="25">
        <f>'AC Company v40'!AJ19</f>
        <v>110</v>
      </c>
      <c r="F49" s="25">
        <f>'AC Company v40'!K19-'AC Company v40'!AK19</f>
        <v>0</v>
      </c>
      <c r="G49" s="25" t="str">
        <f t="shared" si="0"/>
        <v>همه اعضا مشمول</v>
      </c>
      <c r="H49" s="25" t="s">
        <v>4714</v>
      </c>
    </row>
    <row r="50" spans="1:8" ht="29" customHeight="1" x14ac:dyDescent="0.2">
      <c r="A50" s="23" t="s">
        <v>4691</v>
      </c>
      <c r="B50" s="23" t="s">
        <v>174</v>
      </c>
      <c r="C50" s="67">
        <f>'AC Company v40'!AL20</f>
        <v>1</v>
      </c>
      <c r="D50" s="23">
        <f>'AC Company v40'!AI20</f>
        <v>57</v>
      </c>
      <c r="E50" s="23">
        <f>'AC Company v40'!AJ20</f>
        <v>57</v>
      </c>
      <c r="F50" s="23">
        <f>'AC Company v40'!K20-'AC Company v40'!AK20</f>
        <v>2</v>
      </c>
      <c r="G50" s="23" t="str">
        <f t="shared" si="0"/>
        <v>بخشی از اعضا</v>
      </c>
      <c r="H50" s="23" t="s">
        <v>4714</v>
      </c>
    </row>
    <row r="51" spans="1:8" ht="29" customHeight="1" x14ac:dyDescent="0.2">
      <c r="A51" s="25" t="s">
        <v>4691</v>
      </c>
      <c r="B51" s="25" t="s">
        <v>179</v>
      </c>
      <c r="C51" s="68" t="str">
        <f>'AC Company v40'!AL21</f>
        <v/>
      </c>
      <c r="D51" s="25">
        <f>'AC Company v40'!AI21</f>
        <v>0</v>
      </c>
      <c r="E51" s="25">
        <f>'AC Company v40'!AJ21</f>
        <v>0</v>
      </c>
      <c r="F51" s="25">
        <f>'AC Company v40'!K21-'AC Company v40'!AK21</f>
        <v>3</v>
      </c>
      <c r="G51" s="25" t="str">
        <f t="shared" si="0"/>
        <v>ثبت نشد</v>
      </c>
      <c r="H51" s="25" t="s">
        <v>4714</v>
      </c>
    </row>
    <row r="52" spans="1:8" ht="29" customHeight="1" x14ac:dyDescent="0.2">
      <c r="A52" s="23" t="s">
        <v>4691</v>
      </c>
      <c r="B52" s="23" t="s">
        <v>182</v>
      </c>
      <c r="C52" s="67">
        <f>'AC Company v40'!AL22</f>
        <v>1</v>
      </c>
      <c r="D52" s="23">
        <f>'AC Company v40'!AI22</f>
        <v>26</v>
      </c>
      <c r="E52" s="23">
        <f>'AC Company v40'!AJ22</f>
        <v>26</v>
      </c>
      <c r="F52" s="23">
        <f>'AC Company v40'!K22-'AC Company v40'!AK22</f>
        <v>1</v>
      </c>
      <c r="G52" s="23" t="str">
        <f t="shared" si="0"/>
        <v>بخشی از اعضا</v>
      </c>
      <c r="H52" s="23" t="s">
        <v>4714</v>
      </c>
    </row>
    <row r="53" spans="1:8" ht="29" customHeight="1" x14ac:dyDescent="0.2">
      <c r="A53" s="25" t="s">
        <v>4691</v>
      </c>
      <c r="B53" s="25" t="s">
        <v>187</v>
      </c>
      <c r="C53" s="68" t="str">
        <f>'AC Company v40'!AL23</f>
        <v/>
      </c>
      <c r="D53" s="25">
        <f>'AC Company v40'!AI23</f>
        <v>0</v>
      </c>
      <c r="E53" s="25">
        <f>'AC Company v40'!AJ23</f>
        <v>0</v>
      </c>
      <c r="F53" s="25">
        <f>'AC Company v40'!K23-'AC Company v40'!AK23</f>
        <v>5</v>
      </c>
      <c r="G53" s="25" t="str">
        <f t="shared" si="0"/>
        <v>ثبت نشد</v>
      </c>
      <c r="H53" s="25" t="s">
        <v>4714</v>
      </c>
    </row>
    <row r="54" spans="1:8" ht="29" customHeight="1" x14ac:dyDescent="0.2">
      <c r="A54" s="23" t="s">
        <v>4691</v>
      </c>
      <c r="B54" s="23" t="s">
        <v>190</v>
      </c>
      <c r="C54" s="67" t="str">
        <f>'AC Company v40'!AL24</f>
        <v/>
      </c>
      <c r="D54" s="23">
        <f>'AC Company v40'!AI24</f>
        <v>0</v>
      </c>
      <c r="E54" s="23">
        <f>'AC Company v40'!AJ24</f>
        <v>0</v>
      </c>
      <c r="F54" s="23">
        <f>'AC Company v40'!K24-'AC Company v40'!AK24</f>
        <v>5</v>
      </c>
      <c r="G54" s="23" t="str">
        <f t="shared" si="0"/>
        <v>ثبت نشد</v>
      </c>
      <c r="H54" s="23" t="s">
        <v>4714</v>
      </c>
    </row>
    <row r="55" spans="1:8" ht="29" customHeight="1" x14ac:dyDescent="0.2">
      <c r="A55" s="25" t="s">
        <v>4691</v>
      </c>
      <c r="B55" s="25" t="s">
        <v>196</v>
      </c>
      <c r="C55" s="68">
        <f>'AC Company v40'!AL25</f>
        <v>1</v>
      </c>
      <c r="D55" s="25">
        <f>'AC Company v40'!AI25</f>
        <v>50</v>
      </c>
      <c r="E55" s="25">
        <f>'AC Company v40'!AJ25</f>
        <v>50</v>
      </c>
      <c r="F55" s="25">
        <f>'AC Company v40'!K25-'AC Company v40'!AK25</f>
        <v>0</v>
      </c>
      <c r="G55" s="25" t="str">
        <f t="shared" si="0"/>
        <v>همه اعضا مشمول</v>
      </c>
      <c r="H55" s="25" t="s">
        <v>4714</v>
      </c>
    </row>
    <row r="56" spans="1:8" ht="29" customHeight="1" x14ac:dyDescent="0.2">
      <c r="A56" s="23" t="s">
        <v>4691</v>
      </c>
      <c r="B56" s="23" t="s">
        <v>199</v>
      </c>
      <c r="C56" s="67">
        <f>'AC Company v40'!AL26</f>
        <v>1</v>
      </c>
      <c r="D56" s="23">
        <f>'AC Company v40'!AI26</f>
        <v>95</v>
      </c>
      <c r="E56" s="23">
        <f>'AC Company v40'!AJ26</f>
        <v>95</v>
      </c>
      <c r="F56" s="23">
        <f>'AC Company v40'!K26-'AC Company v40'!AK26</f>
        <v>0</v>
      </c>
      <c r="G56" s="23" t="str">
        <f t="shared" si="0"/>
        <v>همه اعضا مشمول</v>
      </c>
      <c r="H56" s="23" t="s">
        <v>4714</v>
      </c>
    </row>
    <row r="57" spans="1:8" ht="29" customHeight="1" x14ac:dyDescent="0.2">
      <c r="A57" s="25" t="s">
        <v>4691</v>
      </c>
      <c r="B57" s="25" t="s">
        <v>202</v>
      </c>
      <c r="C57" s="68" t="str">
        <f>'AC Company v40'!AL27</f>
        <v/>
      </c>
      <c r="D57" s="25">
        <f>'AC Company v40'!AI27</f>
        <v>0</v>
      </c>
      <c r="E57" s="25">
        <f>'AC Company v40'!AJ27</f>
        <v>0</v>
      </c>
      <c r="F57" s="25">
        <f>'AC Company v40'!K27-'AC Company v40'!AK27</f>
        <v>3</v>
      </c>
      <c r="G57" s="25" t="str">
        <f t="shared" si="0"/>
        <v>ثبت نشد</v>
      </c>
      <c r="H57" s="25" t="s">
        <v>4714</v>
      </c>
    </row>
    <row r="58" spans="1:8" ht="29" customHeight="1" x14ac:dyDescent="0.2">
      <c r="A58" s="23" t="s">
        <v>4691</v>
      </c>
      <c r="B58" s="23" t="s">
        <v>206</v>
      </c>
      <c r="C58" s="67">
        <f>'AC Company v40'!AL28</f>
        <v>1</v>
      </c>
      <c r="D58" s="23">
        <f>'AC Company v40'!AI28</f>
        <v>80</v>
      </c>
      <c r="E58" s="23">
        <f>'AC Company v40'!AJ28</f>
        <v>80</v>
      </c>
      <c r="F58" s="23">
        <f>'AC Company v40'!K28-'AC Company v40'!AK28</f>
        <v>1</v>
      </c>
      <c r="G58" s="23" t="str">
        <f t="shared" si="0"/>
        <v>بخشی از اعضا</v>
      </c>
      <c r="H58" s="23" t="s">
        <v>4714</v>
      </c>
    </row>
    <row r="59" spans="1:8" ht="29" customHeight="1" x14ac:dyDescent="0.2">
      <c r="A59" s="25" t="s">
        <v>4691</v>
      </c>
      <c r="B59" s="25" t="s">
        <v>209</v>
      </c>
      <c r="C59" s="68">
        <f>'AC Company v40'!AL29</f>
        <v>0.95495495495495497</v>
      </c>
      <c r="D59" s="25">
        <f>'AC Company v40'!AI29</f>
        <v>106</v>
      </c>
      <c r="E59" s="25">
        <f>'AC Company v40'!AJ29</f>
        <v>111</v>
      </c>
      <c r="F59" s="25">
        <f>'AC Company v40'!K29-'AC Company v40'!AK29</f>
        <v>1</v>
      </c>
      <c r="G59" s="25" t="str">
        <f t="shared" si="0"/>
        <v>بخشی از اعضا</v>
      </c>
      <c r="H59" s="25" t="s">
        <v>4714</v>
      </c>
    </row>
    <row r="60" spans="1:8" ht="29" customHeight="1" x14ac:dyDescent="0.2">
      <c r="A60" s="23" t="s">
        <v>4691</v>
      </c>
      <c r="B60" s="23" t="s">
        <v>212</v>
      </c>
      <c r="C60" s="67">
        <f>'AC Company v40'!AL30</f>
        <v>1</v>
      </c>
      <c r="D60" s="23">
        <f>'AC Company v40'!AI30</f>
        <v>66</v>
      </c>
      <c r="E60" s="23">
        <f>'AC Company v40'!AJ30</f>
        <v>66</v>
      </c>
      <c r="F60" s="23">
        <f>'AC Company v40'!K30-'AC Company v40'!AK30</f>
        <v>2</v>
      </c>
      <c r="G60" s="23" t="str">
        <f t="shared" si="0"/>
        <v>بخشی از اعضا</v>
      </c>
      <c r="H60" s="23" t="s">
        <v>4714</v>
      </c>
    </row>
    <row r="61" spans="1:8" ht="29" customHeight="1" x14ac:dyDescent="0.2">
      <c r="A61" s="25" t="s">
        <v>4691</v>
      </c>
      <c r="B61" s="25" t="s">
        <v>24</v>
      </c>
      <c r="C61" s="68" t="str">
        <f>'AC Company v40'!AL31</f>
        <v/>
      </c>
      <c r="D61" s="25">
        <f>'AC Company v40'!AI31</f>
        <v>0</v>
      </c>
      <c r="E61" s="25">
        <f>'AC Company v40'!AJ31</f>
        <v>0</v>
      </c>
      <c r="F61" s="25">
        <f>'AC Company v40'!K31-'AC Company v40'!AK31</f>
        <v>0</v>
      </c>
      <c r="G61" s="25" t="str">
        <f t="shared" si="0"/>
        <v>ثبت نشد</v>
      </c>
      <c r="H61" s="25" t="s">
        <v>4714</v>
      </c>
    </row>
    <row r="62" spans="1:8" ht="29" customHeight="1" x14ac:dyDescent="0.2">
      <c r="A62" s="23" t="s">
        <v>4691</v>
      </c>
      <c r="B62" s="23" t="s">
        <v>28</v>
      </c>
      <c r="C62" s="67" t="str">
        <f>'AC Company v40'!AL32</f>
        <v/>
      </c>
      <c r="D62" s="23">
        <f>'AC Company v40'!AI32</f>
        <v>0</v>
      </c>
      <c r="E62" s="23">
        <f>'AC Company v40'!AJ32</f>
        <v>0</v>
      </c>
      <c r="F62" s="23">
        <f>'AC Company v40'!K32-'AC Company v40'!AK32</f>
        <v>5</v>
      </c>
      <c r="G62" s="23" t="str">
        <f t="shared" si="0"/>
        <v>ثبت نشد</v>
      </c>
      <c r="H62" s="23" t="s">
        <v>4714</v>
      </c>
    </row>
    <row r="63" spans="1:8" ht="29" customHeight="1" x14ac:dyDescent="0.2">
      <c r="A63" s="25" t="s">
        <v>4691</v>
      </c>
      <c r="B63" s="25" t="s">
        <v>222</v>
      </c>
      <c r="C63" s="68" t="str">
        <f>'AC Company v40'!AL33</f>
        <v/>
      </c>
      <c r="D63" s="25">
        <f>'AC Company v40'!AI33</f>
        <v>0</v>
      </c>
      <c r="E63" s="25">
        <f>'AC Company v40'!AJ33</f>
        <v>0</v>
      </c>
      <c r="F63" s="25">
        <f>'AC Company v40'!K33-'AC Company v40'!AK33</f>
        <v>3</v>
      </c>
      <c r="G63" s="25" t="str">
        <f t="shared" si="0"/>
        <v>ثبت نشد</v>
      </c>
      <c r="H63" s="25" t="s">
        <v>4714</v>
      </c>
    </row>
  </sheetData>
  <mergeCells count="2">
    <mergeCell ref="A2:H2"/>
    <mergeCell ref="A1:H1"/>
  </mergeCells>
  <pageMargins left="0.75" right="0.75" top="1" bottom="1" header="0.5" footer="0.5"/>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rgb="FF548235"/>
  </sheetPr>
  <dimension ref="A1:I88"/>
  <sheetViews>
    <sheetView showGridLines="0" rightToLeft="1" workbookViewId="0">
      <pane xSplit="2" ySplit="3" topLeftCell="C4" activePane="bottomRight" state="frozen"/>
      <selection pane="topRight"/>
      <selection pane="bottomLeft"/>
      <selection pane="bottomRight"/>
    </sheetView>
  </sheetViews>
  <sheetFormatPr baseColWidth="10" defaultColWidth="8.83203125" defaultRowHeight="15" x14ac:dyDescent="0.2"/>
  <cols>
    <col min="1" max="1" width="7" customWidth="1"/>
    <col min="2" max="3" width="14" customWidth="1"/>
    <col min="4" max="4" width="60" customWidth="1"/>
    <col min="5" max="5" width="22" customWidth="1"/>
    <col min="6" max="6" width="30" customWidth="1"/>
    <col min="7" max="7" width="24" customWidth="1"/>
    <col min="8" max="8" width="12" customWidth="1"/>
    <col min="9" max="9" width="40" customWidth="1"/>
  </cols>
  <sheetData>
    <row r="1" spans="1:9" ht="30" customHeight="1" x14ac:dyDescent="0.2">
      <c r="A1" s="87" t="s">
        <v>4715</v>
      </c>
      <c r="B1" s="76"/>
      <c r="C1" s="76"/>
      <c r="D1" s="76"/>
      <c r="E1" s="76"/>
      <c r="F1" s="76"/>
      <c r="G1" s="76"/>
      <c r="H1" s="76"/>
      <c r="I1" s="76"/>
    </row>
    <row r="2" spans="1:9" ht="22" customHeight="1" x14ac:dyDescent="0.2">
      <c r="A2" s="85" t="s">
        <v>4716</v>
      </c>
      <c r="B2" s="76"/>
      <c r="C2" s="76"/>
      <c r="D2" s="76"/>
      <c r="E2" s="76"/>
      <c r="F2" s="76"/>
      <c r="G2" s="76"/>
      <c r="H2" s="76"/>
      <c r="I2" s="76"/>
    </row>
    <row r="3" spans="1:9" ht="30" customHeight="1" x14ac:dyDescent="0.2">
      <c r="A3" s="24" t="s">
        <v>257</v>
      </c>
      <c r="B3" s="24" t="s">
        <v>4717</v>
      </c>
      <c r="C3" s="24" t="s">
        <v>4718</v>
      </c>
      <c r="D3" s="24" t="s">
        <v>4719</v>
      </c>
      <c r="E3" s="24" t="s">
        <v>4720</v>
      </c>
      <c r="F3" s="24" t="s">
        <v>4721</v>
      </c>
      <c r="G3" s="24" t="s">
        <v>3590</v>
      </c>
      <c r="H3" s="24" t="s">
        <v>376</v>
      </c>
      <c r="I3" s="24" t="s">
        <v>4722</v>
      </c>
    </row>
    <row r="4" spans="1:9" ht="29" customHeight="1" x14ac:dyDescent="0.2">
      <c r="A4" s="23" t="s">
        <v>4723</v>
      </c>
      <c r="B4" s="23" t="s">
        <v>4724</v>
      </c>
      <c r="C4" s="23" t="s">
        <v>135</v>
      </c>
      <c r="D4" s="23" t="s">
        <v>4725</v>
      </c>
      <c r="E4" s="23" t="s">
        <v>4726</v>
      </c>
      <c r="F4" s="23" t="s">
        <v>4727</v>
      </c>
      <c r="G4" s="23" t="s">
        <v>3724</v>
      </c>
      <c r="H4" s="23" t="s">
        <v>4724</v>
      </c>
      <c r="I4" s="23"/>
    </row>
    <row r="5" spans="1:9" ht="29" customHeight="1" x14ac:dyDescent="0.2">
      <c r="A5" s="25" t="s">
        <v>4728</v>
      </c>
      <c r="B5" s="25" t="s">
        <v>4724</v>
      </c>
      <c r="C5" s="25" t="s">
        <v>143</v>
      </c>
      <c r="D5" s="25" t="s">
        <v>4725</v>
      </c>
      <c r="E5" s="25" t="s">
        <v>4726</v>
      </c>
      <c r="F5" s="25" t="s">
        <v>4727</v>
      </c>
      <c r="G5" s="25" t="s">
        <v>3802</v>
      </c>
      <c r="H5" s="25" t="s">
        <v>4724</v>
      </c>
      <c r="I5" s="25"/>
    </row>
    <row r="6" spans="1:9" ht="29" customHeight="1" x14ac:dyDescent="0.2">
      <c r="A6" s="23" t="s">
        <v>4729</v>
      </c>
      <c r="B6" s="23" t="s">
        <v>4724</v>
      </c>
      <c r="C6" s="23" t="s">
        <v>151</v>
      </c>
      <c r="D6" s="23" t="s">
        <v>4725</v>
      </c>
      <c r="E6" s="23" t="s">
        <v>4726</v>
      </c>
      <c r="F6" s="23" t="s">
        <v>4727</v>
      </c>
      <c r="G6" s="23" t="s">
        <v>3846</v>
      </c>
      <c r="H6" s="23" t="s">
        <v>4724</v>
      </c>
      <c r="I6" s="23"/>
    </row>
    <row r="7" spans="1:9" ht="29" customHeight="1" x14ac:dyDescent="0.2">
      <c r="A7" s="25" t="s">
        <v>4730</v>
      </c>
      <c r="B7" s="25" t="s">
        <v>4724</v>
      </c>
      <c r="C7" s="25" t="s">
        <v>157</v>
      </c>
      <c r="D7" s="25" t="s">
        <v>4725</v>
      </c>
      <c r="E7" s="25" t="s">
        <v>4726</v>
      </c>
      <c r="F7" s="25" t="s">
        <v>4727</v>
      </c>
      <c r="G7" s="25" t="s">
        <v>3889</v>
      </c>
      <c r="H7" s="25" t="s">
        <v>4724</v>
      </c>
      <c r="I7" s="25"/>
    </row>
    <row r="8" spans="1:9" ht="29" customHeight="1" x14ac:dyDescent="0.2">
      <c r="A8" s="23" t="s">
        <v>4731</v>
      </c>
      <c r="B8" s="23" t="s">
        <v>4724</v>
      </c>
      <c r="C8" s="23" t="s">
        <v>28</v>
      </c>
      <c r="D8" s="23" t="s">
        <v>4725</v>
      </c>
      <c r="E8" s="23" t="s">
        <v>4726</v>
      </c>
      <c r="F8" s="23" t="s">
        <v>4727</v>
      </c>
      <c r="G8" s="23" t="s">
        <v>4271</v>
      </c>
      <c r="H8" s="23" t="s">
        <v>4724</v>
      </c>
      <c r="I8" s="23"/>
    </row>
    <row r="9" spans="1:9" ht="29" customHeight="1" x14ac:dyDescent="0.2">
      <c r="A9" s="25" t="s">
        <v>4732</v>
      </c>
      <c r="B9" s="25" t="s">
        <v>4724</v>
      </c>
      <c r="C9" s="25" t="s">
        <v>222</v>
      </c>
      <c r="D9" s="25" t="s">
        <v>4725</v>
      </c>
      <c r="E9" s="25" t="s">
        <v>4726</v>
      </c>
      <c r="F9" s="25" t="s">
        <v>4727</v>
      </c>
      <c r="G9" s="25" t="s">
        <v>4294</v>
      </c>
      <c r="H9" s="25" t="s">
        <v>4724</v>
      </c>
      <c r="I9" s="25"/>
    </row>
    <row r="10" spans="1:9" ht="43.5" customHeight="1" x14ac:dyDescent="0.2">
      <c r="A10" s="23" t="s">
        <v>4733</v>
      </c>
      <c r="B10" s="23" t="s">
        <v>667</v>
      </c>
      <c r="C10" s="23" t="s">
        <v>24</v>
      </c>
      <c r="D10" s="23" t="s">
        <v>4734</v>
      </c>
      <c r="E10" s="23" t="s">
        <v>1069</v>
      </c>
      <c r="F10" s="23" t="s">
        <v>4735</v>
      </c>
      <c r="G10" s="23" t="s">
        <v>4736</v>
      </c>
      <c r="H10" s="23" t="s">
        <v>667</v>
      </c>
      <c r="I10" s="23" t="s">
        <v>4737</v>
      </c>
    </row>
    <row r="11" spans="1:9" ht="29" customHeight="1" x14ac:dyDescent="0.2">
      <c r="A11" s="25" t="s">
        <v>4738</v>
      </c>
      <c r="B11" s="25" t="s">
        <v>4739</v>
      </c>
      <c r="C11" s="25" t="s">
        <v>109</v>
      </c>
      <c r="D11" s="25" t="s">
        <v>4740</v>
      </c>
      <c r="E11" s="25" t="s">
        <v>4741</v>
      </c>
      <c r="F11" s="25" t="s">
        <v>4742</v>
      </c>
      <c r="G11" s="25" t="s">
        <v>3605</v>
      </c>
      <c r="H11" s="25" t="s">
        <v>4724</v>
      </c>
      <c r="I11" s="25"/>
    </row>
    <row r="12" spans="1:9" ht="20" customHeight="1" x14ac:dyDescent="0.2">
      <c r="A12" s="23" t="s">
        <v>4743</v>
      </c>
      <c r="B12" s="23" t="s">
        <v>4739</v>
      </c>
      <c r="C12" s="23" t="s">
        <v>206</v>
      </c>
      <c r="D12" s="23" t="s">
        <v>4744</v>
      </c>
      <c r="E12" s="23" t="s">
        <v>4745</v>
      </c>
      <c r="F12" s="23" t="s">
        <v>4746</v>
      </c>
      <c r="G12" s="23" t="s">
        <v>4189</v>
      </c>
      <c r="H12" s="23" t="s">
        <v>4724</v>
      </c>
      <c r="I12" s="23"/>
    </row>
    <row r="13" spans="1:9" ht="29" customHeight="1" x14ac:dyDescent="0.2">
      <c r="A13" s="25" t="s">
        <v>4747</v>
      </c>
      <c r="B13" s="25" t="s">
        <v>4739</v>
      </c>
      <c r="C13" s="25" t="s">
        <v>196</v>
      </c>
      <c r="D13" s="25" t="s">
        <v>4748</v>
      </c>
      <c r="E13" s="25" t="s">
        <v>4749</v>
      </c>
      <c r="F13" s="25" t="s">
        <v>4750</v>
      </c>
      <c r="G13" s="25" t="s">
        <v>4121</v>
      </c>
      <c r="H13" s="25" t="s">
        <v>4724</v>
      </c>
      <c r="I13" s="25"/>
    </row>
    <row r="14" spans="1:9" ht="20" customHeight="1" x14ac:dyDescent="0.2">
      <c r="A14" s="23" t="s">
        <v>4751</v>
      </c>
      <c r="B14" s="23" t="s">
        <v>4739</v>
      </c>
      <c r="C14" s="23" t="s">
        <v>159</v>
      </c>
      <c r="D14" s="23" t="s">
        <v>4752</v>
      </c>
      <c r="E14" s="23" t="s">
        <v>4745</v>
      </c>
      <c r="F14" s="23" t="s">
        <v>4753</v>
      </c>
      <c r="G14" s="23" t="s">
        <v>3906</v>
      </c>
      <c r="H14" s="23" t="s">
        <v>4724</v>
      </c>
      <c r="I14" s="23"/>
    </row>
    <row r="15" spans="1:9" ht="20" customHeight="1" x14ac:dyDescent="0.2">
      <c r="A15" s="25" t="s">
        <v>3420</v>
      </c>
      <c r="B15" s="25" t="s">
        <v>4739</v>
      </c>
      <c r="C15" s="25" t="s">
        <v>162</v>
      </c>
      <c r="D15" s="25" t="s">
        <v>4754</v>
      </c>
      <c r="E15" s="25" t="s">
        <v>4755</v>
      </c>
      <c r="F15" s="25" t="s">
        <v>4746</v>
      </c>
      <c r="G15" s="25" t="s">
        <v>3922</v>
      </c>
      <c r="H15" s="25" t="s">
        <v>4724</v>
      </c>
      <c r="I15" s="25"/>
    </row>
    <row r="16" spans="1:9" ht="29" customHeight="1" x14ac:dyDescent="0.2">
      <c r="A16" s="23" t="s">
        <v>3422</v>
      </c>
      <c r="B16" s="23" t="s">
        <v>4739</v>
      </c>
      <c r="C16" s="23" t="s">
        <v>190</v>
      </c>
      <c r="D16" s="23" t="s">
        <v>4756</v>
      </c>
      <c r="E16" s="23" t="s">
        <v>4757</v>
      </c>
      <c r="F16" s="23" t="s">
        <v>4758</v>
      </c>
      <c r="G16" s="23" t="s">
        <v>4100</v>
      </c>
      <c r="H16" s="23" t="s">
        <v>4724</v>
      </c>
      <c r="I16" s="23"/>
    </row>
    <row r="17" spans="1:9" ht="29" customHeight="1" x14ac:dyDescent="0.2">
      <c r="A17" s="25" t="s">
        <v>3345</v>
      </c>
      <c r="B17" s="25" t="s">
        <v>4739</v>
      </c>
      <c r="C17" s="25" t="s">
        <v>20</v>
      </c>
      <c r="D17" s="25" t="s">
        <v>4759</v>
      </c>
      <c r="E17" s="25" t="s">
        <v>4760</v>
      </c>
      <c r="F17" s="25" t="s">
        <v>4761</v>
      </c>
      <c r="G17" s="25" t="s">
        <v>3822</v>
      </c>
      <c r="H17" s="25" t="s">
        <v>4724</v>
      </c>
      <c r="I17" s="25"/>
    </row>
    <row r="18" spans="1:9" ht="29" customHeight="1" x14ac:dyDescent="0.2">
      <c r="A18" s="23" t="s">
        <v>3351</v>
      </c>
      <c r="B18" s="23" t="s">
        <v>4739</v>
      </c>
      <c r="C18" s="23" t="s">
        <v>126</v>
      </c>
      <c r="D18" s="23" t="s">
        <v>4762</v>
      </c>
      <c r="E18" s="23" t="s">
        <v>4763</v>
      </c>
      <c r="F18" s="23" t="s">
        <v>4764</v>
      </c>
      <c r="G18" s="23" t="s">
        <v>3688</v>
      </c>
      <c r="H18" s="23" t="s">
        <v>4724</v>
      </c>
      <c r="I18" s="23"/>
    </row>
    <row r="19" spans="1:9" ht="58" customHeight="1" x14ac:dyDescent="0.2">
      <c r="A19" s="25" t="s">
        <v>3356</v>
      </c>
      <c r="B19" s="25" t="s">
        <v>2419</v>
      </c>
      <c r="C19" s="25" t="s">
        <v>2361</v>
      </c>
      <c r="D19" s="25" t="s">
        <v>4765</v>
      </c>
      <c r="E19" s="25" t="s">
        <v>4766</v>
      </c>
      <c r="F19" s="25" t="s">
        <v>4767</v>
      </c>
      <c r="G19" s="25" t="s">
        <v>4189</v>
      </c>
      <c r="H19" s="25" t="s">
        <v>2698</v>
      </c>
      <c r="I19" s="25"/>
    </row>
    <row r="20" spans="1:9" ht="29" customHeight="1" x14ac:dyDescent="0.2">
      <c r="A20" s="23" t="s">
        <v>4768</v>
      </c>
      <c r="B20" s="23" t="s">
        <v>4769</v>
      </c>
      <c r="C20" s="23" t="s">
        <v>126</v>
      </c>
      <c r="D20" s="23" t="s">
        <v>4770</v>
      </c>
      <c r="E20" s="23"/>
      <c r="F20" s="23" t="s">
        <v>4771</v>
      </c>
      <c r="G20" s="23" t="s">
        <v>3688</v>
      </c>
      <c r="H20" s="23" t="s">
        <v>2698</v>
      </c>
      <c r="I20" s="23"/>
    </row>
    <row r="21" spans="1:9" ht="29" customHeight="1" x14ac:dyDescent="0.2">
      <c r="A21" s="25" t="s">
        <v>3557</v>
      </c>
      <c r="B21" s="25" t="s">
        <v>4769</v>
      </c>
      <c r="C21" s="25" t="s">
        <v>4772</v>
      </c>
      <c r="D21" s="25" t="s">
        <v>4773</v>
      </c>
      <c r="E21" s="25"/>
      <c r="F21" s="25" t="s">
        <v>4774</v>
      </c>
      <c r="G21" s="25"/>
      <c r="H21" s="25" t="s">
        <v>2698</v>
      </c>
      <c r="I21" s="25"/>
    </row>
    <row r="22" spans="1:9" ht="29" customHeight="1" x14ac:dyDescent="0.2">
      <c r="A22" s="23" t="s">
        <v>3562</v>
      </c>
      <c r="B22" s="23" t="s">
        <v>264</v>
      </c>
      <c r="C22" s="23" t="s">
        <v>117</v>
      </c>
      <c r="D22" s="23" t="s">
        <v>4775</v>
      </c>
      <c r="E22" s="23" t="s">
        <v>4776</v>
      </c>
      <c r="F22" s="23" t="s">
        <v>4777</v>
      </c>
      <c r="G22" s="23" t="s">
        <v>4483</v>
      </c>
      <c r="H22" s="23" t="s">
        <v>4778</v>
      </c>
      <c r="I22" s="23" t="s">
        <v>4779</v>
      </c>
    </row>
    <row r="23" spans="1:9" ht="43.5" customHeight="1" x14ac:dyDescent="0.2">
      <c r="A23" s="25" t="s">
        <v>4780</v>
      </c>
      <c r="B23" s="25" t="s">
        <v>4781</v>
      </c>
      <c r="C23" s="25" t="s">
        <v>140</v>
      </c>
      <c r="D23" s="25" t="s">
        <v>4782</v>
      </c>
      <c r="E23" s="25"/>
      <c r="F23" s="25" t="s">
        <v>4783</v>
      </c>
      <c r="G23" s="25" t="s">
        <v>3776</v>
      </c>
      <c r="H23" s="25" t="s">
        <v>4778</v>
      </c>
      <c r="I23" s="25" t="s">
        <v>4784</v>
      </c>
    </row>
    <row r="24" spans="1:9" ht="29" customHeight="1" x14ac:dyDescent="0.2">
      <c r="A24" s="23" t="s">
        <v>4785</v>
      </c>
      <c r="B24" s="23" t="s">
        <v>4781</v>
      </c>
      <c r="C24" s="23" t="s">
        <v>140</v>
      </c>
      <c r="D24" s="23" t="s">
        <v>4786</v>
      </c>
      <c r="E24" s="23"/>
      <c r="F24" s="23" t="s">
        <v>4787</v>
      </c>
      <c r="G24" s="23" t="s">
        <v>3776</v>
      </c>
      <c r="H24" s="23" t="s">
        <v>667</v>
      </c>
      <c r="I24" s="23" t="s">
        <v>4788</v>
      </c>
    </row>
    <row r="25" spans="1:9" ht="29" customHeight="1" x14ac:dyDescent="0.2">
      <c r="A25" s="25" t="s">
        <v>4789</v>
      </c>
      <c r="B25" s="25" t="s">
        <v>4781</v>
      </c>
      <c r="C25" s="25" t="s">
        <v>209</v>
      </c>
      <c r="D25" s="25" t="s">
        <v>4790</v>
      </c>
      <c r="E25" s="25"/>
      <c r="F25" s="25" t="s">
        <v>4791</v>
      </c>
      <c r="G25" s="25" t="s">
        <v>4224</v>
      </c>
      <c r="H25" s="25" t="s">
        <v>667</v>
      </c>
      <c r="I25" s="25" t="s">
        <v>4792</v>
      </c>
    </row>
    <row r="26" spans="1:9" ht="29" customHeight="1" x14ac:dyDescent="0.2">
      <c r="A26" s="23" t="s">
        <v>4793</v>
      </c>
      <c r="B26" s="23" t="s">
        <v>4781</v>
      </c>
      <c r="C26" s="23" t="s">
        <v>135</v>
      </c>
      <c r="D26" s="23" t="s">
        <v>4794</v>
      </c>
      <c r="E26" s="23"/>
      <c r="F26" s="23" t="s">
        <v>4795</v>
      </c>
      <c r="G26" s="23" t="s">
        <v>3724</v>
      </c>
      <c r="H26" s="23" t="s">
        <v>667</v>
      </c>
      <c r="I26" s="23" t="s">
        <v>4796</v>
      </c>
    </row>
    <row r="27" spans="1:9" ht="29" customHeight="1" x14ac:dyDescent="0.2">
      <c r="A27" s="25" t="s">
        <v>4797</v>
      </c>
      <c r="B27" s="25" t="s">
        <v>264</v>
      </c>
      <c r="C27" s="25" t="s">
        <v>157</v>
      </c>
      <c r="D27" s="25" t="s">
        <v>4798</v>
      </c>
      <c r="E27" s="25" t="s">
        <v>4799</v>
      </c>
      <c r="F27" s="25" t="s">
        <v>4800</v>
      </c>
      <c r="G27" s="25" t="s">
        <v>3889</v>
      </c>
      <c r="H27" s="25" t="s">
        <v>667</v>
      </c>
      <c r="I27" s="25" t="s">
        <v>4801</v>
      </c>
    </row>
    <row r="28" spans="1:9" ht="29" customHeight="1" x14ac:dyDescent="0.2">
      <c r="A28" s="23" t="s">
        <v>4802</v>
      </c>
      <c r="B28" s="23" t="s">
        <v>264</v>
      </c>
      <c r="C28" s="23" t="s">
        <v>165</v>
      </c>
      <c r="D28" s="23" t="s">
        <v>4803</v>
      </c>
      <c r="E28" s="23"/>
      <c r="F28" s="23" t="s">
        <v>4804</v>
      </c>
      <c r="G28" s="23" t="s">
        <v>3947</v>
      </c>
      <c r="H28" s="23" t="s">
        <v>2698</v>
      </c>
      <c r="I28" s="23"/>
    </row>
    <row r="29" spans="1:9" ht="29" customHeight="1" x14ac:dyDescent="0.2">
      <c r="A29" s="25" t="s">
        <v>4805</v>
      </c>
      <c r="B29" s="25" t="s">
        <v>264</v>
      </c>
      <c r="C29" s="25" t="s">
        <v>28</v>
      </c>
      <c r="D29" s="25" t="s">
        <v>4806</v>
      </c>
      <c r="E29" s="25"/>
      <c r="F29" s="25" t="s">
        <v>4807</v>
      </c>
      <c r="G29" s="25" t="s">
        <v>4271</v>
      </c>
      <c r="H29" s="25" t="s">
        <v>667</v>
      </c>
      <c r="I29" s="25" t="s">
        <v>4808</v>
      </c>
    </row>
    <row r="30" spans="1:9" ht="58" customHeight="1" x14ac:dyDescent="0.2">
      <c r="A30" s="23" t="s">
        <v>4809</v>
      </c>
      <c r="B30" s="23" t="s">
        <v>264</v>
      </c>
      <c r="C30" s="23" t="s">
        <v>4309</v>
      </c>
      <c r="D30" s="23" t="s">
        <v>4810</v>
      </c>
      <c r="E30" s="23"/>
      <c r="F30" s="23" t="s">
        <v>4811</v>
      </c>
      <c r="G30" s="23"/>
      <c r="H30" s="23" t="s">
        <v>2698</v>
      </c>
      <c r="I30" s="23" t="s">
        <v>4812</v>
      </c>
    </row>
    <row r="31" spans="1:9" ht="29" customHeight="1" x14ac:dyDescent="0.2">
      <c r="A31" s="25" t="s">
        <v>4813</v>
      </c>
      <c r="B31" s="25" t="s">
        <v>4769</v>
      </c>
      <c r="C31" s="25" t="s">
        <v>24</v>
      </c>
      <c r="D31" s="25" t="s">
        <v>4814</v>
      </c>
      <c r="E31" s="25"/>
      <c r="F31" s="25" t="s">
        <v>4815</v>
      </c>
      <c r="G31" s="25" t="s">
        <v>4736</v>
      </c>
      <c r="H31" s="25" t="s">
        <v>2698</v>
      </c>
      <c r="I31" s="25"/>
    </row>
    <row r="32" spans="1:9" ht="72.5" customHeight="1" x14ac:dyDescent="0.2">
      <c r="A32" s="23" t="s">
        <v>4816</v>
      </c>
      <c r="B32" s="23" t="s">
        <v>4817</v>
      </c>
      <c r="C32" s="23" t="s">
        <v>4818</v>
      </c>
      <c r="D32" s="23" t="s">
        <v>4819</v>
      </c>
      <c r="E32" s="23"/>
      <c r="F32" s="23" t="s">
        <v>4820</v>
      </c>
      <c r="G32" s="23" t="s">
        <v>4821</v>
      </c>
      <c r="H32" s="23" t="s">
        <v>1549</v>
      </c>
      <c r="I32" s="23" t="s">
        <v>4822</v>
      </c>
    </row>
    <row r="33" spans="1:9" ht="29" customHeight="1" x14ac:dyDescent="0.2">
      <c r="A33" s="25" t="s">
        <v>4823</v>
      </c>
      <c r="B33" s="25" t="s">
        <v>4824</v>
      </c>
      <c r="C33" s="25" t="s">
        <v>131</v>
      </c>
      <c r="D33" s="25" t="s">
        <v>4825</v>
      </c>
      <c r="E33" s="25"/>
      <c r="F33" s="25" t="s">
        <v>4826</v>
      </c>
      <c r="G33" s="25" t="s">
        <v>3706</v>
      </c>
      <c r="H33" s="25" t="s">
        <v>667</v>
      </c>
      <c r="I33" s="25" t="s">
        <v>4827</v>
      </c>
    </row>
    <row r="34" spans="1:9" ht="29" customHeight="1" x14ac:dyDescent="0.2">
      <c r="A34" s="23" t="s">
        <v>4828</v>
      </c>
      <c r="B34" s="23" t="s">
        <v>4824</v>
      </c>
      <c r="C34" s="23" t="s">
        <v>135</v>
      </c>
      <c r="D34" s="23" t="s">
        <v>4825</v>
      </c>
      <c r="E34" s="23"/>
      <c r="F34" s="23" t="s">
        <v>4826</v>
      </c>
      <c r="G34" s="23" t="s">
        <v>3724</v>
      </c>
      <c r="H34" s="23" t="s">
        <v>667</v>
      </c>
      <c r="I34" s="23" t="s">
        <v>4827</v>
      </c>
    </row>
    <row r="35" spans="1:9" ht="29" customHeight="1" x14ac:dyDescent="0.2">
      <c r="A35" s="25" t="s">
        <v>4829</v>
      </c>
      <c r="B35" s="25" t="s">
        <v>4824</v>
      </c>
      <c r="C35" s="25" t="s">
        <v>20</v>
      </c>
      <c r="D35" s="25" t="s">
        <v>4825</v>
      </c>
      <c r="E35" s="25"/>
      <c r="F35" s="25" t="s">
        <v>4826</v>
      </c>
      <c r="G35" s="25" t="s">
        <v>3822</v>
      </c>
      <c r="H35" s="25" t="s">
        <v>667</v>
      </c>
      <c r="I35" s="25" t="s">
        <v>4827</v>
      </c>
    </row>
    <row r="36" spans="1:9" ht="29" customHeight="1" x14ac:dyDescent="0.2">
      <c r="A36" s="23" t="s">
        <v>4830</v>
      </c>
      <c r="B36" s="23" t="s">
        <v>4824</v>
      </c>
      <c r="C36" s="23" t="s">
        <v>165</v>
      </c>
      <c r="D36" s="23" t="s">
        <v>4825</v>
      </c>
      <c r="E36" s="23"/>
      <c r="F36" s="23" t="s">
        <v>4826</v>
      </c>
      <c r="G36" s="23" t="s">
        <v>3947</v>
      </c>
      <c r="H36" s="23" t="s">
        <v>667</v>
      </c>
      <c r="I36" s="23" t="s">
        <v>4827</v>
      </c>
    </row>
    <row r="37" spans="1:9" ht="29" customHeight="1" x14ac:dyDescent="0.2">
      <c r="A37" s="25" t="s">
        <v>4831</v>
      </c>
      <c r="B37" s="25" t="s">
        <v>4824</v>
      </c>
      <c r="C37" s="25" t="s">
        <v>168</v>
      </c>
      <c r="D37" s="25" t="s">
        <v>4825</v>
      </c>
      <c r="E37" s="25"/>
      <c r="F37" s="25" t="s">
        <v>4826</v>
      </c>
      <c r="G37" s="25" t="s">
        <v>3973</v>
      </c>
      <c r="H37" s="25" t="s">
        <v>667</v>
      </c>
      <c r="I37" s="25" t="s">
        <v>4827</v>
      </c>
    </row>
    <row r="38" spans="1:9" ht="29" customHeight="1" x14ac:dyDescent="0.2">
      <c r="A38" s="23" t="s">
        <v>4832</v>
      </c>
      <c r="B38" s="23" t="s">
        <v>4824</v>
      </c>
      <c r="C38" s="23" t="s">
        <v>179</v>
      </c>
      <c r="D38" s="23" t="s">
        <v>4825</v>
      </c>
      <c r="E38" s="23"/>
      <c r="F38" s="23" t="s">
        <v>4826</v>
      </c>
      <c r="G38" s="23" t="s">
        <v>4032</v>
      </c>
      <c r="H38" s="23" t="s">
        <v>667</v>
      </c>
      <c r="I38" s="23" t="s">
        <v>4827</v>
      </c>
    </row>
    <row r="39" spans="1:9" ht="29" customHeight="1" x14ac:dyDescent="0.2">
      <c r="A39" s="25" t="s">
        <v>4833</v>
      </c>
      <c r="B39" s="25" t="s">
        <v>4824</v>
      </c>
      <c r="C39" s="25" t="s">
        <v>187</v>
      </c>
      <c r="D39" s="25" t="s">
        <v>4825</v>
      </c>
      <c r="E39" s="25"/>
      <c r="F39" s="25" t="s">
        <v>4826</v>
      </c>
      <c r="G39" s="25" t="s">
        <v>4080</v>
      </c>
      <c r="H39" s="25" t="s">
        <v>667</v>
      </c>
      <c r="I39" s="25" t="s">
        <v>4827</v>
      </c>
    </row>
    <row r="40" spans="1:9" ht="29" customHeight="1" x14ac:dyDescent="0.2">
      <c r="A40" s="23" t="s">
        <v>4834</v>
      </c>
      <c r="B40" s="23" t="s">
        <v>4824</v>
      </c>
      <c r="C40" s="23" t="s">
        <v>190</v>
      </c>
      <c r="D40" s="23" t="s">
        <v>4825</v>
      </c>
      <c r="E40" s="23"/>
      <c r="F40" s="23" t="s">
        <v>4826</v>
      </c>
      <c r="G40" s="23" t="s">
        <v>4100</v>
      </c>
      <c r="H40" s="23" t="s">
        <v>667</v>
      </c>
      <c r="I40" s="23" t="s">
        <v>4827</v>
      </c>
    </row>
    <row r="41" spans="1:9" ht="29" customHeight="1" x14ac:dyDescent="0.2">
      <c r="A41" s="25" t="s">
        <v>4835</v>
      </c>
      <c r="B41" s="25" t="s">
        <v>4824</v>
      </c>
      <c r="C41" s="25" t="s">
        <v>24</v>
      </c>
      <c r="D41" s="25" t="s">
        <v>4836</v>
      </c>
      <c r="E41" s="25"/>
      <c r="F41" s="25" t="s">
        <v>4826</v>
      </c>
      <c r="G41" s="25" t="s">
        <v>4736</v>
      </c>
      <c r="H41" s="25" t="s">
        <v>667</v>
      </c>
      <c r="I41" s="25" t="s">
        <v>4827</v>
      </c>
    </row>
    <row r="42" spans="1:9" ht="29" customHeight="1" x14ac:dyDescent="0.2">
      <c r="A42" s="23" t="s">
        <v>4837</v>
      </c>
      <c r="B42" s="23" t="s">
        <v>4824</v>
      </c>
      <c r="C42" s="23" t="s">
        <v>28</v>
      </c>
      <c r="D42" s="23" t="s">
        <v>4825</v>
      </c>
      <c r="E42" s="23"/>
      <c r="F42" s="23" t="s">
        <v>4826</v>
      </c>
      <c r="G42" s="23" t="s">
        <v>4271</v>
      </c>
      <c r="H42" s="23" t="s">
        <v>667</v>
      </c>
      <c r="I42" s="23" t="s">
        <v>4827</v>
      </c>
    </row>
    <row r="43" spans="1:9" ht="29" customHeight="1" x14ac:dyDescent="0.2">
      <c r="A43" s="25" t="s">
        <v>4838</v>
      </c>
      <c r="B43" s="25" t="s">
        <v>4824</v>
      </c>
      <c r="C43" s="25" t="s">
        <v>109</v>
      </c>
      <c r="D43" s="25" t="s">
        <v>4839</v>
      </c>
      <c r="E43" s="25"/>
      <c r="F43" s="25" t="s">
        <v>4840</v>
      </c>
      <c r="G43" s="25" t="s">
        <v>3605</v>
      </c>
      <c r="H43" s="25" t="s">
        <v>667</v>
      </c>
      <c r="I43" s="25" t="s">
        <v>4841</v>
      </c>
    </row>
    <row r="44" spans="1:9" ht="29" customHeight="1" x14ac:dyDescent="0.2">
      <c r="A44" s="23" t="s">
        <v>4842</v>
      </c>
      <c r="B44" s="23" t="s">
        <v>4824</v>
      </c>
      <c r="C44" s="23" t="s">
        <v>117</v>
      </c>
      <c r="D44" s="23" t="s">
        <v>4839</v>
      </c>
      <c r="E44" s="23"/>
      <c r="F44" s="23" t="s">
        <v>4840</v>
      </c>
      <c r="G44" s="23" t="s">
        <v>3637</v>
      </c>
      <c r="H44" s="23" t="s">
        <v>667</v>
      </c>
      <c r="I44" s="23" t="s">
        <v>4841</v>
      </c>
    </row>
    <row r="45" spans="1:9" ht="29" customHeight="1" x14ac:dyDescent="0.2">
      <c r="A45" s="25" t="s">
        <v>4843</v>
      </c>
      <c r="B45" s="25" t="s">
        <v>4824</v>
      </c>
      <c r="C45" s="25" t="s">
        <v>131</v>
      </c>
      <c r="D45" s="25" t="s">
        <v>4839</v>
      </c>
      <c r="E45" s="25"/>
      <c r="F45" s="25" t="s">
        <v>4840</v>
      </c>
      <c r="G45" s="25" t="s">
        <v>3706</v>
      </c>
      <c r="H45" s="25" t="s">
        <v>667</v>
      </c>
      <c r="I45" s="25" t="s">
        <v>4841</v>
      </c>
    </row>
    <row r="46" spans="1:9" ht="29" customHeight="1" x14ac:dyDescent="0.2">
      <c r="A46" s="23" t="s">
        <v>4844</v>
      </c>
      <c r="B46" s="23" t="s">
        <v>4824</v>
      </c>
      <c r="C46" s="23" t="s">
        <v>135</v>
      </c>
      <c r="D46" s="23" t="s">
        <v>4839</v>
      </c>
      <c r="E46" s="23"/>
      <c r="F46" s="23" t="s">
        <v>4840</v>
      </c>
      <c r="G46" s="23" t="s">
        <v>3724</v>
      </c>
      <c r="H46" s="23" t="s">
        <v>667</v>
      </c>
      <c r="I46" s="23" t="s">
        <v>4841</v>
      </c>
    </row>
    <row r="47" spans="1:9" ht="29" customHeight="1" x14ac:dyDescent="0.2">
      <c r="A47" s="25" t="s">
        <v>4845</v>
      </c>
      <c r="B47" s="25" t="s">
        <v>4824</v>
      </c>
      <c r="C47" s="25" t="s">
        <v>137</v>
      </c>
      <c r="D47" s="25" t="s">
        <v>4839</v>
      </c>
      <c r="E47" s="25"/>
      <c r="F47" s="25" t="s">
        <v>4840</v>
      </c>
      <c r="G47" s="25" t="s">
        <v>3750</v>
      </c>
      <c r="H47" s="25" t="s">
        <v>667</v>
      </c>
      <c r="I47" s="25" t="s">
        <v>4841</v>
      </c>
    </row>
    <row r="48" spans="1:9" ht="29" customHeight="1" x14ac:dyDescent="0.2">
      <c r="A48" s="23" t="s">
        <v>4846</v>
      </c>
      <c r="B48" s="23" t="s">
        <v>4824</v>
      </c>
      <c r="C48" s="23" t="s">
        <v>140</v>
      </c>
      <c r="D48" s="23" t="s">
        <v>4839</v>
      </c>
      <c r="E48" s="23"/>
      <c r="F48" s="23" t="s">
        <v>4840</v>
      </c>
      <c r="G48" s="23" t="s">
        <v>3776</v>
      </c>
      <c r="H48" s="23" t="s">
        <v>667</v>
      </c>
      <c r="I48" s="23" t="s">
        <v>4841</v>
      </c>
    </row>
    <row r="49" spans="1:9" ht="29" customHeight="1" x14ac:dyDescent="0.2">
      <c r="A49" s="25" t="s">
        <v>4847</v>
      </c>
      <c r="B49" s="25" t="s">
        <v>4824</v>
      </c>
      <c r="C49" s="25" t="s">
        <v>151</v>
      </c>
      <c r="D49" s="25" t="s">
        <v>4839</v>
      </c>
      <c r="E49" s="25"/>
      <c r="F49" s="25" t="s">
        <v>4840</v>
      </c>
      <c r="G49" s="25" t="s">
        <v>3846</v>
      </c>
      <c r="H49" s="25" t="s">
        <v>667</v>
      </c>
      <c r="I49" s="25" t="s">
        <v>4841</v>
      </c>
    </row>
    <row r="50" spans="1:9" ht="29" customHeight="1" x14ac:dyDescent="0.2">
      <c r="A50" s="23" t="s">
        <v>4848</v>
      </c>
      <c r="B50" s="23" t="s">
        <v>4824</v>
      </c>
      <c r="C50" s="23" t="s">
        <v>159</v>
      </c>
      <c r="D50" s="23" t="s">
        <v>4839</v>
      </c>
      <c r="E50" s="23"/>
      <c r="F50" s="23" t="s">
        <v>4840</v>
      </c>
      <c r="G50" s="23" t="s">
        <v>3906</v>
      </c>
      <c r="H50" s="23" t="s">
        <v>667</v>
      </c>
      <c r="I50" s="23" t="s">
        <v>4841</v>
      </c>
    </row>
    <row r="51" spans="1:9" ht="29" customHeight="1" x14ac:dyDescent="0.2">
      <c r="A51" s="25" t="s">
        <v>4849</v>
      </c>
      <c r="B51" s="25" t="s">
        <v>4824</v>
      </c>
      <c r="C51" s="25" t="s">
        <v>162</v>
      </c>
      <c r="D51" s="25" t="s">
        <v>4839</v>
      </c>
      <c r="E51" s="25"/>
      <c r="F51" s="25" t="s">
        <v>4840</v>
      </c>
      <c r="G51" s="25" t="s">
        <v>3922</v>
      </c>
      <c r="H51" s="25" t="s">
        <v>667</v>
      </c>
      <c r="I51" s="25" t="s">
        <v>4841</v>
      </c>
    </row>
    <row r="52" spans="1:9" ht="29" customHeight="1" x14ac:dyDescent="0.2">
      <c r="A52" s="23" t="s">
        <v>4850</v>
      </c>
      <c r="B52" s="23" t="s">
        <v>4824</v>
      </c>
      <c r="C52" s="23" t="s">
        <v>168</v>
      </c>
      <c r="D52" s="23" t="s">
        <v>4839</v>
      </c>
      <c r="E52" s="23"/>
      <c r="F52" s="23" t="s">
        <v>4840</v>
      </c>
      <c r="G52" s="23" t="s">
        <v>3973</v>
      </c>
      <c r="H52" s="23" t="s">
        <v>667</v>
      </c>
      <c r="I52" s="23" t="s">
        <v>4841</v>
      </c>
    </row>
    <row r="53" spans="1:9" ht="29" customHeight="1" x14ac:dyDescent="0.2">
      <c r="A53" s="25" t="s">
        <v>4851</v>
      </c>
      <c r="B53" s="25" t="s">
        <v>4824</v>
      </c>
      <c r="C53" s="25" t="s">
        <v>171</v>
      </c>
      <c r="D53" s="25" t="s">
        <v>4839</v>
      </c>
      <c r="E53" s="25"/>
      <c r="F53" s="25" t="s">
        <v>4840</v>
      </c>
      <c r="G53" s="25" t="s">
        <v>3989</v>
      </c>
      <c r="H53" s="25" t="s">
        <v>667</v>
      </c>
      <c r="I53" s="25" t="s">
        <v>4841</v>
      </c>
    </row>
    <row r="54" spans="1:9" ht="29" customHeight="1" x14ac:dyDescent="0.2">
      <c r="A54" s="23" t="s">
        <v>4852</v>
      </c>
      <c r="B54" s="23" t="s">
        <v>4824</v>
      </c>
      <c r="C54" s="23" t="s">
        <v>174</v>
      </c>
      <c r="D54" s="23" t="s">
        <v>4839</v>
      </c>
      <c r="E54" s="23"/>
      <c r="F54" s="23" t="s">
        <v>4840</v>
      </c>
      <c r="G54" s="23" t="s">
        <v>4006</v>
      </c>
      <c r="H54" s="23" t="s">
        <v>667</v>
      </c>
      <c r="I54" s="23" t="s">
        <v>4841</v>
      </c>
    </row>
    <row r="55" spans="1:9" ht="29" customHeight="1" x14ac:dyDescent="0.2">
      <c r="A55" s="25" t="s">
        <v>4853</v>
      </c>
      <c r="B55" s="25" t="s">
        <v>4824</v>
      </c>
      <c r="C55" s="25" t="s">
        <v>179</v>
      </c>
      <c r="D55" s="25" t="s">
        <v>4839</v>
      </c>
      <c r="E55" s="25"/>
      <c r="F55" s="25" t="s">
        <v>4840</v>
      </c>
      <c r="G55" s="25" t="s">
        <v>4032</v>
      </c>
      <c r="H55" s="25" t="s">
        <v>667</v>
      </c>
      <c r="I55" s="25" t="s">
        <v>4841</v>
      </c>
    </row>
    <row r="56" spans="1:9" ht="29" customHeight="1" x14ac:dyDescent="0.2">
      <c r="A56" s="23" t="s">
        <v>4854</v>
      </c>
      <c r="B56" s="23" t="s">
        <v>4824</v>
      </c>
      <c r="C56" s="23" t="s">
        <v>190</v>
      </c>
      <c r="D56" s="23" t="s">
        <v>4839</v>
      </c>
      <c r="E56" s="23"/>
      <c r="F56" s="23" t="s">
        <v>4840</v>
      </c>
      <c r="G56" s="23" t="s">
        <v>4100</v>
      </c>
      <c r="H56" s="23" t="s">
        <v>667</v>
      </c>
      <c r="I56" s="23" t="s">
        <v>4841</v>
      </c>
    </row>
    <row r="57" spans="1:9" ht="29" customHeight="1" x14ac:dyDescent="0.2">
      <c r="A57" s="25" t="s">
        <v>4855</v>
      </c>
      <c r="B57" s="25" t="s">
        <v>4824</v>
      </c>
      <c r="C57" s="25" t="s">
        <v>196</v>
      </c>
      <c r="D57" s="25" t="s">
        <v>4839</v>
      </c>
      <c r="E57" s="25"/>
      <c r="F57" s="25" t="s">
        <v>4840</v>
      </c>
      <c r="G57" s="25" t="s">
        <v>4121</v>
      </c>
      <c r="H57" s="25" t="s">
        <v>667</v>
      </c>
      <c r="I57" s="25" t="s">
        <v>4841</v>
      </c>
    </row>
    <row r="58" spans="1:9" ht="29" customHeight="1" x14ac:dyDescent="0.2">
      <c r="A58" s="23" t="s">
        <v>4856</v>
      </c>
      <c r="B58" s="23" t="s">
        <v>4824</v>
      </c>
      <c r="C58" s="23" t="s">
        <v>209</v>
      </c>
      <c r="D58" s="23" t="s">
        <v>4839</v>
      </c>
      <c r="E58" s="23"/>
      <c r="F58" s="23" t="s">
        <v>4840</v>
      </c>
      <c r="G58" s="23" t="s">
        <v>4213</v>
      </c>
      <c r="H58" s="23" t="s">
        <v>667</v>
      </c>
      <c r="I58" s="23" t="s">
        <v>4841</v>
      </c>
    </row>
    <row r="59" spans="1:9" ht="29" customHeight="1" x14ac:dyDescent="0.2">
      <c r="A59" s="25" t="s">
        <v>4857</v>
      </c>
      <c r="B59" s="25" t="s">
        <v>4824</v>
      </c>
      <c r="C59" s="25" t="s">
        <v>28</v>
      </c>
      <c r="D59" s="25" t="s">
        <v>4839</v>
      </c>
      <c r="E59" s="25"/>
      <c r="F59" s="25" t="s">
        <v>4840</v>
      </c>
      <c r="G59" s="25" t="s">
        <v>4271</v>
      </c>
      <c r="H59" s="25" t="s">
        <v>667</v>
      </c>
      <c r="I59" s="25" t="s">
        <v>4841</v>
      </c>
    </row>
    <row r="60" spans="1:9" ht="29" customHeight="1" x14ac:dyDescent="0.2">
      <c r="A60" s="23" t="s">
        <v>4858</v>
      </c>
      <c r="B60" s="23" t="s">
        <v>4824</v>
      </c>
      <c r="C60" s="23" t="s">
        <v>222</v>
      </c>
      <c r="D60" s="23" t="s">
        <v>4839</v>
      </c>
      <c r="E60" s="23"/>
      <c r="F60" s="23" t="s">
        <v>4840</v>
      </c>
      <c r="G60" s="23" t="s">
        <v>4294</v>
      </c>
      <c r="H60" s="23" t="s">
        <v>667</v>
      </c>
      <c r="I60" s="23" t="s">
        <v>4841</v>
      </c>
    </row>
    <row r="61" spans="1:9" ht="20" customHeight="1" x14ac:dyDescent="0.2">
      <c r="A61" s="25" t="s">
        <v>4859</v>
      </c>
      <c r="B61" s="25" t="s">
        <v>4824</v>
      </c>
      <c r="C61" s="25" t="s">
        <v>109</v>
      </c>
      <c r="D61" s="25" t="s">
        <v>4860</v>
      </c>
      <c r="E61" s="25"/>
      <c r="F61" s="25" t="s">
        <v>4861</v>
      </c>
      <c r="G61" s="25" t="s">
        <v>3605</v>
      </c>
      <c r="H61" s="25" t="s">
        <v>667</v>
      </c>
      <c r="I61" s="25" t="s">
        <v>4862</v>
      </c>
    </row>
    <row r="62" spans="1:9" ht="20" customHeight="1" x14ac:dyDescent="0.2">
      <c r="A62" s="23" t="s">
        <v>4863</v>
      </c>
      <c r="B62" s="23" t="s">
        <v>4824</v>
      </c>
      <c r="C62" s="23" t="s">
        <v>117</v>
      </c>
      <c r="D62" s="23" t="s">
        <v>4860</v>
      </c>
      <c r="E62" s="23"/>
      <c r="F62" s="23" t="s">
        <v>4861</v>
      </c>
      <c r="G62" s="23" t="s">
        <v>3637</v>
      </c>
      <c r="H62" s="23" t="s">
        <v>667</v>
      </c>
      <c r="I62" s="23" t="s">
        <v>4862</v>
      </c>
    </row>
    <row r="63" spans="1:9" ht="20" customHeight="1" x14ac:dyDescent="0.2">
      <c r="A63" s="25" t="s">
        <v>4864</v>
      </c>
      <c r="B63" s="25" t="s">
        <v>4824</v>
      </c>
      <c r="C63" s="25" t="s">
        <v>126</v>
      </c>
      <c r="D63" s="25" t="s">
        <v>4860</v>
      </c>
      <c r="E63" s="25"/>
      <c r="F63" s="25" t="s">
        <v>4861</v>
      </c>
      <c r="G63" s="25" t="s">
        <v>3688</v>
      </c>
      <c r="H63" s="25" t="s">
        <v>667</v>
      </c>
      <c r="I63" s="25" t="s">
        <v>4862</v>
      </c>
    </row>
    <row r="64" spans="1:9" ht="20" customHeight="1" x14ac:dyDescent="0.2">
      <c r="A64" s="23" t="s">
        <v>4865</v>
      </c>
      <c r="B64" s="23" t="s">
        <v>4824</v>
      </c>
      <c r="C64" s="23" t="s">
        <v>131</v>
      </c>
      <c r="D64" s="23" t="s">
        <v>4860</v>
      </c>
      <c r="E64" s="23"/>
      <c r="F64" s="23" t="s">
        <v>4861</v>
      </c>
      <c r="G64" s="23" t="s">
        <v>3706</v>
      </c>
      <c r="H64" s="23" t="s">
        <v>667</v>
      </c>
      <c r="I64" s="23" t="s">
        <v>4862</v>
      </c>
    </row>
    <row r="65" spans="1:9" ht="20" customHeight="1" x14ac:dyDescent="0.2">
      <c r="A65" s="25" t="s">
        <v>4866</v>
      </c>
      <c r="B65" s="25" t="s">
        <v>4824</v>
      </c>
      <c r="C65" s="25" t="s">
        <v>135</v>
      </c>
      <c r="D65" s="25" t="s">
        <v>4860</v>
      </c>
      <c r="E65" s="25"/>
      <c r="F65" s="25" t="s">
        <v>4861</v>
      </c>
      <c r="G65" s="25" t="s">
        <v>3724</v>
      </c>
      <c r="H65" s="25" t="s">
        <v>667</v>
      </c>
      <c r="I65" s="25" t="s">
        <v>4862</v>
      </c>
    </row>
    <row r="66" spans="1:9" ht="20" customHeight="1" x14ac:dyDescent="0.2">
      <c r="A66" s="23" t="s">
        <v>4867</v>
      </c>
      <c r="B66" s="23" t="s">
        <v>4824</v>
      </c>
      <c r="C66" s="23" t="s">
        <v>137</v>
      </c>
      <c r="D66" s="23" t="s">
        <v>4860</v>
      </c>
      <c r="E66" s="23"/>
      <c r="F66" s="23" t="s">
        <v>4861</v>
      </c>
      <c r="G66" s="23" t="s">
        <v>3750</v>
      </c>
      <c r="H66" s="23" t="s">
        <v>667</v>
      </c>
      <c r="I66" s="23" t="s">
        <v>4862</v>
      </c>
    </row>
    <row r="67" spans="1:9" ht="20" customHeight="1" x14ac:dyDescent="0.2">
      <c r="A67" s="25" t="s">
        <v>4868</v>
      </c>
      <c r="B67" s="25" t="s">
        <v>4824</v>
      </c>
      <c r="C67" s="25" t="s">
        <v>140</v>
      </c>
      <c r="D67" s="25" t="s">
        <v>4860</v>
      </c>
      <c r="E67" s="25"/>
      <c r="F67" s="25" t="s">
        <v>4861</v>
      </c>
      <c r="G67" s="25" t="s">
        <v>3776</v>
      </c>
      <c r="H67" s="25" t="s">
        <v>667</v>
      </c>
      <c r="I67" s="25" t="s">
        <v>4862</v>
      </c>
    </row>
    <row r="68" spans="1:9" ht="20" customHeight="1" x14ac:dyDescent="0.2">
      <c r="A68" s="23" t="s">
        <v>4869</v>
      </c>
      <c r="B68" s="23" t="s">
        <v>4824</v>
      </c>
      <c r="C68" s="23" t="s">
        <v>20</v>
      </c>
      <c r="D68" s="23" t="s">
        <v>4860</v>
      </c>
      <c r="E68" s="23"/>
      <c r="F68" s="23" t="s">
        <v>4861</v>
      </c>
      <c r="G68" s="23" t="s">
        <v>3822</v>
      </c>
      <c r="H68" s="23" t="s">
        <v>667</v>
      </c>
      <c r="I68" s="23" t="s">
        <v>4862</v>
      </c>
    </row>
    <row r="69" spans="1:9" ht="20" customHeight="1" x14ac:dyDescent="0.2">
      <c r="A69" s="25" t="s">
        <v>4870</v>
      </c>
      <c r="B69" s="25" t="s">
        <v>4824</v>
      </c>
      <c r="C69" s="25" t="s">
        <v>157</v>
      </c>
      <c r="D69" s="25" t="s">
        <v>4860</v>
      </c>
      <c r="E69" s="25"/>
      <c r="F69" s="25" t="s">
        <v>4861</v>
      </c>
      <c r="G69" s="25" t="s">
        <v>3889</v>
      </c>
      <c r="H69" s="25" t="s">
        <v>667</v>
      </c>
      <c r="I69" s="25" t="s">
        <v>4862</v>
      </c>
    </row>
    <row r="70" spans="1:9" ht="20" customHeight="1" x14ac:dyDescent="0.2">
      <c r="A70" s="23" t="s">
        <v>4871</v>
      </c>
      <c r="B70" s="23" t="s">
        <v>4824</v>
      </c>
      <c r="C70" s="23" t="s">
        <v>165</v>
      </c>
      <c r="D70" s="23" t="s">
        <v>4860</v>
      </c>
      <c r="E70" s="23"/>
      <c r="F70" s="23" t="s">
        <v>4861</v>
      </c>
      <c r="G70" s="23" t="s">
        <v>3947</v>
      </c>
      <c r="H70" s="23" t="s">
        <v>667</v>
      </c>
      <c r="I70" s="23" t="s">
        <v>4862</v>
      </c>
    </row>
    <row r="71" spans="1:9" ht="20" customHeight="1" x14ac:dyDescent="0.2">
      <c r="A71" s="25" t="s">
        <v>4872</v>
      </c>
      <c r="B71" s="25" t="s">
        <v>4824</v>
      </c>
      <c r="C71" s="25" t="s">
        <v>168</v>
      </c>
      <c r="D71" s="25" t="s">
        <v>4860</v>
      </c>
      <c r="E71" s="25"/>
      <c r="F71" s="25" t="s">
        <v>4861</v>
      </c>
      <c r="G71" s="25" t="s">
        <v>3973</v>
      </c>
      <c r="H71" s="25" t="s">
        <v>667</v>
      </c>
      <c r="I71" s="25" t="s">
        <v>4862</v>
      </c>
    </row>
    <row r="72" spans="1:9" ht="20" customHeight="1" x14ac:dyDescent="0.2">
      <c r="A72" s="23" t="s">
        <v>4873</v>
      </c>
      <c r="B72" s="23" t="s">
        <v>4824</v>
      </c>
      <c r="C72" s="23" t="s">
        <v>174</v>
      </c>
      <c r="D72" s="23" t="s">
        <v>4860</v>
      </c>
      <c r="E72" s="23"/>
      <c r="F72" s="23" t="s">
        <v>4861</v>
      </c>
      <c r="G72" s="23" t="s">
        <v>4006</v>
      </c>
      <c r="H72" s="23" t="s">
        <v>667</v>
      </c>
      <c r="I72" s="23" t="s">
        <v>4862</v>
      </c>
    </row>
    <row r="73" spans="1:9" ht="20" customHeight="1" x14ac:dyDescent="0.2">
      <c r="A73" s="25" t="s">
        <v>4874</v>
      </c>
      <c r="B73" s="25" t="s">
        <v>4824</v>
      </c>
      <c r="C73" s="25" t="s">
        <v>179</v>
      </c>
      <c r="D73" s="25" t="s">
        <v>4860</v>
      </c>
      <c r="E73" s="25"/>
      <c r="F73" s="25" t="s">
        <v>4861</v>
      </c>
      <c r="G73" s="25" t="s">
        <v>4032</v>
      </c>
      <c r="H73" s="25" t="s">
        <v>667</v>
      </c>
      <c r="I73" s="25" t="s">
        <v>4862</v>
      </c>
    </row>
    <row r="74" spans="1:9" ht="20" customHeight="1" x14ac:dyDescent="0.2">
      <c r="A74" s="23" t="s">
        <v>4875</v>
      </c>
      <c r="B74" s="23" t="s">
        <v>4824</v>
      </c>
      <c r="C74" s="23" t="s">
        <v>182</v>
      </c>
      <c r="D74" s="23" t="s">
        <v>4860</v>
      </c>
      <c r="E74" s="23"/>
      <c r="F74" s="23" t="s">
        <v>4861</v>
      </c>
      <c r="G74" s="23" t="s">
        <v>4058</v>
      </c>
      <c r="H74" s="23" t="s">
        <v>667</v>
      </c>
      <c r="I74" s="23" t="s">
        <v>4862</v>
      </c>
    </row>
    <row r="75" spans="1:9" ht="20" customHeight="1" x14ac:dyDescent="0.2">
      <c r="A75" s="25" t="s">
        <v>4876</v>
      </c>
      <c r="B75" s="25" t="s">
        <v>4824</v>
      </c>
      <c r="C75" s="25" t="s">
        <v>187</v>
      </c>
      <c r="D75" s="25" t="s">
        <v>4860</v>
      </c>
      <c r="E75" s="25"/>
      <c r="F75" s="25" t="s">
        <v>4861</v>
      </c>
      <c r="G75" s="25" t="s">
        <v>4080</v>
      </c>
      <c r="H75" s="25" t="s">
        <v>667</v>
      </c>
      <c r="I75" s="25" t="s">
        <v>4862</v>
      </c>
    </row>
    <row r="76" spans="1:9" ht="20" customHeight="1" x14ac:dyDescent="0.2">
      <c r="A76" s="23" t="s">
        <v>4877</v>
      </c>
      <c r="B76" s="23" t="s">
        <v>4824</v>
      </c>
      <c r="C76" s="23" t="s">
        <v>190</v>
      </c>
      <c r="D76" s="23" t="s">
        <v>4860</v>
      </c>
      <c r="E76" s="23"/>
      <c r="F76" s="23" t="s">
        <v>4861</v>
      </c>
      <c r="G76" s="23" t="s">
        <v>4100</v>
      </c>
      <c r="H76" s="23" t="s">
        <v>667</v>
      </c>
      <c r="I76" s="23" t="s">
        <v>4862</v>
      </c>
    </row>
    <row r="77" spans="1:9" ht="20" customHeight="1" x14ac:dyDescent="0.2">
      <c r="A77" s="25" t="s">
        <v>4878</v>
      </c>
      <c r="B77" s="25" t="s">
        <v>4824</v>
      </c>
      <c r="C77" s="25" t="s">
        <v>202</v>
      </c>
      <c r="D77" s="25" t="s">
        <v>4860</v>
      </c>
      <c r="E77" s="25"/>
      <c r="F77" s="25" t="s">
        <v>4861</v>
      </c>
      <c r="G77" s="25" t="s">
        <v>4174</v>
      </c>
      <c r="H77" s="25" t="s">
        <v>667</v>
      </c>
      <c r="I77" s="25" t="s">
        <v>4862</v>
      </c>
    </row>
    <row r="78" spans="1:9" ht="20" customHeight="1" x14ac:dyDescent="0.2">
      <c r="A78" s="23" t="s">
        <v>4879</v>
      </c>
      <c r="B78" s="23" t="s">
        <v>4824</v>
      </c>
      <c r="C78" s="23" t="s">
        <v>206</v>
      </c>
      <c r="D78" s="23" t="s">
        <v>4860</v>
      </c>
      <c r="E78" s="23"/>
      <c r="F78" s="23" t="s">
        <v>4861</v>
      </c>
      <c r="G78" s="23" t="s">
        <v>4189</v>
      </c>
      <c r="H78" s="23" t="s">
        <v>667</v>
      </c>
      <c r="I78" s="23" t="s">
        <v>4862</v>
      </c>
    </row>
    <row r="79" spans="1:9" ht="20" customHeight="1" x14ac:dyDescent="0.2">
      <c r="A79" s="25" t="s">
        <v>4880</v>
      </c>
      <c r="B79" s="25" t="s">
        <v>4824</v>
      </c>
      <c r="C79" s="25" t="s">
        <v>209</v>
      </c>
      <c r="D79" s="25" t="s">
        <v>4860</v>
      </c>
      <c r="E79" s="25"/>
      <c r="F79" s="25" t="s">
        <v>4861</v>
      </c>
      <c r="G79" s="25" t="s">
        <v>4213</v>
      </c>
      <c r="H79" s="25" t="s">
        <v>667</v>
      </c>
      <c r="I79" s="25" t="s">
        <v>4862</v>
      </c>
    </row>
    <row r="80" spans="1:9" ht="20" customHeight="1" x14ac:dyDescent="0.2">
      <c r="A80" s="23" t="s">
        <v>4881</v>
      </c>
      <c r="B80" s="23" t="s">
        <v>4824</v>
      </c>
      <c r="C80" s="23" t="s">
        <v>212</v>
      </c>
      <c r="D80" s="23" t="s">
        <v>4860</v>
      </c>
      <c r="E80" s="23"/>
      <c r="F80" s="23" t="s">
        <v>4861</v>
      </c>
      <c r="G80" s="23" t="s">
        <v>4241</v>
      </c>
      <c r="H80" s="23" t="s">
        <v>667</v>
      </c>
      <c r="I80" s="23" t="s">
        <v>4862</v>
      </c>
    </row>
    <row r="81" spans="1:9" ht="20" customHeight="1" x14ac:dyDescent="0.2">
      <c r="A81" s="25" t="s">
        <v>4882</v>
      </c>
      <c r="B81" s="25" t="s">
        <v>4824</v>
      </c>
      <c r="C81" s="25" t="s">
        <v>28</v>
      </c>
      <c r="D81" s="25" t="s">
        <v>4860</v>
      </c>
      <c r="E81" s="25"/>
      <c r="F81" s="25" t="s">
        <v>4861</v>
      </c>
      <c r="G81" s="25" t="s">
        <v>4271</v>
      </c>
      <c r="H81" s="25" t="s">
        <v>667</v>
      </c>
      <c r="I81" s="25" t="s">
        <v>4862</v>
      </c>
    </row>
    <row r="82" spans="1:9" ht="20" customHeight="1" x14ac:dyDescent="0.2">
      <c r="A82" s="23" t="s">
        <v>4883</v>
      </c>
      <c r="B82" s="23" t="s">
        <v>4824</v>
      </c>
      <c r="C82" s="23" t="s">
        <v>222</v>
      </c>
      <c r="D82" s="23" t="s">
        <v>4860</v>
      </c>
      <c r="E82" s="23"/>
      <c r="F82" s="23" t="s">
        <v>4861</v>
      </c>
      <c r="G82" s="23" t="s">
        <v>4294</v>
      </c>
      <c r="H82" s="23" t="s">
        <v>667</v>
      </c>
      <c r="I82" s="23" t="s">
        <v>4862</v>
      </c>
    </row>
    <row r="83" spans="1:9" ht="20" customHeight="1" x14ac:dyDescent="0.2">
      <c r="A83" s="25" t="s">
        <v>4884</v>
      </c>
      <c r="B83" s="25" t="s">
        <v>540</v>
      </c>
      <c r="C83" s="25" t="s">
        <v>4885</v>
      </c>
      <c r="D83" s="25" t="s">
        <v>4886</v>
      </c>
      <c r="E83" s="25"/>
      <c r="F83" s="25"/>
      <c r="G83" s="25" t="s">
        <v>4821</v>
      </c>
      <c r="H83" s="25" t="s">
        <v>1549</v>
      </c>
      <c r="I83" s="25"/>
    </row>
    <row r="84" spans="1:9" ht="20" customHeight="1" x14ac:dyDescent="0.2">
      <c r="A84" s="23" t="s">
        <v>4887</v>
      </c>
      <c r="B84" s="23" t="s">
        <v>540</v>
      </c>
      <c r="C84" s="23" t="s">
        <v>4885</v>
      </c>
      <c r="D84" s="23" t="s">
        <v>4888</v>
      </c>
      <c r="E84" s="23"/>
      <c r="F84" s="23"/>
      <c r="G84" s="23" t="s">
        <v>4821</v>
      </c>
      <c r="H84" s="23" t="s">
        <v>1549</v>
      </c>
      <c r="I84" s="23"/>
    </row>
    <row r="85" spans="1:9" ht="20" customHeight="1" x14ac:dyDescent="0.2">
      <c r="A85" s="25" t="s">
        <v>4889</v>
      </c>
      <c r="B85" s="25" t="s">
        <v>540</v>
      </c>
      <c r="C85" s="25" t="s">
        <v>4885</v>
      </c>
      <c r="D85" s="25" t="s">
        <v>4890</v>
      </c>
      <c r="E85" s="25"/>
      <c r="F85" s="25"/>
      <c r="G85" s="25" t="s">
        <v>4821</v>
      </c>
      <c r="H85" s="25" t="s">
        <v>1549</v>
      </c>
      <c r="I85" s="25"/>
    </row>
    <row r="86" spans="1:9" ht="20" customHeight="1" x14ac:dyDescent="0.2">
      <c r="A86" s="23" t="s">
        <v>4891</v>
      </c>
      <c r="B86" s="23" t="s">
        <v>540</v>
      </c>
      <c r="C86" s="23" t="s">
        <v>4885</v>
      </c>
      <c r="D86" s="23" t="s">
        <v>4892</v>
      </c>
      <c r="E86" s="23"/>
      <c r="F86" s="23"/>
      <c r="G86" s="23" t="s">
        <v>4821</v>
      </c>
      <c r="H86" s="23" t="s">
        <v>1549</v>
      </c>
      <c r="I86" s="23"/>
    </row>
    <row r="87" spans="1:9" ht="20" customHeight="1" x14ac:dyDescent="0.2">
      <c r="A87" s="25" t="s">
        <v>4893</v>
      </c>
      <c r="B87" s="25" t="s">
        <v>540</v>
      </c>
      <c r="C87" s="25" t="s">
        <v>4885</v>
      </c>
      <c r="D87" s="25" t="s">
        <v>4894</v>
      </c>
      <c r="E87" s="25"/>
      <c r="F87" s="25"/>
      <c r="G87" s="25" t="s">
        <v>4821</v>
      </c>
      <c r="H87" s="25" t="s">
        <v>1549</v>
      </c>
      <c r="I87" s="25"/>
    </row>
    <row r="88" spans="1:9" ht="29" customHeight="1" x14ac:dyDescent="0.2">
      <c r="A88" s="23" t="s">
        <v>4895</v>
      </c>
      <c r="B88" s="23" t="s">
        <v>540</v>
      </c>
      <c r="C88" s="23" t="s">
        <v>4885</v>
      </c>
      <c r="D88" s="23" t="s">
        <v>4896</v>
      </c>
      <c r="E88" s="23"/>
      <c r="F88" s="23"/>
      <c r="G88" s="23" t="s">
        <v>4821</v>
      </c>
      <c r="H88" s="23" t="s">
        <v>1549</v>
      </c>
      <c r="I88" s="23"/>
    </row>
  </sheetData>
  <mergeCells count="2">
    <mergeCell ref="A1:I1"/>
    <mergeCell ref="A2:I2"/>
  </mergeCells>
  <pageMargins left="0.75" right="0.75" top="1" bottom="1" header="0.5" footer="0.5"/>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rgb="FF548235"/>
  </sheetPr>
  <dimension ref="A1:K14"/>
  <sheetViews>
    <sheetView showGridLines="0" rightToLeft="1" workbookViewId="0">
      <pane xSplit="1" ySplit="3" topLeftCell="B4" activePane="bottomRight" state="frozen"/>
      <selection pane="topRight"/>
      <selection pane="bottomLeft"/>
      <selection pane="bottomRight"/>
    </sheetView>
  </sheetViews>
  <sheetFormatPr baseColWidth="10" defaultColWidth="8.83203125" defaultRowHeight="15" x14ac:dyDescent="0.2"/>
  <cols>
    <col min="1" max="1" width="34" customWidth="1"/>
    <col min="2" max="2" width="12" customWidth="1"/>
    <col min="3" max="3" width="8" customWidth="1"/>
    <col min="4" max="4" width="12" customWidth="1"/>
    <col min="5" max="6" width="10" customWidth="1"/>
    <col min="7" max="8" width="8" customWidth="1"/>
    <col min="9" max="9" width="14" customWidth="1"/>
    <col min="10" max="10" width="10" customWidth="1"/>
    <col min="11" max="11" width="50" customWidth="1"/>
  </cols>
  <sheetData>
    <row r="1" spans="1:11" ht="30" customHeight="1" x14ac:dyDescent="0.2">
      <c r="A1" s="87" t="s">
        <v>4897</v>
      </c>
      <c r="B1" s="76"/>
      <c r="C1" s="76"/>
      <c r="D1" s="76"/>
      <c r="E1" s="76"/>
      <c r="F1" s="76"/>
      <c r="G1" s="76"/>
      <c r="H1" s="76"/>
      <c r="I1" s="76"/>
      <c r="J1" s="76"/>
      <c r="K1" s="76"/>
    </row>
    <row r="2" spans="1:11" ht="22" customHeight="1" x14ac:dyDescent="0.2">
      <c r="A2" s="85" t="s">
        <v>4898</v>
      </c>
      <c r="B2" s="76"/>
      <c r="C2" s="76"/>
      <c r="D2" s="76"/>
      <c r="E2" s="76"/>
      <c r="F2" s="76"/>
      <c r="G2" s="76"/>
      <c r="H2" s="76"/>
      <c r="I2" s="76"/>
      <c r="J2" s="76"/>
      <c r="K2" s="76"/>
    </row>
    <row r="3" spans="1:11" ht="30" customHeight="1" x14ac:dyDescent="0.2">
      <c r="A3" s="24" t="s">
        <v>4899</v>
      </c>
      <c r="B3" s="24" t="s">
        <v>4900</v>
      </c>
      <c r="C3" s="24" t="s">
        <v>4651</v>
      </c>
      <c r="D3" s="24" t="s">
        <v>4901</v>
      </c>
      <c r="E3" s="24" t="s">
        <v>1891</v>
      </c>
      <c r="F3" s="24" t="s">
        <v>4902</v>
      </c>
      <c r="G3" s="24" t="s">
        <v>3897</v>
      </c>
      <c r="H3" s="24" t="s">
        <v>3725</v>
      </c>
      <c r="I3" s="24" t="s">
        <v>4903</v>
      </c>
      <c r="J3" s="24" t="s">
        <v>4904</v>
      </c>
      <c r="K3" s="24" t="s">
        <v>107</v>
      </c>
    </row>
    <row r="4" spans="1:11" ht="43.5" customHeight="1" x14ac:dyDescent="0.2">
      <c r="A4" s="23" t="s">
        <v>478</v>
      </c>
      <c r="B4" s="23">
        <v>23</v>
      </c>
      <c r="C4" s="23">
        <v>30</v>
      </c>
      <c r="D4" s="23">
        <f>COUNT('AC Company v40'!$G$4:$G$33)</f>
        <v>29</v>
      </c>
      <c r="E4" s="23">
        <f t="shared" ref="E4:E10" si="0">D4-B4</f>
        <v>6</v>
      </c>
      <c r="F4" s="23">
        <f>COUNTIF('AC Company v40'!$F$4:$F$33,"تاییدشده")+COUNTIF('AC Company v40'!$F$4:$F$33,"تاییدشده با هشدار")</f>
        <v>29</v>
      </c>
      <c r="G4" s="23">
        <f>COUNTIF('AC Company v40'!$F$4:$F$33,"ناقص")</f>
        <v>0</v>
      </c>
      <c r="H4" s="23">
        <f>COUNTIF('AC Company v40'!$F$4:$F$33,"متعارض")</f>
        <v>0</v>
      </c>
      <c r="I4" s="23">
        <f>COUNTIF('AC Company v40'!$F$4:$F$33,"بررسی شده ولی افشا یافت نشد")+COUNTIF('AC Company v40'!$F$4:$F$33,"منبع در دسترس نبود")+COUNTIF('AC Company v40'!$F$4:$F$33,"هنوز بررسی نشده")</f>
        <v>1</v>
      </c>
      <c r="J4" s="23">
        <f>COUNTIF('AC Company v40'!$F$4:$F$33,"قابل اعمال نیست")</f>
        <v>0</v>
      </c>
      <c r="K4" s="23" t="s">
        <v>4905</v>
      </c>
    </row>
    <row r="5" spans="1:11" ht="43.5" customHeight="1" x14ac:dyDescent="0.2">
      <c r="A5" s="25" t="s">
        <v>483</v>
      </c>
      <c r="B5" s="25">
        <v>11</v>
      </c>
      <c r="C5" s="25">
        <v>30</v>
      </c>
      <c r="D5" s="25">
        <f>COUNT('AC Company v40'!$O$4:$O$33)</f>
        <v>27</v>
      </c>
      <c r="E5" s="25">
        <f t="shared" si="0"/>
        <v>16</v>
      </c>
      <c r="F5" s="25">
        <f>COUNTIF('AC Company v40'!$J$4:$J$33,"تاییدشده")+COUNTIF('AC Company v40'!$J$4:$J$33,"تاییدشده با هشدار")</f>
        <v>27</v>
      </c>
      <c r="G5" s="25">
        <f>COUNTIF('AC Company v40'!$J$4:$J$33,"ناقص")</f>
        <v>2</v>
      </c>
      <c r="H5" s="25">
        <f>COUNTIF('AC Company v40'!$J$4:$J$33,"متعارض")</f>
        <v>0</v>
      </c>
      <c r="I5" s="25">
        <f>COUNTIF('AC Company v40'!$J$4:$J$33,"بررسی شده ولی افشا یافت نشد")+COUNTIF('AC Company v40'!$J$4:$J$33,"منبع در دسترس نبود")+COUNTIF('AC Company v40'!$J$4:$J$33,"هنوز بررسی نشده")</f>
        <v>1</v>
      </c>
      <c r="J5" s="25">
        <f>COUNTIF('AC Company v40'!$J$4:$J$33,"قابل اعمال نیست")</f>
        <v>0</v>
      </c>
      <c r="K5" s="25" t="s">
        <v>4905</v>
      </c>
    </row>
    <row r="6" spans="1:11" ht="43.5" customHeight="1" x14ac:dyDescent="0.2">
      <c r="A6" s="23" t="s">
        <v>2361</v>
      </c>
      <c r="B6" s="23">
        <v>5</v>
      </c>
      <c r="C6" s="23">
        <v>30</v>
      </c>
      <c r="D6" s="23">
        <f>COUNT('AC Company v40'!$U$4:$U$33)</f>
        <v>5</v>
      </c>
      <c r="E6" s="23">
        <f t="shared" si="0"/>
        <v>0</v>
      </c>
      <c r="F6" s="23">
        <f>COUNTIF('AC Company v40'!$T$4:$T$33,"تاییدشده")+COUNTIF('AC Company v40'!$T$4:$T$33,"تاییدشده با هشدار")</f>
        <v>5</v>
      </c>
      <c r="G6" s="23">
        <f>COUNTIF('AC Company v40'!$T$4:$T$33,"ناقص")</f>
        <v>6</v>
      </c>
      <c r="H6" s="23">
        <f>COUNTIF('AC Company v40'!$T$4:$T$33,"متعارض")</f>
        <v>0</v>
      </c>
      <c r="I6" s="23">
        <f>COUNTIF('AC Company v40'!$T$4:$T$33,"بررسی شده ولی افشا یافت نشد")+COUNTIF('AC Company v40'!$T$4:$T$33,"منبع در دسترس نبود")+COUNTIF('AC Company v40'!$T$4:$T$33,"هنوز بررسی نشده")</f>
        <v>19</v>
      </c>
      <c r="J6" s="23">
        <f>COUNTIF('AC Company v40'!$T$4:$T$33,"قابل اعمال نیست")</f>
        <v>0</v>
      </c>
      <c r="K6" s="23" t="s">
        <v>4905</v>
      </c>
    </row>
    <row r="7" spans="1:11" ht="43.5" customHeight="1" x14ac:dyDescent="0.2">
      <c r="A7" s="25" t="s">
        <v>2368</v>
      </c>
      <c r="B7" s="25">
        <v>2</v>
      </c>
      <c r="C7" s="25">
        <v>30</v>
      </c>
      <c r="D7" s="25">
        <f>COUNT('AC Company v40'!$AA$4:$AA$33)</f>
        <v>27</v>
      </c>
      <c r="E7" s="25">
        <f t="shared" si="0"/>
        <v>25</v>
      </c>
      <c r="F7" s="25">
        <f>COUNTIF('AC Company v40'!$Z$4:$Z$33,"تاییدشده")+COUNTIF('AC Company v40'!$Z$4:$Z$33,"تاییدشده با هشدار")</f>
        <v>27</v>
      </c>
      <c r="G7" s="25">
        <f>COUNTIF('AC Company v40'!$Z$4:$Z$33,"ناقص")</f>
        <v>1</v>
      </c>
      <c r="H7" s="25">
        <f>COUNTIF('AC Company v40'!$Z$4:$Z$33,"متعارض")</f>
        <v>0</v>
      </c>
      <c r="I7" s="25">
        <f>COUNTIF('AC Company v40'!$Z$4:$Z$33,"بررسی شده ولی افشا یافت نشد")+COUNTIF('AC Company v40'!$Z$4:$Z$33,"منبع در دسترس نبود")+COUNTIF('AC Company v40'!$Z$4:$Z$33,"هنوز بررسی نشده")</f>
        <v>2</v>
      </c>
      <c r="J7" s="25">
        <f>COUNTIF('AC Company v40'!$Z$4:$Z$33,"قابل اعمال نیست")</f>
        <v>0</v>
      </c>
      <c r="K7" s="25" t="s">
        <v>4905</v>
      </c>
    </row>
    <row r="8" spans="1:11" ht="43.5" customHeight="1" x14ac:dyDescent="0.2">
      <c r="A8" s="23" t="s">
        <v>2376</v>
      </c>
      <c r="B8" s="23">
        <v>12</v>
      </c>
      <c r="C8" s="23">
        <v>30</v>
      </c>
      <c r="D8" s="23">
        <f>COUNT('AC Company v40'!$AF$4:$AF$33)</f>
        <v>20</v>
      </c>
      <c r="E8" s="23">
        <f t="shared" si="0"/>
        <v>8</v>
      </c>
      <c r="F8" s="23">
        <f>COUNTIF('AC Company v40'!$AE$4:$AE$33,"تاییدشده")+COUNTIF('AC Company v40'!$AE$4:$AE$33,"تاییدشده با هشدار")</f>
        <v>20</v>
      </c>
      <c r="G8" s="23">
        <f>COUNTIF('AC Company v40'!$AE$4:$AE$33,"ناقص")</f>
        <v>0</v>
      </c>
      <c r="H8" s="23">
        <f>COUNTIF('AC Company v40'!$AE$4:$AE$33,"متعارض")</f>
        <v>0</v>
      </c>
      <c r="I8" s="23">
        <f>COUNTIF('AC Company v40'!$AE$4:$AE$33,"بررسی شده ولی افشا یافت نشد")+COUNTIF('AC Company v40'!$AE$4:$AE$33,"منبع در دسترس نبود")+COUNTIF('AC Company v40'!$AE$4:$AE$33,"هنوز بررسی نشده")</f>
        <v>10</v>
      </c>
      <c r="J8" s="23">
        <f>COUNTIF('AC Company v40'!$AE$4:$AE$33,"قابل اعمال نیست")</f>
        <v>0</v>
      </c>
      <c r="K8" s="23" t="s">
        <v>4905</v>
      </c>
    </row>
    <row r="9" spans="1:11" ht="20" customHeight="1" x14ac:dyDescent="0.2">
      <c r="A9" s="25" t="s">
        <v>4684</v>
      </c>
      <c r="B9" s="25">
        <v>0</v>
      </c>
      <c r="C9" s="25">
        <v>30</v>
      </c>
      <c r="D9" s="25">
        <f>COUNT('AC Company v40'!$AC$4:$AC$33)</f>
        <v>26</v>
      </c>
      <c r="E9" s="25">
        <f t="shared" si="0"/>
        <v>26</v>
      </c>
      <c r="F9" s="25">
        <f>COUNTIF('AC Company v40'!$J$4:$J$33,"تاییدشده")+COUNTIF('AC Company v40'!$J$4:$J$33,"تاییدشده با هشدار")</f>
        <v>27</v>
      </c>
      <c r="G9" s="25">
        <f>COUNTIF('AC Company v40'!$J$4:$J$33,"ناقص")</f>
        <v>2</v>
      </c>
      <c r="H9" s="25">
        <f>COUNTIF('AC Company v40'!$J$4:$J$33,"متعارض")</f>
        <v>0</v>
      </c>
      <c r="I9" s="25">
        <f>COUNTIF('AC Company v40'!$J$4:$J$33,"بررسی شده ولی افشا یافت نشد")+COUNTIF('AC Company v40'!$J$4:$J$33,"منبع در دسترس نبود")+COUNTIF('AC Company v40'!$J$4:$J$33,"هنوز بررسی نشده")</f>
        <v>1</v>
      </c>
      <c r="J9" s="25">
        <f>COUNTIF('AC Company v40'!$J$4:$J$33,"قابل اعمال نیست")</f>
        <v>0</v>
      </c>
      <c r="K9" s="25" t="s">
        <v>4906</v>
      </c>
    </row>
    <row r="10" spans="1:11" ht="20" customHeight="1" x14ac:dyDescent="0.2">
      <c r="A10" s="23" t="s">
        <v>4691</v>
      </c>
      <c r="B10" s="23">
        <v>0</v>
      </c>
      <c r="C10" s="23">
        <v>30</v>
      </c>
      <c r="D10" s="23">
        <f>COUNT('AC Company v40'!$AL$4:$AL$33)</f>
        <v>13</v>
      </c>
      <c r="E10" s="23">
        <f t="shared" si="0"/>
        <v>13</v>
      </c>
      <c r="F10" s="23">
        <f>COUNTIF('AC Company v40'!$AM$4:$AM$33,"تاییدشده")+COUNTIF('AC Company v40'!$AM$4:$AM$33,"تاییدشده با هشدار")</f>
        <v>7</v>
      </c>
      <c r="G10" s="23">
        <f>COUNTIF('AC Company v40'!$AM$4:$AM$33,"ناقص")</f>
        <v>13</v>
      </c>
      <c r="H10" s="23">
        <f>COUNTIF('AC Company v40'!$AM$4:$AM$33,"متعارض")</f>
        <v>0</v>
      </c>
      <c r="I10" s="23">
        <f>COUNTIF('AC Company v40'!$AM$4:$AM$33,"بررسی شده ولی افشا یافت نشد")+COUNTIF('AC Company v40'!$AM$4:$AM$33,"منبع در دسترس نبود")+COUNTIF('AC Company v40'!$AM$4:$AM$33,"هنوز بررسی نشده")</f>
        <v>10</v>
      </c>
      <c r="J10" s="23">
        <f>COUNTIF('AC Company v40'!$AM$4:$AM$33,"قابل اعمال نیست")</f>
        <v>0</v>
      </c>
      <c r="K10" s="23" t="s">
        <v>4906</v>
      </c>
    </row>
    <row r="11" spans="1:11" ht="20" customHeight="1" x14ac:dyDescent="0.2">
      <c r="A11" s="25" t="s">
        <v>4907</v>
      </c>
      <c r="B11" s="25"/>
      <c r="C11" s="25"/>
      <c r="D11" s="25">
        <f>COUNTIFS('AC Members v40'!$D$4:$D$148,"MEMBER")</f>
        <v>125</v>
      </c>
      <c r="E11" s="25"/>
      <c r="F11" s="25"/>
      <c r="G11" s="25"/>
      <c r="H11" s="25"/>
      <c r="I11" s="25"/>
      <c r="J11" s="25"/>
      <c r="K11" s="25" t="s">
        <v>4908</v>
      </c>
    </row>
    <row r="12" spans="1:11" ht="20" customHeight="1" x14ac:dyDescent="0.2">
      <c r="A12" s="23" t="s">
        <v>4909</v>
      </c>
      <c r="B12" s="23"/>
      <c r="C12" s="23"/>
      <c r="D12" s="23">
        <f>SUM('AC Members v40'!$U$4:$U$148)</f>
        <v>53</v>
      </c>
      <c r="E12" s="23"/>
      <c r="F12" s="23"/>
      <c r="G12" s="23"/>
      <c r="H12" s="23"/>
      <c r="I12" s="23"/>
      <c r="J12" s="23"/>
      <c r="K12" s="23" t="s">
        <v>4910</v>
      </c>
    </row>
    <row r="13" spans="1:11" ht="20" customHeight="1" x14ac:dyDescent="0.2">
      <c r="A13" s="25" t="s">
        <v>4911</v>
      </c>
      <c r="B13" s="25"/>
      <c r="C13" s="25"/>
      <c r="D13" s="25">
        <f>COUNTIFS('AC Members v40'!$D$4:$D$148,"MEMBER",'AC Members v40'!$J$4:$J$148,"Y")+COUNTIFS('AC Members v40'!$D$4:$D$148,"MEMBER",'AC Members v40'!$J$4:$J$148,"N")</f>
        <v>37</v>
      </c>
      <c r="E13" s="25"/>
      <c r="F13" s="25"/>
      <c r="G13" s="25"/>
      <c r="H13" s="25"/>
      <c r="I13" s="25"/>
      <c r="J13" s="25"/>
      <c r="K13" s="25" t="s">
        <v>4912</v>
      </c>
    </row>
    <row r="14" spans="1:11" ht="20" customHeight="1" x14ac:dyDescent="0.2">
      <c r="A14" s="23" t="s">
        <v>4913</v>
      </c>
      <c r="B14" s="23"/>
      <c r="C14" s="23"/>
      <c r="D14" s="23">
        <f>COUNTIFS('AC Members v40'!$D$4:$D$148,"MEMBER",'AC Members v40'!$N$4:$N$148,1)</f>
        <v>87</v>
      </c>
      <c r="E14" s="23"/>
      <c r="F14" s="23"/>
      <c r="G14" s="23"/>
      <c r="H14" s="23"/>
      <c r="I14" s="23"/>
      <c r="J14" s="23"/>
      <c r="K14" s="23" t="s">
        <v>4914</v>
      </c>
    </row>
  </sheetData>
  <mergeCells count="2">
    <mergeCell ref="A2:K2"/>
    <mergeCell ref="A1:K1"/>
  </mergeCells>
  <pageMargins left="0.75" right="0.75" top="1" bottom="1" header="0.5" footer="0.5"/>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rgb="FF548235"/>
  </sheetPr>
  <dimension ref="A1:F38"/>
  <sheetViews>
    <sheetView showGridLines="0" rightToLeft="1" workbookViewId="0">
      <pane xSplit="1" ySplit="3" topLeftCell="B4" activePane="bottomRight" state="frozen"/>
      <selection pane="topRight"/>
      <selection pane="bottomLeft"/>
      <selection pane="bottomRight"/>
    </sheetView>
  </sheetViews>
  <sheetFormatPr baseColWidth="10" defaultColWidth="8.83203125" defaultRowHeight="15" x14ac:dyDescent="0.2"/>
  <cols>
    <col min="1" max="1" width="28" customWidth="1"/>
    <col min="2" max="2" width="10" customWidth="1"/>
    <col min="3" max="4" width="40" customWidth="1"/>
    <col min="5" max="5" width="50" customWidth="1"/>
    <col min="6" max="6" width="22" customWidth="1"/>
  </cols>
  <sheetData>
    <row r="1" spans="1:6" ht="30" customHeight="1" x14ac:dyDescent="0.2">
      <c r="A1" s="87" t="s">
        <v>4915</v>
      </c>
      <c r="B1" s="76"/>
      <c r="C1" s="76"/>
      <c r="D1" s="76"/>
      <c r="E1" s="76"/>
      <c r="F1" s="76"/>
    </row>
    <row r="2" spans="1:6" ht="22" customHeight="1" x14ac:dyDescent="0.2">
      <c r="A2" s="85" t="s">
        <v>4916</v>
      </c>
      <c r="B2" s="76"/>
      <c r="C2" s="76"/>
      <c r="D2" s="76"/>
      <c r="E2" s="76"/>
      <c r="F2" s="76"/>
    </row>
    <row r="3" spans="1:6" ht="30" customHeight="1" x14ac:dyDescent="0.2">
      <c r="A3" s="24" t="s">
        <v>4917</v>
      </c>
      <c r="B3" s="24" t="s">
        <v>4918</v>
      </c>
      <c r="C3" s="24" t="s">
        <v>2679</v>
      </c>
      <c r="D3" s="24" t="s">
        <v>2680</v>
      </c>
      <c r="E3" s="24" t="s">
        <v>4919</v>
      </c>
      <c r="F3" s="24" t="s">
        <v>3590</v>
      </c>
    </row>
    <row r="4" spans="1:6" ht="20" customHeight="1" x14ac:dyDescent="0.2">
      <c r="A4" s="23" t="s">
        <v>388</v>
      </c>
      <c r="B4" s="23" t="s">
        <v>3301</v>
      </c>
      <c r="C4" s="23">
        <v>23</v>
      </c>
      <c r="D4" s="23">
        <v>29</v>
      </c>
      <c r="E4" s="23" t="s">
        <v>4920</v>
      </c>
      <c r="F4" s="23" t="s">
        <v>4921</v>
      </c>
    </row>
    <row r="5" spans="1:6" ht="29" customHeight="1" x14ac:dyDescent="0.2">
      <c r="A5" s="25" t="s">
        <v>388</v>
      </c>
      <c r="B5" s="25" t="s">
        <v>3412</v>
      </c>
      <c r="C5" s="25" t="s">
        <v>4922</v>
      </c>
      <c r="D5" s="25" t="s">
        <v>852</v>
      </c>
      <c r="E5" s="25" t="s">
        <v>4923</v>
      </c>
      <c r="F5" s="25" t="s">
        <v>4924</v>
      </c>
    </row>
    <row r="6" spans="1:6" ht="20" customHeight="1" x14ac:dyDescent="0.2">
      <c r="A6" s="23" t="s">
        <v>388</v>
      </c>
      <c r="B6" s="23" t="s">
        <v>4925</v>
      </c>
      <c r="C6" s="23" t="s">
        <v>4926</v>
      </c>
      <c r="D6" s="23" t="s">
        <v>854</v>
      </c>
      <c r="E6" s="23" t="s">
        <v>4927</v>
      </c>
      <c r="F6" s="23" t="s">
        <v>4928</v>
      </c>
    </row>
    <row r="7" spans="1:6" ht="20" customHeight="1" x14ac:dyDescent="0.2">
      <c r="A7" s="25" t="s">
        <v>388</v>
      </c>
      <c r="B7" s="25" t="s">
        <v>4929</v>
      </c>
      <c r="C7" s="25" t="s">
        <v>836</v>
      </c>
      <c r="D7" s="25" t="s">
        <v>824</v>
      </c>
      <c r="E7" s="25" t="s">
        <v>4930</v>
      </c>
      <c r="F7" s="25" t="s">
        <v>4924</v>
      </c>
    </row>
    <row r="8" spans="1:6" ht="20" customHeight="1" x14ac:dyDescent="0.2">
      <c r="A8" s="23" t="s">
        <v>388</v>
      </c>
      <c r="B8" s="23" t="s">
        <v>3442</v>
      </c>
      <c r="C8" s="23">
        <v>11</v>
      </c>
      <c r="D8" s="23">
        <v>27</v>
      </c>
      <c r="E8" s="23" t="s">
        <v>4931</v>
      </c>
      <c r="F8" s="23" t="s">
        <v>4921</v>
      </c>
    </row>
    <row r="9" spans="1:6" ht="29" customHeight="1" x14ac:dyDescent="0.2">
      <c r="A9" s="25" t="s">
        <v>388</v>
      </c>
      <c r="B9" s="25" t="s">
        <v>3510</v>
      </c>
      <c r="C9" s="25" t="s">
        <v>1902</v>
      </c>
      <c r="D9" s="25" t="s">
        <v>859</v>
      </c>
      <c r="E9" s="25" t="s">
        <v>4932</v>
      </c>
      <c r="F9" s="25" t="s">
        <v>4924</v>
      </c>
    </row>
    <row r="10" spans="1:6" ht="20" customHeight="1" x14ac:dyDescent="0.2">
      <c r="A10" s="23" t="s">
        <v>388</v>
      </c>
      <c r="B10" s="23" t="s">
        <v>4933</v>
      </c>
      <c r="C10" s="23" t="s">
        <v>1704</v>
      </c>
      <c r="D10" s="23" t="s">
        <v>861</v>
      </c>
      <c r="E10" s="23" t="s">
        <v>4927</v>
      </c>
      <c r="F10" s="23" t="s">
        <v>4928</v>
      </c>
    </row>
    <row r="11" spans="1:6" ht="20" customHeight="1" x14ac:dyDescent="0.2">
      <c r="A11" s="25" t="s">
        <v>388</v>
      </c>
      <c r="B11" s="25" t="s">
        <v>4934</v>
      </c>
      <c r="C11" s="25" t="s">
        <v>836</v>
      </c>
      <c r="D11" s="25" t="s">
        <v>824</v>
      </c>
      <c r="E11" s="25" t="s">
        <v>4935</v>
      </c>
      <c r="F11" s="25" t="s">
        <v>4924</v>
      </c>
    </row>
    <row r="12" spans="1:6" ht="20" customHeight="1" x14ac:dyDescent="0.2">
      <c r="A12" s="23" t="s">
        <v>395</v>
      </c>
      <c r="B12" s="23" t="s">
        <v>3380</v>
      </c>
      <c r="C12" s="23">
        <v>23</v>
      </c>
      <c r="D12" s="23">
        <v>29</v>
      </c>
      <c r="E12" s="23" t="s">
        <v>4936</v>
      </c>
      <c r="F12" s="23" t="s">
        <v>4921</v>
      </c>
    </row>
    <row r="13" spans="1:6" ht="20" customHeight="1" x14ac:dyDescent="0.2">
      <c r="A13" s="25" t="s">
        <v>395</v>
      </c>
      <c r="B13" s="25" t="s">
        <v>4937</v>
      </c>
      <c r="C13" s="25" t="s">
        <v>4938</v>
      </c>
      <c r="D13" s="25" t="s">
        <v>947</v>
      </c>
      <c r="E13" s="25" t="s">
        <v>4927</v>
      </c>
      <c r="F13" s="25" t="s">
        <v>4928</v>
      </c>
    </row>
    <row r="14" spans="1:6" ht="20" customHeight="1" x14ac:dyDescent="0.2">
      <c r="A14" s="23" t="s">
        <v>395</v>
      </c>
      <c r="B14" s="23" t="s">
        <v>3424</v>
      </c>
      <c r="C14" s="23">
        <v>11</v>
      </c>
      <c r="D14" s="23">
        <v>27</v>
      </c>
      <c r="E14" s="23" t="s">
        <v>4939</v>
      </c>
      <c r="F14" s="23" t="s">
        <v>4921</v>
      </c>
    </row>
    <row r="15" spans="1:6" ht="20" customHeight="1" x14ac:dyDescent="0.2">
      <c r="A15" s="25" t="s">
        <v>395</v>
      </c>
      <c r="B15" s="25" t="s">
        <v>2353</v>
      </c>
      <c r="C15" s="25" t="s">
        <v>2197</v>
      </c>
      <c r="D15" s="25" t="s">
        <v>957</v>
      </c>
      <c r="E15" s="25" t="s">
        <v>4927</v>
      </c>
      <c r="F15" s="25" t="s">
        <v>4928</v>
      </c>
    </row>
    <row r="16" spans="1:6" ht="20" customHeight="1" x14ac:dyDescent="0.2">
      <c r="A16" s="23" t="s">
        <v>3567</v>
      </c>
      <c r="B16" s="23" t="s">
        <v>3301</v>
      </c>
      <c r="C16" s="23" t="s">
        <v>2461</v>
      </c>
      <c r="D16" s="23" t="s">
        <v>2522</v>
      </c>
      <c r="E16" s="23" t="s">
        <v>4940</v>
      </c>
      <c r="F16" s="23" t="s">
        <v>4921</v>
      </c>
    </row>
    <row r="17" spans="1:6" ht="20" customHeight="1" x14ac:dyDescent="0.2">
      <c r="A17" s="25" t="s">
        <v>3567</v>
      </c>
      <c r="B17" s="25" t="s">
        <v>3302</v>
      </c>
      <c r="C17" s="25" t="s">
        <v>2461</v>
      </c>
      <c r="D17" s="25" t="s">
        <v>2522</v>
      </c>
      <c r="E17" s="25" t="s">
        <v>4941</v>
      </c>
      <c r="F17" s="25" t="s">
        <v>4921</v>
      </c>
    </row>
    <row r="18" spans="1:6" ht="20" customHeight="1" x14ac:dyDescent="0.2">
      <c r="A18" s="23" t="s">
        <v>3567</v>
      </c>
      <c r="B18" s="23" t="s">
        <v>3442</v>
      </c>
      <c r="C18" s="23" t="s">
        <v>4942</v>
      </c>
      <c r="D18" s="23" t="s">
        <v>2374</v>
      </c>
      <c r="E18" s="23" t="s">
        <v>4943</v>
      </c>
      <c r="F18" s="23" t="s">
        <v>4921</v>
      </c>
    </row>
    <row r="19" spans="1:6" ht="20" customHeight="1" x14ac:dyDescent="0.2">
      <c r="A19" s="25" t="s">
        <v>3567</v>
      </c>
      <c r="B19" s="25" t="s">
        <v>3505</v>
      </c>
      <c r="C19" s="25" t="s">
        <v>4942</v>
      </c>
      <c r="D19" s="25" t="s">
        <v>2374</v>
      </c>
      <c r="E19" s="25" t="s">
        <v>4944</v>
      </c>
      <c r="F19" s="25" t="s">
        <v>4921</v>
      </c>
    </row>
    <row r="20" spans="1:6" ht="29" customHeight="1" x14ac:dyDescent="0.2">
      <c r="A20" s="23" t="s">
        <v>2625</v>
      </c>
      <c r="B20" s="23" t="s">
        <v>3301</v>
      </c>
      <c r="C20" s="23" t="s">
        <v>2461</v>
      </c>
      <c r="D20" s="23" t="s">
        <v>2522</v>
      </c>
      <c r="E20" s="23" t="s">
        <v>4940</v>
      </c>
      <c r="F20" s="23" t="s">
        <v>4921</v>
      </c>
    </row>
    <row r="21" spans="1:6" ht="29" customHeight="1" x14ac:dyDescent="0.2">
      <c r="A21" s="25" t="s">
        <v>2625</v>
      </c>
      <c r="B21" s="25" t="s">
        <v>3302</v>
      </c>
      <c r="C21" s="25" t="s">
        <v>2461</v>
      </c>
      <c r="D21" s="25" t="s">
        <v>2522</v>
      </c>
      <c r="E21" s="25" t="s">
        <v>4941</v>
      </c>
      <c r="F21" s="25" t="s">
        <v>4921</v>
      </c>
    </row>
    <row r="22" spans="1:6" ht="29" customHeight="1" x14ac:dyDescent="0.2">
      <c r="A22" s="23" t="s">
        <v>2625</v>
      </c>
      <c r="B22" s="23" t="s">
        <v>3442</v>
      </c>
      <c r="C22" s="23" t="s">
        <v>4942</v>
      </c>
      <c r="D22" s="23" t="s">
        <v>2374</v>
      </c>
      <c r="E22" s="23" t="s">
        <v>4943</v>
      </c>
      <c r="F22" s="23" t="s">
        <v>4921</v>
      </c>
    </row>
    <row r="23" spans="1:6" ht="29" customHeight="1" x14ac:dyDescent="0.2">
      <c r="A23" s="25" t="s">
        <v>2625</v>
      </c>
      <c r="B23" s="25" t="s">
        <v>3505</v>
      </c>
      <c r="C23" s="25" t="s">
        <v>4942</v>
      </c>
      <c r="D23" s="25" t="s">
        <v>2374</v>
      </c>
      <c r="E23" s="25" t="s">
        <v>4944</v>
      </c>
      <c r="F23" s="25" t="s">
        <v>4921</v>
      </c>
    </row>
    <row r="24" spans="1:6" ht="29" customHeight="1" x14ac:dyDescent="0.2">
      <c r="A24" s="23" t="s">
        <v>2625</v>
      </c>
      <c r="B24" s="23" t="s">
        <v>4945</v>
      </c>
      <c r="C24" s="23" t="s">
        <v>2652</v>
      </c>
      <c r="D24" s="23" t="s">
        <v>2367</v>
      </c>
      <c r="E24" s="23" t="s">
        <v>4946</v>
      </c>
      <c r="F24" s="23" t="s">
        <v>4921</v>
      </c>
    </row>
    <row r="25" spans="1:6" ht="29" customHeight="1" x14ac:dyDescent="0.2">
      <c r="A25" s="25" t="s">
        <v>2625</v>
      </c>
      <c r="B25" s="25" t="s">
        <v>3210</v>
      </c>
      <c r="C25" s="25" t="s">
        <v>4947</v>
      </c>
      <c r="D25" s="25" t="s">
        <v>2374</v>
      </c>
      <c r="E25" s="25" t="s">
        <v>4948</v>
      </c>
      <c r="F25" s="25" t="s">
        <v>4921</v>
      </c>
    </row>
    <row r="26" spans="1:6" ht="29" customHeight="1" x14ac:dyDescent="0.2">
      <c r="A26" s="23" t="s">
        <v>2625</v>
      </c>
      <c r="B26" s="23" t="s">
        <v>4949</v>
      </c>
      <c r="C26" s="23" t="s">
        <v>4950</v>
      </c>
      <c r="D26" s="23" t="s">
        <v>2374</v>
      </c>
      <c r="E26" s="23" t="s">
        <v>4948</v>
      </c>
      <c r="F26" s="23" t="s">
        <v>4921</v>
      </c>
    </row>
    <row r="27" spans="1:6" ht="29" customHeight="1" x14ac:dyDescent="0.2">
      <c r="A27" s="25" t="s">
        <v>2625</v>
      </c>
      <c r="B27" s="25" t="s">
        <v>4951</v>
      </c>
      <c r="C27" s="25" t="s">
        <v>4952</v>
      </c>
      <c r="D27" s="25" t="s">
        <v>2383</v>
      </c>
      <c r="E27" s="25" t="s">
        <v>4953</v>
      </c>
      <c r="F27" s="25" t="s">
        <v>4921</v>
      </c>
    </row>
    <row r="28" spans="1:6" ht="29" customHeight="1" x14ac:dyDescent="0.2">
      <c r="A28" s="23" t="s">
        <v>2625</v>
      </c>
      <c r="B28" s="23" t="s">
        <v>4954</v>
      </c>
      <c r="C28" s="23" t="s">
        <v>4955</v>
      </c>
      <c r="D28" s="23" t="s">
        <v>2383</v>
      </c>
      <c r="E28" s="23" t="s">
        <v>4953</v>
      </c>
      <c r="F28" s="23" t="s">
        <v>4921</v>
      </c>
    </row>
    <row r="29" spans="1:6" ht="20" customHeight="1" x14ac:dyDescent="0.2">
      <c r="A29" s="25" t="s">
        <v>4956</v>
      </c>
      <c r="B29" s="25" t="s">
        <v>4957</v>
      </c>
      <c r="C29" s="25" t="s">
        <v>4947</v>
      </c>
      <c r="D29" s="25" t="s">
        <v>2374</v>
      </c>
      <c r="E29" s="25" t="s">
        <v>4958</v>
      </c>
      <c r="F29" s="25" t="s">
        <v>4921</v>
      </c>
    </row>
    <row r="30" spans="1:6" ht="20" customHeight="1" x14ac:dyDescent="0.2">
      <c r="A30" s="23" t="s">
        <v>4956</v>
      </c>
      <c r="B30" s="23" t="s">
        <v>4959</v>
      </c>
      <c r="C30" s="23" t="s">
        <v>4952</v>
      </c>
      <c r="D30" s="23" t="s">
        <v>2383</v>
      </c>
      <c r="E30" s="23" t="s">
        <v>4960</v>
      </c>
      <c r="F30" s="23" t="s">
        <v>4921</v>
      </c>
    </row>
    <row r="31" spans="1:6" ht="20" customHeight="1" x14ac:dyDescent="0.2">
      <c r="A31" s="25" t="s">
        <v>4961</v>
      </c>
      <c r="B31" s="25" t="s">
        <v>3560</v>
      </c>
      <c r="C31" s="25" t="s">
        <v>4947</v>
      </c>
      <c r="D31" s="25" t="s">
        <v>2374</v>
      </c>
      <c r="E31" s="25" t="s">
        <v>4958</v>
      </c>
      <c r="F31" s="25" t="s">
        <v>4921</v>
      </c>
    </row>
    <row r="32" spans="1:6" ht="20" customHeight="1" x14ac:dyDescent="0.2">
      <c r="A32" s="23" t="s">
        <v>4961</v>
      </c>
      <c r="B32" s="23" t="s">
        <v>3565</v>
      </c>
      <c r="C32" s="23" t="s">
        <v>4952</v>
      </c>
      <c r="D32" s="23" t="s">
        <v>2383</v>
      </c>
      <c r="E32" s="23" t="s">
        <v>4960</v>
      </c>
      <c r="F32" s="23" t="s">
        <v>4921</v>
      </c>
    </row>
    <row r="33" spans="1:6" ht="20" customHeight="1" x14ac:dyDescent="0.2">
      <c r="A33" s="25" t="s">
        <v>4962</v>
      </c>
      <c r="B33" s="25" t="s">
        <v>4963</v>
      </c>
      <c r="C33" s="25" t="s">
        <v>4947</v>
      </c>
      <c r="D33" s="25" t="s">
        <v>2374</v>
      </c>
      <c r="E33" s="25" t="s">
        <v>4958</v>
      </c>
      <c r="F33" s="25" t="s">
        <v>4921</v>
      </c>
    </row>
    <row r="34" spans="1:6" ht="20" customHeight="1" x14ac:dyDescent="0.2">
      <c r="A34" s="23" t="s">
        <v>4962</v>
      </c>
      <c r="B34" s="23" t="s">
        <v>4964</v>
      </c>
      <c r="C34" s="23" t="s">
        <v>4952</v>
      </c>
      <c r="D34" s="23" t="s">
        <v>2383</v>
      </c>
      <c r="E34" s="23" t="s">
        <v>4960</v>
      </c>
      <c r="F34" s="23" t="s">
        <v>4921</v>
      </c>
    </row>
    <row r="35" spans="1:6" ht="20" customHeight="1" x14ac:dyDescent="0.2">
      <c r="A35" s="25" t="s">
        <v>4965</v>
      </c>
      <c r="B35" s="25" t="s">
        <v>2160</v>
      </c>
      <c r="C35" s="25">
        <v>2</v>
      </c>
      <c r="D35" s="25">
        <v>27</v>
      </c>
      <c r="E35" s="25" t="s">
        <v>4966</v>
      </c>
      <c r="F35" s="25" t="s">
        <v>4921</v>
      </c>
    </row>
    <row r="36" spans="1:6" ht="20" customHeight="1" x14ac:dyDescent="0.2">
      <c r="A36" s="23" t="s">
        <v>4965</v>
      </c>
      <c r="B36" s="23" t="s">
        <v>2165</v>
      </c>
      <c r="C36" s="23">
        <v>12</v>
      </c>
      <c r="D36" s="23">
        <v>20</v>
      </c>
      <c r="E36" s="23" t="s">
        <v>4967</v>
      </c>
      <c r="F36" s="23" t="s">
        <v>4921</v>
      </c>
    </row>
    <row r="37" spans="1:6" ht="29" customHeight="1" x14ac:dyDescent="0.2">
      <c r="A37" s="25" t="s">
        <v>3308</v>
      </c>
      <c r="B37" s="25" t="s">
        <v>3444</v>
      </c>
      <c r="C37" s="25" t="s">
        <v>667</v>
      </c>
      <c r="D37" s="25" t="s">
        <v>659</v>
      </c>
      <c r="E37" s="25" t="s">
        <v>4968</v>
      </c>
      <c r="F37" s="25" t="s">
        <v>4924</v>
      </c>
    </row>
    <row r="38" spans="1:6" ht="29" customHeight="1" x14ac:dyDescent="0.2">
      <c r="A38" s="23" t="s">
        <v>3308</v>
      </c>
      <c r="B38" s="23" t="s">
        <v>3434</v>
      </c>
      <c r="C38" s="23" t="s">
        <v>4969</v>
      </c>
      <c r="D38" s="23" t="s">
        <v>661</v>
      </c>
      <c r="E38" s="23" t="s">
        <v>4970</v>
      </c>
      <c r="F38" s="23" t="s">
        <v>4924</v>
      </c>
    </row>
  </sheetData>
  <mergeCells count="2">
    <mergeCell ref="A2:F2"/>
    <mergeCell ref="A1:F1"/>
  </mergeCells>
  <pageMargins left="0.75" right="0.75" top="1" bottom="1" header="0.5" footer="0.5"/>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M33"/>
  <sheetViews>
    <sheetView showGridLines="0" rightToLeft="1" workbookViewId="0">
      <pane xSplit="2" ySplit="3" topLeftCell="C4" activePane="bottomRight" state="frozen"/>
      <selection pane="topRight"/>
      <selection pane="bottomLeft"/>
      <selection pane="bottomRight"/>
    </sheetView>
  </sheetViews>
  <sheetFormatPr baseColWidth="10" defaultColWidth="8.83203125" defaultRowHeight="15" x14ac:dyDescent="0.2"/>
  <cols>
    <col min="1" max="1" width="7" customWidth="1"/>
    <col min="2" max="2" width="10" customWidth="1"/>
    <col min="3" max="3" width="30" customWidth="1"/>
    <col min="4" max="4" width="12" customWidth="1"/>
    <col min="5" max="5" width="14" customWidth="1"/>
    <col min="6" max="6" width="60" customWidth="1"/>
    <col min="7" max="7" width="22" customWidth="1"/>
    <col min="8" max="10" width="12" customWidth="1"/>
    <col min="11" max="11" width="16" customWidth="1"/>
    <col min="12" max="12" width="14" customWidth="1"/>
    <col min="13" max="13" width="28" customWidth="1"/>
  </cols>
  <sheetData>
    <row r="1" spans="1:13" ht="30" customHeight="1" x14ac:dyDescent="0.2">
      <c r="A1" s="88" t="s">
        <v>4971</v>
      </c>
      <c r="B1" s="76"/>
      <c r="C1" s="76"/>
      <c r="D1" s="76"/>
      <c r="E1" s="76"/>
      <c r="F1" s="76"/>
      <c r="G1" s="76"/>
      <c r="H1" s="76"/>
      <c r="I1" s="76"/>
      <c r="J1" s="76"/>
      <c r="K1" s="76"/>
      <c r="L1" s="76"/>
      <c r="M1" s="76"/>
    </row>
    <row r="2" spans="1:13" ht="22" customHeight="1" x14ac:dyDescent="0.2">
      <c r="A2" s="85" t="s">
        <v>4972</v>
      </c>
      <c r="B2" s="76"/>
      <c r="C2" s="76"/>
      <c r="D2" s="76"/>
      <c r="E2" s="76"/>
      <c r="F2" s="76"/>
      <c r="G2" s="76"/>
      <c r="H2" s="76"/>
      <c r="I2" s="76"/>
      <c r="J2" s="76"/>
      <c r="K2" s="76"/>
      <c r="L2" s="76"/>
      <c r="M2" s="76"/>
    </row>
    <row r="3" spans="1:13" ht="42" customHeight="1" x14ac:dyDescent="0.2">
      <c r="A3" s="69" t="s">
        <v>257</v>
      </c>
      <c r="B3" s="69" t="s">
        <v>2677</v>
      </c>
      <c r="C3" s="69" t="s">
        <v>4973</v>
      </c>
      <c r="D3" s="69" t="s">
        <v>4974</v>
      </c>
      <c r="E3" s="69" t="s">
        <v>4975</v>
      </c>
      <c r="F3" s="69" t="s">
        <v>4976</v>
      </c>
      <c r="G3" s="69" t="s">
        <v>1281</v>
      </c>
      <c r="H3" s="69" t="s">
        <v>4977</v>
      </c>
      <c r="I3" s="69" t="s">
        <v>4978</v>
      </c>
      <c r="J3" s="69" t="s">
        <v>4979</v>
      </c>
      <c r="K3" s="69" t="s">
        <v>4980</v>
      </c>
      <c r="L3" s="69" t="s">
        <v>4981</v>
      </c>
      <c r="M3" s="69" t="s">
        <v>107</v>
      </c>
    </row>
    <row r="4" spans="1:13" ht="29" customHeight="1" x14ac:dyDescent="0.2">
      <c r="A4" s="70" t="s">
        <v>4982</v>
      </c>
      <c r="B4" s="70" t="s">
        <v>109</v>
      </c>
      <c r="C4" s="70" t="s">
        <v>4983</v>
      </c>
      <c r="D4" s="70" t="s">
        <v>4984</v>
      </c>
      <c r="E4" s="70" t="s">
        <v>1859</v>
      </c>
      <c r="F4" s="70" t="s">
        <v>4985</v>
      </c>
      <c r="G4" s="70" t="s">
        <v>4348</v>
      </c>
      <c r="H4" s="70" t="s">
        <v>1858</v>
      </c>
      <c r="I4" s="70" t="s">
        <v>1859</v>
      </c>
      <c r="J4" s="70">
        <v>366</v>
      </c>
      <c r="K4" s="70">
        <v>0</v>
      </c>
      <c r="L4" s="70" t="s">
        <v>4986</v>
      </c>
      <c r="M4" s="70"/>
    </row>
    <row r="5" spans="1:13" ht="29" customHeight="1" x14ac:dyDescent="0.2">
      <c r="A5" s="71" t="s">
        <v>4987</v>
      </c>
      <c r="B5" s="71" t="s">
        <v>117</v>
      </c>
      <c r="C5" s="71" t="s">
        <v>4988</v>
      </c>
      <c r="D5" s="71" t="s">
        <v>4989</v>
      </c>
      <c r="E5" s="71" t="s">
        <v>4357</v>
      </c>
      <c r="F5" s="71" t="s">
        <v>4990</v>
      </c>
      <c r="G5" s="71" t="s">
        <v>4355</v>
      </c>
      <c r="H5" s="71" t="s">
        <v>1858</v>
      </c>
      <c r="I5" s="71" t="s">
        <v>1859</v>
      </c>
      <c r="J5" s="71">
        <v>63</v>
      </c>
      <c r="K5" s="71">
        <v>303</v>
      </c>
      <c r="L5" s="71" t="s">
        <v>4986</v>
      </c>
      <c r="M5" s="71" t="s">
        <v>4991</v>
      </c>
    </row>
    <row r="6" spans="1:13" ht="29" customHeight="1" x14ac:dyDescent="0.2">
      <c r="A6" s="70" t="s">
        <v>4992</v>
      </c>
      <c r="B6" s="70" t="s">
        <v>126</v>
      </c>
      <c r="C6" s="70" t="s">
        <v>4993</v>
      </c>
      <c r="D6" s="70" t="s">
        <v>4994</v>
      </c>
      <c r="E6" s="70" t="s">
        <v>4364</v>
      </c>
      <c r="F6" s="70" t="s">
        <v>4995</v>
      </c>
      <c r="G6" s="70" t="s">
        <v>4362</v>
      </c>
      <c r="H6" s="70" t="s">
        <v>1858</v>
      </c>
      <c r="I6" s="70" t="s">
        <v>1859</v>
      </c>
      <c r="J6" s="70">
        <v>94</v>
      </c>
      <c r="K6" s="70">
        <v>272</v>
      </c>
      <c r="L6" s="70" t="s">
        <v>4986</v>
      </c>
      <c r="M6" s="70" t="s">
        <v>4991</v>
      </c>
    </row>
    <row r="7" spans="1:13" ht="29" customHeight="1" x14ac:dyDescent="0.2">
      <c r="A7" s="71" t="s">
        <v>4996</v>
      </c>
      <c r="B7" s="71" t="s">
        <v>131</v>
      </c>
      <c r="C7" s="71" t="s">
        <v>4997</v>
      </c>
      <c r="D7" s="71" t="s">
        <v>4984</v>
      </c>
      <c r="E7" s="71" t="s">
        <v>1859</v>
      </c>
      <c r="F7" s="71" t="s">
        <v>4998</v>
      </c>
      <c r="G7" s="71" t="s">
        <v>4369</v>
      </c>
      <c r="H7" s="71" t="s">
        <v>1858</v>
      </c>
      <c r="I7" s="71" t="s">
        <v>1859</v>
      </c>
      <c r="J7" s="71">
        <v>366</v>
      </c>
      <c r="K7" s="71">
        <v>0</v>
      </c>
      <c r="L7" s="71" t="s">
        <v>4986</v>
      </c>
      <c r="M7" s="71"/>
    </row>
    <row r="8" spans="1:13" ht="29" customHeight="1" x14ac:dyDescent="0.2">
      <c r="A8" s="70" t="s">
        <v>4999</v>
      </c>
      <c r="B8" s="70" t="s">
        <v>135</v>
      </c>
      <c r="C8" s="70" t="s">
        <v>5000</v>
      </c>
      <c r="D8" s="70" t="s">
        <v>4984</v>
      </c>
      <c r="E8" s="70" t="s">
        <v>1859</v>
      </c>
      <c r="F8" s="70" t="s">
        <v>5001</v>
      </c>
      <c r="G8" s="70" t="s">
        <v>4372</v>
      </c>
      <c r="H8" s="70" t="s">
        <v>1858</v>
      </c>
      <c r="I8" s="70" t="s">
        <v>1859</v>
      </c>
      <c r="J8" s="70">
        <v>366</v>
      </c>
      <c r="K8" s="70">
        <v>0</v>
      </c>
      <c r="L8" s="70" t="s">
        <v>4986</v>
      </c>
      <c r="M8" s="70"/>
    </row>
    <row r="9" spans="1:13" ht="29" customHeight="1" x14ac:dyDescent="0.2">
      <c r="A9" s="71" t="s">
        <v>5002</v>
      </c>
      <c r="B9" s="71" t="s">
        <v>137</v>
      </c>
      <c r="C9" s="71" t="s">
        <v>5003</v>
      </c>
      <c r="D9" s="71" t="s">
        <v>4984</v>
      </c>
      <c r="E9" s="71" t="s">
        <v>1859</v>
      </c>
      <c r="F9" s="71" t="s">
        <v>5004</v>
      </c>
      <c r="G9" s="71" t="s">
        <v>2195</v>
      </c>
      <c r="H9" s="71" t="s">
        <v>1858</v>
      </c>
      <c r="I9" s="71" t="s">
        <v>1859</v>
      </c>
      <c r="J9" s="71">
        <v>366</v>
      </c>
      <c r="K9" s="71">
        <v>0</v>
      </c>
      <c r="L9" s="71" t="s">
        <v>4986</v>
      </c>
      <c r="M9" s="71"/>
    </row>
    <row r="10" spans="1:13" ht="29" customHeight="1" x14ac:dyDescent="0.2">
      <c r="A10" s="70" t="s">
        <v>5005</v>
      </c>
      <c r="B10" s="70" t="s">
        <v>140</v>
      </c>
      <c r="C10" s="70" t="s">
        <v>5006</v>
      </c>
      <c r="D10" s="70" t="s">
        <v>4984</v>
      </c>
      <c r="E10" s="70" t="s">
        <v>1859</v>
      </c>
      <c r="F10" s="70" t="s">
        <v>5007</v>
      </c>
      <c r="G10" s="70" t="s">
        <v>4377</v>
      </c>
      <c r="H10" s="70" t="s">
        <v>1858</v>
      </c>
      <c r="I10" s="70" t="s">
        <v>1859</v>
      </c>
      <c r="J10" s="70">
        <v>366</v>
      </c>
      <c r="K10" s="70">
        <v>0</v>
      </c>
      <c r="L10" s="70" t="s">
        <v>4986</v>
      </c>
      <c r="M10" s="70"/>
    </row>
    <row r="11" spans="1:13" ht="29" customHeight="1" x14ac:dyDescent="0.2">
      <c r="A11" s="71" t="s">
        <v>5008</v>
      </c>
      <c r="B11" s="71" t="s">
        <v>143</v>
      </c>
      <c r="C11" s="71" t="s">
        <v>5009</v>
      </c>
      <c r="D11" s="71" t="s">
        <v>4984</v>
      </c>
      <c r="E11" s="71" t="s">
        <v>1859</v>
      </c>
      <c r="F11" s="71" t="s">
        <v>5010</v>
      </c>
      <c r="G11" s="71" t="s">
        <v>1315</v>
      </c>
      <c r="H11" s="71" t="s">
        <v>1858</v>
      </c>
      <c r="I11" s="71" t="s">
        <v>1859</v>
      </c>
      <c r="J11" s="71">
        <v>366</v>
      </c>
      <c r="K11" s="71">
        <v>0</v>
      </c>
      <c r="L11" s="71" t="s">
        <v>4986</v>
      </c>
      <c r="M11" s="71"/>
    </row>
    <row r="12" spans="1:13" ht="29" customHeight="1" x14ac:dyDescent="0.2">
      <c r="A12" s="70" t="s">
        <v>5011</v>
      </c>
      <c r="B12" s="70" t="s">
        <v>20</v>
      </c>
      <c r="C12" s="70" t="s">
        <v>5012</v>
      </c>
      <c r="D12" s="70" t="s">
        <v>4984</v>
      </c>
      <c r="E12" s="70" t="s">
        <v>1859</v>
      </c>
      <c r="F12" s="70" t="s">
        <v>5013</v>
      </c>
      <c r="G12" s="70" t="s">
        <v>1326</v>
      </c>
      <c r="H12" s="70" t="s">
        <v>1858</v>
      </c>
      <c r="I12" s="70" t="s">
        <v>1859</v>
      </c>
      <c r="J12" s="70">
        <v>366</v>
      </c>
      <c r="K12" s="70">
        <v>0</v>
      </c>
      <c r="L12" s="70" t="s">
        <v>4986</v>
      </c>
      <c r="M12" s="70"/>
    </row>
    <row r="13" spans="1:13" ht="29" customHeight="1" x14ac:dyDescent="0.2">
      <c r="A13" s="71" t="s">
        <v>3444</v>
      </c>
      <c r="B13" s="71" t="s">
        <v>151</v>
      </c>
      <c r="C13" s="71" t="s">
        <v>5014</v>
      </c>
      <c r="D13" s="71" t="s">
        <v>4984</v>
      </c>
      <c r="E13" s="71" t="s">
        <v>1859</v>
      </c>
      <c r="F13" s="71" t="s">
        <v>5015</v>
      </c>
      <c r="G13" s="71" t="s">
        <v>5016</v>
      </c>
      <c r="H13" s="71" t="s">
        <v>1858</v>
      </c>
      <c r="I13" s="71" t="s">
        <v>1859</v>
      </c>
      <c r="J13" s="71">
        <v>366</v>
      </c>
      <c r="K13" s="71">
        <v>0</v>
      </c>
      <c r="L13" s="71" t="s">
        <v>4986</v>
      </c>
      <c r="M13" s="71"/>
    </row>
    <row r="14" spans="1:13" ht="29" customHeight="1" x14ac:dyDescent="0.2">
      <c r="A14" s="70" t="s">
        <v>5017</v>
      </c>
      <c r="B14" s="70" t="s">
        <v>157</v>
      </c>
      <c r="C14" s="70" t="s">
        <v>5018</v>
      </c>
      <c r="D14" s="70" t="s">
        <v>4984</v>
      </c>
      <c r="E14" s="70" t="s">
        <v>1859</v>
      </c>
      <c r="F14" s="70" t="s">
        <v>5019</v>
      </c>
      <c r="G14" s="70" t="s">
        <v>4390</v>
      </c>
      <c r="H14" s="70" t="s">
        <v>1858</v>
      </c>
      <c r="I14" s="70" t="s">
        <v>1859</v>
      </c>
      <c r="J14" s="70">
        <v>366</v>
      </c>
      <c r="K14" s="70">
        <v>0</v>
      </c>
      <c r="L14" s="70" t="s">
        <v>4986</v>
      </c>
      <c r="M14" s="70"/>
    </row>
    <row r="15" spans="1:13" ht="29" customHeight="1" x14ac:dyDescent="0.2">
      <c r="A15" s="71" t="s">
        <v>5020</v>
      </c>
      <c r="B15" s="71" t="s">
        <v>159</v>
      </c>
      <c r="C15" s="71" t="s">
        <v>5021</v>
      </c>
      <c r="D15" s="71" t="s">
        <v>4994</v>
      </c>
      <c r="E15" s="71" t="s">
        <v>4364</v>
      </c>
      <c r="F15" s="71" t="s">
        <v>5022</v>
      </c>
      <c r="G15" s="71" t="s">
        <v>4392</v>
      </c>
      <c r="H15" s="71" t="s">
        <v>1858</v>
      </c>
      <c r="I15" s="71" t="s">
        <v>1859</v>
      </c>
      <c r="J15" s="71">
        <v>94</v>
      </c>
      <c r="K15" s="71">
        <v>272</v>
      </c>
      <c r="L15" s="71" t="s">
        <v>4986</v>
      </c>
      <c r="M15" s="71" t="s">
        <v>4991</v>
      </c>
    </row>
    <row r="16" spans="1:13" ht="29" customHeight="1" x14ac:dyDescent="0.2">
      <c r="A16" s="70" t="s">
        <v>3326</v>
      </c>
      <c r="B16" s="70" t="s">
        <v>162</v>
      </c>
      <c r="C16" s="70" t="s">
        <v>5023</v>
      </c>
      <c r="D16" s="70" t="s">
        <v>4984</v>
      </c>
      <c r="E16" s="70" t="s">
        <v>1859</v>
      </c>
      <c r="F16" s="70" t="s">
        <v>5024</v>
      </c>
      <c r="G16" s="70" t="s">
        <v>4395</v>
      </c>
      <c r="H16" s="70" t="s">
        <v>1858</v>
      </c>
      <c r="I16" s="70" t="s">
        <v>1859</v>
      </c>
      <c r="J16" s="70">
        <v>366</v>
      </c>
      <c r="K16" s="70">
        <v>0</v>
      </c>
      <c r="L16" s="70" t="s">
        <v>4986</v>
      </c>
      <c r="M16" s="70"/>
    </row>
    <row r="17" spans="1:13" ht="29" customHeight="1" x14ac:dyDescent="0.2">
      <c r="A17" s="71" t="s">
        <v>3348</v>
      </c>
      <c r="B17" s="71" t="s">
        <v>165</v>
      </c>
      <c r="C17" s="71" t="s">
        <v>5025</v>
      </c>
      <c r="D17" s="71" t="s">
        <v>5026</v>
      </c>
      <c r="E17" s="71" t="s">
        <v>4400</v>
      </c>
      <c r="F17" s="71" t="s">
        <v>5027</v>
      </c>
      <c r="G17" s="71" t="s">
        <v>4398</v>
      </c>
      <c r="H17" s="71" t="s">
        <v>1858</v>
      </c>
      <c r="I17" s="71" t="s">
        <v>1859</v>
      </c>
      <c r="J17" s="71">
        <v>277</v>
      </c>
      <c r="K17" s="71">
        <v>89</v>
      </c>
      <c r="L17" s="71" t="s">
        <v>4986</v>
      </c>
      <c r="M17" s="71" t="s">
        <v>4991</v>
      </c>
    </row>
    <row r="18" spans="1:13" ht="29" customHeight="1" x14ac:dyDescent="0.2">
      <c r="A18" s="70" t="s">
        <v>3353</v>
      </c>
      <c r="B18" s="70" t="s">
        <v>168</v>
      </c>
      <c r="C18" s="70" t="s">
        <v>5028</v>
      </c>
      <c r="D18" s="70" t="s">
        <v>4984</v>
      </c>
      <c r="E18" s="70" t="s">
        <v>1859</v>
      </c>
      <c r="F18" s="70" t="s">
        <v>5029</v>
      </c>
      <c r="G18" s="70" t="s">
        <v>4404</v>
      </c>
      <c r="H18" s="70" t="s">
        <v>1858</v>
      </c>
      <c r="I18" s="70" t="s">
        <v>1859</v>
      </c>
      <c r="J18" s="70">
        <v>366</v>
      </c>
      <c r="K18" s="70">
        <v>0</v>
      </c>
      <c r="L18" s="70" t="s">
        <v>4986</v>
      </c>
      <c r="M18" s="70"/>
    </row>
    <row r="19" spans="1:13" ht="29" customHeight="1" x14ac:dyDescent="0.2">
      <c r="A19" s="71" t="s">
        <v>3360</v>
      </c>
      <c r="B19" s="71" t="s">
        <v>171</v>
      </c>
      <c r="C19" s="71" t="s">
        <v>5030</v>
      </c>
      <c r="D19" s="71" t="s">
        <v>4984</v>
      </c>
      <c r="E19" s="71" t="s">
        <v>1859</v>
      </c>
      <c r="F19" s="71" t="s">
        <v>5031</v>
      </c>
      <c r="G19" s="71" t="s">
        <v>1381</v>
      </c>
      <c r="H19" s="71" t="s">
        <v>1858</v>
      </c>
      <c r="I19" s="71" t="s">
        <v>1859</v>
      </c>
      <c r="J19" s="71">
        <v>366</v>
      </c>
      <c r="K19" s="71">
        <v>0</v>
      </c>
      <c r="L19" s="71" t="s">
        <v>4986</v>
      </c>
      <c r="M19" s="71"/>
    </row>
    <row r="20" spans="1:13" ht="29" customHeight="1" x14ac:dyDescent="0.2">
      <c r="A20" s="70" t="s">
        <v>5032</v>
      </c>
      <c r="B20" s="70" t="s">
        <v>174</v>
      </c>
      <c r="C20" s="70" t="s">
        <v>5033</v>
      </c>
      <c r="D20" s="70" t="s">
        <v>5034</v>
      </c>
      <c r="E20" s="70" t="s">
        <v>4400</v>
      </c>
      <c r="F20" s="70" t="s">
        <v>5035</v>
      </c>
      <c r="G20" s="70" t="s">
        <v>4408</v>
      </c>
      <c r="H20" s="70" t="s">
        <v>1858</v>
      </c>
      <c r="I20" s="70" t="s">
        <v>1859</v>
      </c>
      <c r="J20" s="70">
        <v>277</v>
      </c>
      <c r="K20" s="70">
        <v>89</v>
      </c>
      <c r="L20" s="70" t="s">
        <v>4986</v>
      </c>
      <c r="M20" s="70" t="s">
        <v>5036</v>
      </c>
    </row>
    <row r="21" spans="1:13" ht="29" customHeight="1" x14ac:dyDescent="0.2">
      <c r="A21" s="71" t="s">
        <v>4957</v>
      </c>
      <c r="B21" s="71" t="s">
        <v>179</v>
      </c>
      <c r="C21" s="71" t="s">
        <v>5037</v>
      </c>
      <c r="D21" s="71" t="s">
        <v>5034</v>
      </c>
      <c r="E21" s="71" t="s">
        <v>4400</v>
      </c>
      <c r="F21" s="71" t="s">
        <v>5038</v>
      </c>
      <c r="G21" s="71" t="s">
        <v>4412</v>
      </c>
      <c r="H21" s="71" t="s">
        <v>1858</v>
      </c>
      <c r="I21" s="71" t="s">
        <v>1859</v>
      </c>
      <c r="J21" s="71">
        <v>277</v>
      </c>
      <c r="K21" s="71">
        <v>89</v>
      </c>
      <c r="L21" s="71" t="s">
        <v>4986</v>
      </c>
      <c r="M21" s="71" t="s">
        <v>5036</v>
      </c>
    </row>
    <row r="22" spans="1:13" ht="29" customHeight="1" x14ac:dyDescent="0.2">
      <c r="A22" s="70" t="s">
        <v>4959</v>
      </c>
      <c r="B22" s="70" t="s">
        <v>182</v>
      </c>
      <c r="C22" s="70" t="s">
        <v>5039</v>
      </c>
      <c r="D22" s="70" t="s">
        <v>5040</v>
      </c>
      <c r="E22" s="70" t="s">
        <v>3879</v>
      </c>
      <c r="F22" s="70" t="s">
        <v>5041</v>
      </c>
      <c r="G22" s="70" t="s">
        <v>1398</v>
      </c>
      <c r="H22" s="70" t="s">
        <v>1858</v>
      </c>
      <c r="I22" s="70" t="s">
        <v>1859</v>
      </c>
      <c r="J22" s="70">
        <v>187</v>
      </c>
      <c r="K22" s="70">
        <v>179</v>
      </c>
      <c r="L22" s="70" t="s">
        <v>4986</v>
      </c>
      <c r="M22" s="70" t="s">
        <v>4991</v>
      </c>
    </row>
    <row r="23" spans="1:13" ht="29" customHeight="1" x14ac:dyDescent="0.2">
      <c r="A23" s="71" t="s">
        <v>5042</v>
      </c>
      <c r="B23" s="71" t="s">
        <v>187</v>
      </c>
      <c r="C23" s="71" t="s">
        <v>5043</v>
      </c>
      <c r="D23" s="71" t="s">
        <v>4984</v>
      </c>
      <c r="E23" s="71" t="s">
        <v>1859</v>
      </c>
      <c r="F23" s="71" t="s">
        <v>5044</v>
      </c>
      <c r="G23" s="71" t="s">
        <v>4420</v>
      </c>
      <c r="H23" s="71" t="s">
        <v>1858</v>
      </c>
      <c r="I23" s="71" t="s">
        <v>1859</v>
      </c>
      <c r="J23" s="71">
        <v>366</v>
      </c>
      <c r="K23" s="71">
        <v>0</v>
      </c>
      <c r="L23" s="71" t="s">
        <v>4986</v>
      </c>
      <c r="M23" s="71"/>
    </row>
    <row r="24" spans="1:13" ht="29" customHeight="1" x14ac:dyDescent="0.2">
      <c r="A24" s="70" t="s">
        <v>5045</v>
      </c>
      <c r="B24" s="70" t="s">
        <v>190</v>
      </c>
      <c r="C24" s="70" t="s">
        <v>5046</v>
      </c>
      <c r="D24" s="70" t="s">
        <v>4984</v>
      </c>
      <c r="E24" s="70" t="s">
        <v>1859</v>
      </c>
      <c r="F24" s="70" t="s">
        <v>5047</v>
      </c>
      <c r="G24" s="70" t="s">
        <v>4423</v>
      </c>
      <c r="H24" s="70" t="s">
        <v>1858</v>
      </c>
      <c r="I24" s="70" t="s">
        <v>1859</v>
      </c>
      <c r="J24" s="70">
        <v>366</v>
      </c>
      <c r="K24" s="70">
        <v>0</v>
      </c>
      <c r="L24" s="70" t="s">
        <v>4986</v>
      </c>
      <c r="M24" s="70"/>
    </row>
    <row r="25" spans="1:13" ht="29" customHeight="1" x14ac:dyDescent="0.2">
      <c r="A25" s="71" t="s">
        <v>3187</v>
      </c>
      <c r="B25" s="71" t="s">
        <v>196</v>
      </c>
      <c r="C25" s="71" t="s">
        <v>5048</v>
      </c>
      <c r="D25" s="71" t="s">
        <v>4984</v>
      </c>
      <c r="E25" s="71" t="s">
        <v>1859</v>
      </c>
      <c r="F25" s="71" t="s">
        <v>5049</v>
      </c>
      <c r="G25" s="71" t="s">
        <v>1423</v>
      </c>
      <c r="H25" s="71" t="s">
        <v>1858</v>
      </c>
      <c r="I25" s="71" t="s">
        <v>1859</v>
      </c>
      <c r="J25" s="71">
        <v>366</v>
      </c>
      <c r="K25" s="71">
        <v>0</v>
      </c>
      <c r="L25" s="71" t="s">
        <v>4986</v>
      </c>
      <c r="M25" s="71"/>
    </row>
    <row r="26" spans="1:13" ht="29" customHeight="1" x14ac:dyDescent="0.2">
      <c r="A26" s="70" t="s">
        <v>5050</v>
      </c>
      <c r="B26" s="70" t="s">
        <v>199</v>
      </c>
      <c r="C26" s="70" t="s">
        <v>5051</v>
      </c>
      <c r="D26" s="70" t="s">
        <v>5052</v>
      </c>
      <c r="E26" s="70" t="s">
        <v>4429</v>
      </c>
      <c r="F26" s="70" t="s">
        <v>5053</v>
      </c>
      <c r="G26" s="70" t="s">
        <v>1436</v>
      </c>
      <c r="H26" s="70" t="s">
        <v>1858</v>
      </c>
      <c r="I26" s="70" t="s">
        <v>1859</v>
      </c>
      <c r="J26" s="70">
        <v>307</v>
      </c>
      <c r="K26" s="70">
        <v>59</v>
      </c>
      <c r="L26" s="70" t="s">
        <v>4986</v>
      </c>
      <c r="M26" s="70" t="s">
        <v>4991</v>
      </c>
    </row>
    <row r="27" spans="1:13" ht="29" customHeight="1" x14ac:dyDescent="0.2">
      <c r="A27" s="71" t="s">
        <v>5054</v>
      </c>
      <c r="B27" s="71" t="s">
        <v>202</v>
      </c>
      <c r="C27" s="71" t="s">
        <v>5055</v>
      </c>
      <c r="D27" s="71" t="s">
        <v>4984</v>
      </c>
      <c r="E27" s="71" t="s">
        <v>1859</v>
      </c>
      <c r="F27" s="71" t="s">
        <v>5056</v>
      </c>
      <c r="G27" s="71" t="s">
        <v>4434</v>
      </c>
      <c r="H27" s="71" t="s">
        <v>1858</v>
      </c>
      <c r="I27" s="71" t="s">
        <v>1859</v>
      </c>
      <c r="J27" s="71">
        <v>366</v>
      </c>
      <c r="K27" s="71">
        <v>0</v>
      </c>
      <c r="L27" s="71" t="s">
        <v>4986</v>
      </c>
      <c r="M27" s="71"/>
    </row>
    <row r="28" spans="1:13" ht="29" customHeight="1" x14ac:dyDescent="0.2">
      <c r="A28" s="70" t="s">
        <v>5057</v>
      </c>
      <c r="B28" s="70" t="s">
        <v>206</v>
      </c>
      <c r="C28" s="70" t="s">
        <v>5058</v>
      </c>
      <c r="D28" s="70" t="s">
        <v>4984</v>
      </c>
      <c r="E28" s="70" t="s">
        <v>1859</v>
      </c>
      <c r="F28" s="70" t="s">
        <v>5059</v>
      </c>
      <c r="G28" s="70" t="s">
        <v>1455</v>
      </c>
      <c r="H28" s="70" t="s">
        <v>1858</v>
      </c>
      <c r="I28" s="70" t="s">
        <v>1859</v>
      </c>
      <c r="J28" s="70">
        <v>366</v>
      </c>
      <c r="K28" s="70">
        <v>0</v>
      </c>
      <c r="L28" s="70" t="s">
        <v>4986</v>
      </c>
      <c r="M28" s="70"/>
    </row>
    <row r="29" spans="1:13" ht="29" customHeight="1" x14ac:dyDescent="0.2">
      <c r="A29" s="71" t="s">
        <v>5060</v>
      </c>
      <c r="B29" s="71" t="s">
        <v>209</v>
      </c>
      <c r="C29" s="71" t="s">
        <v>5061</v>
      </c>
      <c r="D29" s="71" t="s">
        <v>4984</v>
      </c>
      <c r="E29" s="71" t="s">
        <v>1859</v>
      </c>
      <c r="F29" s="71" t="s">
        <v>5062</v>
      </c>
      <c r="G29" s="71" t="s">
        <v>4439</v>
      </c>
      <c r="H29" s="71" t="s">
        <v>1858</v>
      </c>
      <c r="I29" s="71" t="s">
        <v>1859</v>
      </c>
      <c r="J29" s="71">
        <v>366</v>
      </c>
      <c r="K29" s="71">
        <v>0</v>
      </c>
      <c r="L29" s="71" t="s">
        <v>4986</v>
      </c>
      <c r="M29" s="71"/>
    </row>
    <row r="30" spans="1:13" ht="29" customHeight="1" x14ac:dyDescent="0.2">
      <c r="A30" s="70" t="s">
        <v>5063</v>
      </c>
      <c r="B30" s="70" t="s">
        <v>212</v>
      </c>
      <c r="C30" s="70" t="s">
        <v>5064</v>
      </c>
      <c r="D30" s="70" t="s">
        <v>4984</v>
      </c>
      <c r="E30" s="70" t="s">
        <v>1859</v>
      </c>
      <c r="F30" s="70" t="s">
        <v>5065</v>
      </c>
      <c r="G30" s="70" t="s">
        <v>1470</v>
      </c>
      <c r="H30" s="70" t="s">
        <v>1858</v>
      </c>
      <c r="I30" s="70" t="s">
        <v>1859</v>
      </c>
      <c r="J30" s="70">
        <v>366</v>
      </c>
      <c r="K30" s="70">
        <v>0</v>
      </c>
      <c r="L30" s="70" t="s">
        <v>4986</v>
      </c>
      <c r="M30" s="70"/>
    </row>
    <row r="31" spans="1:13" ht="29" customHeight="1" x14ac:dyDescent="0.2">
      <c r="A31" s="71" t="s">
        <v>5066</v>
      </c>
      <c r="B31" s="71" t="s">
        <v>24</v>
      </c>
      <c r="C31" s="71" t="s">
        <v>5067</v>
      </c>
      <c r="D31" s="71" t="s">
        <v>4984</v>
      </c>
      <c r="E31" s="71" t="s">
        <v>1859</v>
      </c>
      <c r="F31" s="71" t="s">
        <v>5068</v>
      </c>
      <c r="G31" s="71" t="s">
        <v>1234</v>
      </c>
      <c r="H31" s="71" t="s">
        <v>1858</v>
      </c>
      <c r="I31" s="71" t="s">
        <v>1859</v>
      </c>
      <c r="J31" s="71">
        <v>366</v>
      </c>
      <c r="K31" s="71">
        <v>0</v>
      </c>
      <c r="L31" s="71" t="s">
        <v>5069</v>
      </c>
      <c r="M31" s="71"/>
    </row>
    <row r="32" spans="1:13" ht="29" customHeight="1" x14ac:dyDescent="0.2">
      <c r="A32" s="70" t="s">
        <v>5070</v>
      </c>
      <c r="B32" s="70" t="s">
        <v>28</v>
      </c>
      <c r="C32" s="70" t="s">
        <v>5071</v>
      </c>
      <c r="D32" s="70" t="s">
        <v>4994</v>
      </c>
      <c r="E32" s="70" t="s">
        <v>4364</v>
      </c>
      <c r="F32" s="70" t="s">
        <v>5072</v>
      </c>
      <c r="G32" s="70" t="s">
        <v>4450</v>
      </c>
      <c r="H32" s="70" t="s">
        <v>1858</v>
      </c>
      <c r="I32" s="70" t="s">
        <v>1859</v>
      </c>
      <c r="J32" s="70">
        <v>94</v>
      </c>
      <c r="K32" s="70">
        <v>272</v>
      </c>
      <c r="L32" s="70" t="s">
        <v>4986</v>
      </c>
      <c r="M32" s="70" t="s">
        <v>4991</v>
      </c>
    </row>
    <row r="33" spans="1:13" ht="29" customHeight="1" x14ac:dyDescent="0.2">
      <c r="A33" s="71" t="s">
        <v>5073</v>
      </c>
      <c r="B33" s="71" t="s">
        <v>222</v>
      </c>
      <c r="C33" s="71" t="s">
        <v>5074</v>
      </c>
      <c r="D33" s="71" t="s">
        <v>5040</v>
      </c>
      <c r="E33" s="71" t="s">
        <v>3879</v>
      </c>
      <c r="F33" s="71" t="s">
        <v>5075</v>
      </c>
      <c r="G33" s="71" t="s">
        <v>4454</v>
      </c>
      <c r="H33" s="71" t="s">
        <v>1858</v>
      </c>
      <c r="I33" s="71" t="s">
        <v>1859</v>
      </c>
      <c r="J33" s="71">
        <v>187</v>
      </c>
      <c r="K33" s="71">
        <v>179</v>
      </c>
      <c r="L33" s="71" t="s">
        <v>4986</v>
      </c>
      <c r="M33" s="71" t="s">
        <v>4991</v>
      </c>
    </row>
  </sheetData>
  <mergeCells count="2">
    <mergeCell ref="A2:M2"/>
    <mergeCell ref="A1:M1"/>
  </mergeCells>
  <pageMargins left="0.75" right="0.75" top="1" bottom="1" header="0.5" footer="0.5"/>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U148"/>
  <sheetViews>
    <sheetView showGridLines="0" rightToLeft="1" workbookViewId="0">
      <pane xSplit="4" ySplit="3" topLeftCell="E4" activePane="bottomRight" state="frozen"/>
      <selection pane="topRight"/>
      <selection pane="bottomLeft"/>
      <selection pane="bottomRight"/>
    </sheetView>
  </sheetViews>
  <sheetFormatPr baseColWidth="10" defaultColWidth="8.83203125" defaultRowHeight="15" x14ac:dyDescent="0.2"/>
  <cols>
    <col min="1" max="1" width="10" customWidth="1"/>
    <col min="2" max="2" width="9" customWidth="1"/>
    <col min="3" max="3" width="26" customWidth="1"/>
    <col min="4" max="4" width="24" customWidth="1"/>
    <col min="5" max="5" width="12" customWidth="1"/>
    <col min="6" max="6" width="14" customWidth="1"/>
    <col min="7" max="8" width="10" customWidth="1"/>
    <col min="9" max="9" width="7" customWidth="1"/>
    <col min="10" max="10" width="22" customWidth="1"/>
    <col min="11" max="11" width="8" customWidth="1"/>
    <col min="12" max="13" width="10" customWidth="1"/>
    <col min="14" max="14" width="26" customWidth="1"/>
    <col min="15" max="15" width="30" customWidth="1"/>
    <col min="16" max="16" width="28" customWidth="1"/>
    <col min="17" max="17" width="7" customWidth="1"/>
    <col min="18" max="18" width="12" customWidth="1"/>
    <col min="19" max="19" width="34" customWidth="1"/>
    <col min="20" max="21" width="8" customWidth="1"/>
  </cols>
  <sheetData>
    <row r="1" spans="1:21" ht="30" customHeight="1" x14ac:dyDescent="0.2">
      <c r="A1" s="88" t="s">
        <v>5076</v>
      </c>
      <c r="B1" s="76"/>
      <c r="C1" s="76"/>
      <c r="D1" s="76"/>
      <c r="E1" s="76"/>
      <c r="F1" s="76"/>
      <c r="G1" s="76"/>
      <c r="H1" s="76"/>
      <c r="I1" s="76"/>
      <c r="J1" s="76"/>
      <c r="K1" s="76"/>
      <c r="L1" s="76"/>
      <c r="M1" s="76"/>
      <c r="N1" s="76"/>
      <c r="O1" s="76"/>
      <c r="P1" s="76"/>
      <c r="Q1" s="76"/>
      <c r="R1" s="76"/>
      <c r="S1" s="76"/>
      <c r="T1" s="76"/>
      <c r="U1" s="76"/>
    </row>
    <row r="2" spans="1:21" ht="30" customHeight="1" x14ac:dyDescent="0.2">
      <c r="A2" s="85" t="s">
        <v>5077</v>
      </c>
      <c r="B2" s="76"/>
      <c r="C2" s="76"/>
      <c r="D2" s="76"/>
      <c r="E2" s="76"/>
      <c r="F2" s="76"/>
      <c r="G2" s="76"/>
      <c r="H2" s="76"/>
      <c r="I2" s="76"/>
      <c r="J2" s="76"/>
      <c r="K2" s="76"/>
      <c r="L2" s="76"/>
      <c r="M2" s="76"/>
      <c r="N2" s="76"/>
      <c r="O2" s="76"/>
      <c r="P2" s="76"/>
      <c r="Q2" s="76"/>
      <c r="R2" s="76"/>
      <c r="S2" s="76"/>
      <c r="T2" s="76"/>
      <c r="U2" s="76"/>
    </row>
    <row r="3" spans="1:21" ht="30" customHeight="1" x14ac:dyDescent="0.2">
      <c r="A3" s="69" t="s">
        <v>5078</v>
      </c>
      <c r="B3" s="69" t="s">
        <v>2677</v>
      </c>
      <c r="C3" s="69" t="s">
        <v>5079</v>
      </c>
      <c r="D3" s="69" t="s">
        <v>5080</v>
      </c>
      <c r="E3" s="69" t="s">
        <v>4717</v>
      </c>
      <c r="F3" s="69" t="s">
        <v>3034</v>
      </c>
      <c r="G3" s="69" t="s">
        <v>5081</v>
      </c>
      <c r="H3" s="69" t="s">
        <v>5082</v>
      </c>
      <c r="I3" s="69" t="s">
        <v>5083</v>
      </c>
      <c r="J3" s="69" t="s">
        <v>5084</v>
      </c>
      <c r="K3" s="69" t="s">
        <v>5085</v>
      </c>
      <c r="L3" s="69" t="s">
        <v>5086</v>
      </c>
      <c r="M3" s="69" t="s">
        <v>5087</v>
      </c>
      <c r="N3" s="69" t="s">
        <v>377</v>
      </c>
      <c r="O3" s="69" t="s">
        <v>5088</v>
      </c>
      <c r="P3" s="69" t="s">
        <v>5089</v>
      </c>
      <c r="Q3" s="69" t="s">
        <v>1856</v>
      </c>
      <c r="R3" s="69" t="s">
        <v>5090</v>
      </c>
      <c r="S3" s="69" t="s">
        <v>1230</v>
      </c>
      <c r="T3" s="69" t="s">
        <v>5091</v>
      </c>
      <c r="U3" s="69" t="s">
        <v>3985</v>
      </c>
    </row>
    <row r="4" spans="1:21" ht="29" customHeight="1" x14ac:dyDescent="0.2">
      <c r="A4" s="70" t="s">
        <v>5092</v>
      </c>
      <c r="B4" s="70" t="s">
        <v>109</v>
      </c>
      <c r="C4" s="70" t="s">
        <v>5093</v>
      </c>
      <c r="D4" s="70" t="s">
        <v>5094</v>
      </c>
      <c r="E4" s="70" t="s">
        <v>5095</v>
      </c>
      <c r="F4" s="70" t="s">
        <v>5096</v>
      </c>
      <c r="G4" s="70" t="s">
        <v>5097</v>
      </c>
      <c r="H4" s="70" t="s">
        <v>5097</v>
      </c>
      <c r="I4" s="70" t="s">
        <v>111</v>
      </c>
      <c r="J4" s="70" t="s">
        <v>5098</v>
      </c>
      <c r="K4" s="70" t="s">
        <v>5099</v>
      </c>
      <c r="L4" s="70"/>
      <c r="M4" s="70"/>
      <c r="N4" s="70" t="s">
        <v>5100</v>
      </c>
      <c r="O4" s="70"/>
      <c r="P4" s="70" t="s">
        <v>2016</v>
      </c>
      <c r="Q4" s="70" t="s">
        <v>5101</v>
      </c>
      <c r="R4" s="70" t="s">
        <v>1859</v>
      </c>
      <c r="S4" s="70"/>
      <c r="T4" s="70" t="s">
        <v>111</v>
      </c>
      <c r="U4" s="70" t="s">
        <v>119</v>
      </c>
    </row>
    <row r="5" spans="1:21" ht="29" customHeight="1" x14ac:dyDescent="0.2">
      <c r="A5" s="71" t="s">
        <v>5102</v>
      </c>
      <c r="B5" s="71" t="s">
        <v>109</v>
      </c>
      <c r="C5" s="71" t="s">
        <v>5103</v>
      </c>
      <c r="D5" s="71" t="s">
        <v>5104</v>
      </c>
      <c r="E5" s="71" t="s">
        <v>5095</v>
      </c>
      <c r="F5" s="71" t="s">
        <v>5105</v>
      </c>
      <c r="G5" s="71" t="s">
        <v>3626</v>
      </c>
      <c r="H5" s="71" t="s">
        <v>3626</v>
      </c>
      <c r="I5" s="71" t="s">
        <v>111</v>
      </c>
      <c r="J5" s="71" t="s">
        <v>5098</v>
      </c>
      <c r="K5" s="71" t="s">
        <v>5099</v>
      </c>
      <c r="L5" s="71"/>
      <c r="M5" s="71"/>
      <c r="N5" s="71" t="s">
        <v>5100</v>
      </c>
      <c r="O5" s="71"/>
      <c r="P5" s="71" t="s">
        <v>5106</v>
      </c>
      <c r="Q5" s="71" t="s">
        <v>5101</v>
      </c>
      <c r="R5" s="71" t="s">
        <v>1859</v>
      </c>
      <c r="S5" s="71" t="s">
        <v>5107</v>
      </c>
      <c r="T5" s="71" t="s">
        <v>119</v>
      </c>
      <c r="U5" s="71" t="s">
        <v>111</v>
      </c>
    </row>
    <row r="6" spans="1:21" ht="29" customHeight="1" x14ac:dyDescent="0.2">
      <c r="A6" s="70" t="s">
        <v>5108</v>
      </c>
      <c r="B6" s="70" t="s">
        <v>109</v>
      </c>
      <c r="C6" s="70" t="s">
        <v>5109</v>
      </c>
      <c r="D6" s="70" t="s">
        <v>5110</v>
      </c>
      <c r="E6" s="70" t="s">
        <v>5095</v>
      </c>
      <c r="F6" s="70" t="s">
        <v>5111</v>
      </c>
      <c r="G6" s="70" t="s">
        <v>5097</v>
      </c>
      <c r="H6" s="70" t="s">
        <v>5097</v>
      </c>
      <c r="I6" s="70" t="s">
        <v>111</v>
      </c>
      <c r="J6" s="70" t="s">
        <v>5098</v>
      </c>
      <c r="K6" s="70" t="s">
        <v>5099</v>
      </c>
      <c r="L6" s="70"/>
      <c r="M6" s="70"/>
      <c r="N6" s="70" t="s">
        <v>5100</v>
      </c>
      <c r="O6" s="70"/>
      <c r="P6" s="70" t="s">
        <v>2016</v>
      </c>
      <c r="Q6" s="70" t="s">
        <v>5101</v>
      </c>
      <c r="R6" s="70" t="s">
        <v>1859</v>
      </c>
      <c r="S6" s="70"/>
      <c r="T6" s="70" t="s">
        <v>111</v>
      </c>
      <c r="U6" s="70" t="s">
        <v>111</v>
      </c>
    </row>
    <row r="7" spans="1:21" ht="29" customHeight="1" x14ac:dyDescent="0.2">
      <c r="A7" s="71" t="s">
        <v>5112</v>
      </c>
      <c r="B7" s="71" t="s">
        <v>109</v>
      </c>
      <c r="C7" s="71" t="s">
        <v>5113</v>
      </c>
      <c r="D7" s="71" t="s">
        <v>5114</v>
      </c>
      <c r="E7" s="71" t="s">
        <v>5095</v>
      </c>
      <c r="F7" s="71" t="s">
        <v>5111</v>
      </c>
      <c r="G7" s="71" t="s">
        <v>3626</v>
      </c>
      <c r="H7" s="71" t="s">
        <v>3626</v>
      </c>
      <c r="I7" s="71" t="s">
        <v>111</v>
      </c>
      <c r="J7" s="71" t="s">
        <v>5098</v>
      </c>
      <c r="K7" s="71" t="s">
        <v>5099</v>
      </c>
      <c r="L7" s="71"/>
      <c r="M7" s="71"/>
      <c r="N7" s="71" t="s">
        <v>5100</v>
      </c>
      <c r="O7" s="71"/>
      <c r="P7" s="71" t="s">
        <v>5106</v>
      </c>
      <c r="Q7" s="71" t="s">
        <v>5101</v>
      </c>
      <c r="R7" s="71" t="s">
        <v>1859</v>
      </c>
      <c r="S7" s="71" t="s">
        <v>5115</v>
      </c>
      <c r="T7" s="71" t="s">
        <v>111</v>
      </c>
      <c r="U7" s="71" t="s">
        <v>111</v>
      </c>
    </row>
    <row r="8" spans="1:21" ht="43.5" customHeight="1" x14ac:dyDescent="0.2">
      <c r="A8" s="70" t="s">
        <v>5116</v>
      </c>
      <c r="B8" s="70" t="s">
        <v>109</v>
      </c>
      <c r="C8" s="70" t="s">
        <v>5117</v>
      </c>
      <c r="D8" s="70" t="s">
        <v>5118</v>
      </c>
      <c r="E8" s="70" t="s">
        <v>5095</v>
      </c>
      <c r="F8" s="70" t="s">
        <v>5111</v>
      </c>
      <c r="G8" s="70" t="s">
        <v>5097</v>
      </c>
      <c r="H8" s="70" t="s">
        <v>5097</v>
      </c>
      <c r="I8" s="70" t="s">
        <v>111</v>
      </c>
      <c r="J8" s="70" t="s">
        <v>5098</v>
      </c>
      <c r="K8" s="70" t="s">
        <v>5099</v>
      </c>
      <c r="L8" s="70"/>
      <c r="M8" s="70"/>
      <c r="N8" s="70" t="s">
        <v>5100</v>
      </c>
      <c r="O8" s="70"/>
      <c r="P8" s="70" t="s">
        <v>2016</v>
      </c>
      <c r="Q8" s="70" t="s">
        <v>5101</v>
      </c>
      <c r="R8" s="70" t="s">
        <v>1859</v>
      </c>
      <c r="S8" s="70"/>
      <c r="T8" s="70" t="s">
        <v>111</v>
      </c>
      <c r="U8" s="70" t="s">
        <v>111</v>
      </c>
    </row>
    <row r="9" spans="1:21" ht="29" customHeight="1" x14ac:dyDescent="0.2">
      <c r="A9" s="71" t="s">
        <v>5119</v>
      </c>
      <c r="B9" s="71" t="s">
        <v>117</v>
      </c>
      <c r="C9" s="71" t="s">
        <v>5120</v>
      </c>
      <c r="D9" s="71" t="s">
        <v>5121</v>
      </c>
      <c r="E9" s="71" t="s">
        <v>5095</v>
      </c>
      <c r="F9" s="71" t="s">
        <v>5105</v>
      </c>
      <c r="G9" s="71" t="s">
        <v>3626</v>
      </c>
      <c r="H9" s="71"/>
      <c r="I9" s="71" t="s">
        <v>111</v>
      </c>
      <c r="J9" s="71" t="s">
        <v>5098</v>
      </c>
      <c r="K9" s="71" t="s">
        <v>5099</v>
      </c>
      <c r="L9" s="71"/>
      <c r="M9" s="71"/>
      <c r="N9" s="71" t="s">
        <v>5122</v>
      </c>
      <c r="O9" s="71"/>
      <c r="P9" s="71" t="s">
        <v>5106</v>
      </c>
      <c r="Q9" s="71" t="s">
        <v>5101</v>
      </c>
      <c r="R9" s="71" t="s">
        <v>4357</v>
      </c>
      <c r="S9" s="71" t="s">
        <v>5115</v>
      </c>
      <c r="T9" s="71" t="s">
        <v>111</v>
      </c>
      <c r="U9" s="71" t="s">
        <v>111</v>
      </c>
    </row>
    <row r="10" spans="1:21" ht="29" customHeight="1" x14ac:dyDescent="0.2">
      <c r="A10" s="70" t="s">
        <v>5123</v>
      </c>
      <c r="B10" s="70" t="s">
        <v>117</v>
      </c>
      <c r="C10" s="70" t="s">
        <v>5124</v>
      </c>
      <c r="D10" s="70" t="s">
        <v>2711</v>
      </c>
      <c r="E10" s="70" t="s">
        <v>5095</v>
      </c>
      <c r="F10" s="70" t="s">
        <v>5111</v>
      </c>
      <c r="G10" s="70" t="s">
        <v>5097</v>
      </c>
      <c r="H10" s="70"/>
      <c r="I10" s="70" t="s">
        <v>111</v>
      </c>
      <c r="J10" s="70" t="s">
        <v>5098</v>
      </c>
      <c r="K10" s="70" t="s">
        <v>5099</v>
      </c>
      <c r="L10" s="70"/>
      <c r="M10" s="70"/>
      <c r="N10" s="70" t="s">
        <v>5122</v>
      </c>
      <c r="O10" s="70"/>
      <c r="P10" s="70" t="s">
        <v>2016</v>
      </c>
      <c r="Q10" s="70" t="s">
        <v>5101</v>
      </c>
      <c r="R10" s="70" t="s">
        <v>4357</v>
      </c>
      <c r="S10" s="70"/>
      <c r="T10" s="70" t="s">
        <v>111</v>
      </c>
      <c r="U10" s="70" t="s">
        <v>111</v>
      </c>
    </row>
    <row r="11" spans="1:21" ht="29" customHeight="1" x14ac:dyDescent="0.2">
      <c r="A11" s="71" t="s">
        <v>5125</v>
      </c>
      <c r="B11" s="71" t="s">
        <v>117</v>
      </c>
      <c r="C11" s="71" t="s">
        <v>5126</v>
      </c>
      <c r="D11" s="71" t="s">
        <v>121</v>
      </c>
      <c r="E11" s="71" t="s">
        <v>5095</v>
      </c>
      <c r="F11" s="71" t="s">
        <v>5111</v>
      </c>
      <c r="G11" s="71" t="s">
        <v>5097</v>
      </c>
      <c r="H11" s="71" t="s">
        <v>5097</v>
      </c>
      <c r="I11" s="71" t="s">
        <v>111</v>
      </c>
      <c r="J11" s="71" t="s">
        <v>5098</v>
      </c>
      <c r="K11" s="71" t="s">
        <v>5099</v>
      </c>
      <c r="L11" s="71"/>
      <c r="M11" s="71"/>
      <c r="N11" s="71" t="s">
        <v>5122</v>
      </c>
      <c r="O11" s="71"/>
      <c r="P11" s="71" t="s">
        <v>2016</v>
      </c>
      <c r="Q11" s="71" t="s">
        <v>5101</v>
      </c>
      <c r="R11" s="71" t="s">
        <v>4357</v>
      </c>
      <c r="S11" s="71"/>
      <c r="T11" s="71" t="s">
        <v>111</v>
      </c>
      <c r="U11" s="71" t="s">
        <v>111</v>
      </c>
    </row>
    <row r="12" spans="1:21" ht="29" customHeight="1" x14ac:dyDescent="0.2">
      <c r="A12" s="70" t="s">
        <v>5127</v>
      </c>
      <c r="B12" s="70" t="s">
        <v>117</v>
      </c>
      <c r="C12" s="70" t="s">
        <v>5128</v>
      </c>
      <c r="D12" s="70" t="s">
        <v>2723</v>
      </c>
      <c r="E12" s="70" t="s">
        <v>5095</v>
      </c>
      <c r="F12" s="70" t="s">
        <v>5111</v>
      </c>
      <c r="G12" s="70" t="s">
        <v>5097</v>
      </c>
      <c r="H12" s="70" t="s">
        <v>5097</v>
      </c>
      <c r="I12" s="70" t="s">
        <v>111</v>
      </c>
      <c r="J12" s="70" t="s">
        <v>5098</v>
      </c>
      <c r="K12" s="70" t="s">
        <v>5099</v>
      </c>
      <c r="L12" s="70"/>
      <c r="M12" s="70"/>
      <c r="N12" s="70" t="s">
        <v>5122</v>
      </c>
      <c r="O12" s="70"/>
      <c r="P12" s="70" t="s">
        <v>2016</v>
      </c>
      <c r="Q12" s="70" t="s">
        <v>5101</v>
      </c>
      <c r="R12" s="70" t="s">
        <v>4357</v>
      </c>
      <c r="S12" s="70"/>
      <c r="T12" s="70" t="s">
        <v>111</v>
      </c>
      <c r="U12" s="70" t="s">
        <v>111</v>
      </c>
    </row>
    <row r="13" spans="1:21" ht="29" customHeight="1" x14ac:dyDescent="0.2">
      <c r="A13" s="71" t="s">
        <v>5129</v>
      </c>
      <c r="B13" s="71" t="s">
        <v>117</v>
      </c>
      <c r="C13" s="71" t="s">
        <v>5130</v>
      </c>
      <c r="D13" s="71" t="s">
        <v>120</v>
      </c>
      <c r="E13" s="71" t="s">
        <v>5095</v>
      </c>
      <c r="F13" s="71" t="s">
        <v>5096</v>
      </c>
      <c r="G13" s="71" t="s">
        <v>5097</v>
      </c>
      <c r="H13" s="71" t="s">
        <v>5097</v>
      </c>
      <c r="I13" s="71" t="s">
        <v>111</v>
      </c>
      <c r="J13" s="71" t="s">
        <v>5098</v>
      </c>
      <c r="K13" s="71" t="s">
        <v>5099</v>
      </c>
      <c r="L13" s="71"/>
      <c r="M13" s="71"/>
      <c r="N13" s="71" t="s">
        <v>5122</v>
      </c>
      <c r="O13" s="71"/>
      <c r="P13" s="71" t="s">
        <v>2016</v>
      </c>
      <c r="Q13" s="71" t="s">
        <v>5101</v>
      </c>
      <c r="R13" s="71" t="s">
        <v>4357</v>
      </c>
      <c r="S13" s="71"/>
      <c r="T13" s="71" t="s">
        <v>111</v>
      </c>
      <c r="U13" s="71" t="s">
        <v>119</v>
      </c>
    </row>
    <row r="14" spans="1:21" ht="29" customHeight="1" x14ac:dyDescent="0.2">
      <c r="A14" s="70" t="s">
        <v>5131</v>
      </c>
      <c r="B14" s="70" t="s">
        <v>126</v>
      </c>
      <c r="C14" s="70" t="s">
        <v>5132</v>
      </c>
      <c r="D14" s="70" t="s">
        <v>5133</v>
      </c>
      <c r="E14" s="70" t="s">
        <v>5095</v>
      </c>
      <c r="F14" s="70" t="s">
        <v>5111</v>
      </c>
      <c r="G14" s="70" t="s">
        <v>3626</v>
      </c>
      <c r="H14" s="70" t="s">
        <v>3626</v>
      </c>
      <c r="I14" s="70" t="s">
        <v>111</v>
      </c>
      <c r="J14" s="70" t="s">
        <v>5098</v>
      </c>
      <c r="K14" s="70" t="s">
        <v>5099</v>
      </c>
      <c r="L14" s="70"/>
      <c r="M14" s="70"/>
      <c r="N14" s="70" t="s">
        <v>5134</v>
      </c>
      <c r="O14" s="70"/>
      <c r="P14" s="70" t="s">
        <v>5106</v>
      </c>
      <c r="Q14" s="70" t="s">
        <v>5101</v>
      </c>
      <c r="R14" s="70" t="s">
        <v>4364</v>
      </c>
      <c r="S14" s="70" t="s">
        <v>5115</v>
      </c>
      <c r="T14" s="70" t="s">
        <v>111</v>
      </c>
      <c r="U14" s="70" t="s">
        <v>111</v>
      </c>
    </row>
    <row r="15" spans="1:21" ht="29" customHeight="1" x14ac:dyDescent="0.2">
      <c r="A15" s="71" t="s">
        <v>5135</v>
      </c>
      <c r="B15" s="71" t="s">
        <v>126</v>
      </c>
      <c r="C15" s="71" t="s">
        <v>5136</v>
      </c>
      <c r="D15" s="71" t="s">
        <v>5137</v>
      </c>
      <c r="E15" s="71" t="s">
        <v>5095</v>
      </c>
      <c r="F15" s="71" t="s">
        <v>5111</v>
      </c>
      <c r="G15" s="71" t="s">
        <v>5097</v>
      </c>
      <c r="H15" s="71" t="s">
        <v>5097</v>
      </c>
      <c r="I15" s="71" t="s">
        <v>111</v>
      </c>
      <c r="J15" s="71" t="s">
        <v>5098</v>
      </c>
      <c r="K15" s="71" t="s">
        <v>5099</v>
      </c>
      <c r="L15" s="71"/>
      <c r="M15" s="71"/>
      <c r="N15" s="71" t="s">
        <v>5134</v>
      </c>
      <c r="O15" s="71"/>
      <c r="P15" s="71" t="s">
        <v>2016</v>
      </c>
      <c r="Q15" s="71" t="s">
        <v>5101</v>
      </c>
      <c r="R15" s="71" t="s">
        <v>4364</v>
      </c>
      <c r="S15" s="71"/>
      <c r="T15" s="71" t="s">
        <v>111</v>
      </c>
      <c r="U15" s="71" t="s">
        <v>111</v>
      </c>
    </row>
    <row r="16" spans="1:21" ht="29" customHeight="1" x14ac:dyDescent="0.2">
      <c r="A16" s="70" t="s">
        <v>5138</v>
      </c>
      <c r="B16" s="70" t="s">
        <v>126</v>
      </c>
      <c r="C16" s="70" t="s">
        <v>5139</v>
      </c>
      <c r="D16" s="70" t="s">
        <v>5140</v>
      </c>
      <c r="E16" s="70" t="s">
        <v>5095</v>
      </c>
      <c r="F16" s="70" t="s">
        <v>5111</v>
      </c>
      <c r="G16" s="70" t="s">
        <v>5097</v>
      </c>
      <c r="H16" s="70" t="s">
        <v>3626</v>
      </c>
      <c r="I16" s="70" t="s">
        <v>119</v>
      </c>
      <c r="J16" s="70" t="s">
        <v>5098</v>
      </c>
      <c r="K16" s="70" t="s">
        <v>5099</v>
      </c>
      <c r="L16" s="70"/>
      <c r="M16" s="70"/>
      <c r="N16" s="70" t="s">
        <v>5134</v>
      </c>
      <c r="O16" s="70"/>
      <c r="P16" s="70" t="s">
        <v>5141</v>
      </c>
      <c r="Q16" s="70" t="s">
        <v>5101</v>
      </c>
      <c r="R16" s="70" t="s">
        <v>4364</v>
      </c>
      <c r="S16" s="70" t="s">
        <v>5142</v>
      </c>
      <c r="T16" s="70" t="s">
        <v>111</v>
      </c>
      <c r="U16" s="70" t="s">
        <v>111</v>
      </c>
    </row>
    <row r="17" spans="1:21" ht="29" customHeight="1" x14ac:dyDescent="0.2">
      <c r="A17" s="71" t="s">
        <v>5143</v>
      </c>
      <c r="B17" s="71" t="s">
        <v>126</v>
      </c>
      <c r="C17" s="71" t="s">
        <v>5144</v>
      </c>
      <c r="D17" s="71" t="s">
        <v>5145</v>
      </c>
      <c r="E17" s="71" t="s">
        <v>5095</v>
      </c>
      <c r="F17" s="71" t="s">
        <v>5096</v>
      </c>
      <c r="G17" s="71" t="s">
        <v>5097</v>
      </c>
      <c r="H17" s="71" t="s">
        <v>5097</v>
      </c>
      <c r="I17" s="71" t="s">
        <v>111</v>
      </c>
      <c r="J17" s="71" t="s">
        <v>5098</v>
      </c>
      <c r="K17" s="71" t="s">
        <v>5099</v>
      </c>
      <c r="L17" s="71"/>
      <c r="M17" s="71"/>
      <c r="N17" s="71" t="s">
        <v>5134</v>
      </c>
      <c r="O17" s="71"/>
      <c r="P17" s="71" t="s">
        <v>2016</v>
      </c>
      <c r="Q17" s="71" t="s">
        <v>5101</v>
      </c>
      <c r="R17" s="71" t="s">
        <v>4364</v>
      </c>
      <c r="S17" s="71"/>
      <c r="T17" s="71" t="s">
        <v>111</v>
      </c>
      <c r="U17" s="71" t="s">
        <v>119</v>
      </c>
    </row>
    <row r="18" spans="1:21" ht="29" customHeight="1" x14ac:dyDescent="0.2">
      <c r="A18" s="70" t="s">
        <v>5146</v>
      </c>
      <c r="B18" s="70" t="s">
        <v>126</v>
      </c>
      <c r="C18" s="70" t="s">
        <v>5147</v>
      </c>
      <c r="D18" s="70" t="s">
        <v>5148</v>
      </c>
      <c r="E18" s="70" t="s">
        <v>5095</v>
      </c>
      <c r="F18" s="70" t="s">
        <v>5105</v>
      </c>
      <c r="G18" s="70" t="s">
        <v>3626</v>
      </c>
      <c r="H18" s="70" t="s">
        <v>3626</v>
      </c>
      <c r="I18" s="70" t="s">
        <v>111</v>
      </c>
      <c r="J18" s="70" t="s">
        <v>5098</v>
      </c>
      <c r="K18" s="70" t="s">
        <v>5099</v>
      </c>
      <c r="L18" s="70"/>
      <c r="M18" s="70"/>
      <c r="N18" s="70" t="s">
        <v>5134</v>
      </c>
      <c r="O18" s="70"/>
      <c r="P18" s="70" t="s">
        <v>5106</v>
      </c>
      <c r="Q18" s="70" t="s">
        <v>5101</v>
      </c>
      <c r="R18" s="70" t="s">
        <v>4364</v>
      </c>
      <c r="S18" s="70" t="s">
        <v>5107</v>
      </c>
      <c r="T18" s="70" t="s">
        <v>119</v>
      </c>
      <c r="U18" s="70" t="s">
        <v>111</v>
      </c>
    </row>
    <row r="19" spans="1:21" ht="29" customHeight="1" x14ac:dyDescent="0.2">
      <c r="A19" s="71" t="s">
        <v>5149</v>
      </c>
      <c r="B19" s="71" t="s">
        <v>131</v>
      </c>
      <c r="C19" s="71" t="s">
        <v>2842</v>
      </c>
      <c r="D19" s="71" t="s">
        <v>5150</v>
      </c>
      <c r="E19" s="71" t="s">
        <v>5095</v>
      </c>
      <c r="F19" s="71" t="s">
        <v>5111</v>
      </c>
      <c r="G19" s="71" t="s">
        <v>5097</v>
      </c>
      <c r="H19" s="71" t="s">
        <v>3626</v>
      </c>
      <c r="I19" s="71" t="s">
        <v>119</v>
      </c>
      <c r="J19" s="71" t="s">
        <v>5098</v>
      </c>
      <c r="K19" s="71" t="s">
        <v>5099</v>
      </c>
      <c r="L19" s="71"/>
      <c r="M19" s="71"/>
      <c r="N19" s="71" t="s">
        <v>5151</v>
      </c>
      <c r="O19" s="71"/>
      <c r="P19" s="71" t="s">
        <v>5141</v>
      </c>
      <c r="Q19" s="71" t="s">
        <v>5101</v>
      </c>
      <c r="R19" s="71" t="s">
        <v>1859</v>
      </c>
      <c r="S19" s="71" t="s">
        <v>5142</v>
      </c>
      <c r="T19" s="71" t="s">
        <v>111</v>
      </c>
      <c r="U19" s="71" t="s">
        <v>111</v>
      </c>
    </row>
    <row r="20" spans="1:21" ht="29" customHeight="1" x14ac:dyDescent="0.2">
      <c r="A20" s="70" t="s">
        <v>5152</v>
      </c>
      <c r="B20" s="70" t="s">
        <v>131</v>
      </c>
      <c r="C20" s="70" t="s">
        <v>5153</v>
      </c>
      <c r="D20" s="70" t="s">
        <v>2879</v>
      </c>
      <c r="E20" s="70" t="s">
        <v>5095</v>
      </c>
      <c r="F20" s="70" t="s">
        <v>5111</v>
      </c>
      <c r="G20" s="70" t="s">
        <v>3626</v>
      </c>
      <c r="H20" s="70" t="s">
        <v>3626</v>
      </c>
      <c r="I20" s="70" t="s">
        <v>111</v>
      </c>
      <c r="J20" s="70" t="s">
        <v>5098</v>
      </c>
      <c r="K20" s="70" t="s">
        <v>5099</v>
      </c>
      <c r="L20" s="70"/>
      <c r="M20" s="70"/>
      <c r="N20" s="70" t="s">
        <v>5151</v>
      </c>
      <c r="O20" s="70"/>
      <c r="P20" s="70" t="s">
        <v>5106</v>
      </c>
      <c r="Q20" s="70" t="s">
        <v>5101</v>
      </c>
      <c r="R20" s="70" t="s">
        <v>1859</v>
      </c>
      <c r="S20" s="70" t="s">
        <v>5107</v>
      </c>
      <c r="T20" s="70" t="s">
        <v>119</v>
      </c>
      <c r="U20" s="70" t="s">
        <v>111</v>
      </c>
    </row>
    <row r="21" spans="1:21" ht="29" customHeight="1" x14ac:dyDescent="0.2">
      <c r="A21" s="71" t="s">
        <v>5154</v>
      </c>
      <c r="B21" s="71" t="s">
        <v>131</v>
      </c>
      <c r="C21" s="71" t="s">
        <v>5155</v>
      </c>
      <c r="D21" s="71" t="s">
        <v>2883</v>
      </c>
      <c r="E21" s="71" t="s">
        <v>5095</v>
      </c>
      <c r="F21" s="71" t="s">
        <v>5111</v>
      </c>
      <c r="G21" s="71" t="s">
        <v>5097</v>
      </c>
      <c r="H21" s="71" t="s">
        <v>5097</v>
      </c>
      <c r="I21" s="71" t="s">
        <v>111</v>
      </c>
      <c r="J21" s="71" t="s">
        <v>5098</v>
      </c>
      <c r="K21" s="71" t="s">
        <v>5099</v>
      </c>
      <c r="L21" s="71"/>
      <c r="M21" s="71"/>
      <c r="N21" s="71" t="s">
        <v>5151</v>
      </c>
      <c r="O21" s="71"/>
      <c r="P21" s="71" t="s">
        <v>2016</v>
      </c>
      <c r="Q21" s="71" t="s">
        <v>5101</v>
      </c>
      <c r="R21" s="71" t="s">
        <v>1859</v>
      </c>
      <c r="S21" s="71"/>
      <c r="T21" s="71" t="s">
        <v>111</v>
      </c>
      <c r="U21" s="71" t="s">
        <v>111</v>
      </c>
    </row>
    <row r="22" spans="1:21" ht="29" customHeight="1" x14ac:dyDescent="0.2">
      <c r="A22" s="70" t="s">
        <v>5156</v>
      </c>
      <c r="B22" s="70" t="s">
        <v>131</v>
      </c>
      <c r="C22" s="70" t="s">
        <v>5157</v>
      </c>
      <c r="D22" s="70" t="s">
        <v>132</v>
      </c>
      <c r="E22" s="70" t="s">
        <v>5095</v>
      </c>
      <c r="F22" s="70" t="s">
        <v>5096</v>
      </c>
      <c r="G22" s="70" t="s">
        <v>5097</v>
      </c>
      <c r="H22" s="70" t="s">
        <v>5097</v>
      </c>
      <c r="I22" s="70" t="s">
        <v>111</v>
      </c>
      <c r="J22" s="70" t="s">
        <v>5098</v>
      </c>
      <c r="K22" s="70" t="s">
        <v>5099</v>
      </c>
      <c r="L22" s="70"/>
      <c r="M22" s="70"/>
      <c r="N22" s="70" t="s">
        <v>5151</v>
      </c>
      <c r="O22" s="70"/>
      <c r="P22" s="70" t="s">
        <v>2016</v>
      </c>
      <c r="Q22" s="70" t="s">
        <v>5101</v>
      </c>
      <c r="R22" s="70" t="s">
        <v>1859</v>
      </c>
      <c r="S22" s="70"/>
      <c r="T22" s="70" t="s">
        <v>111</v>
      </c>
      <c r="U22" s="70" t="s">
        <v>119</v>
      </c>
    </row>
    <row r="23" spans="1:21" ht="29" customHeight="1" x14ac:dyDescent="0.2">
      <c r="A23" s="71" t="s">
        <v>5158</v>
      </c>
      <c r="B23" s="71" t="s">
        <v>131</v>
      </c>
      <c r="C23" s="71" t="s">
        <v>2890</v>
      </c>
      <c r="D23" s="71" t="s">
        <v>5159</v>
      </c>
      <c r="E23" s="71" t="s">
        <v>5095</v>
      </c>
      <c r="F23" s="71" t="s">
        <v>5105</v>
      </c>
      <c r="G23" s="71" t="s">
        <v>3626</v>
      </c>
      <c r="H23" s="71"/>
      <c r="I23" s="71" t="s">
        <v>111</v>
      </c>
      <c r="J23" s="71" t="s">
        <v>5098</v>
      </c>
      <c r="K23" s="71" t="s">
        <v>5099</v>
      </c>
      <c r="L23" s="71"/>
      <c r="M23" s="71"/>
      <c r="N23" s="71" t="s">
        <v>5151</v>
      </c>
      <c r="O23" s="71"/>
      <c r="P23" s="71" t="s">
        <v>5106</v>
      </c>
      <c r="Q23" s="71" t="s">
        <v>5101</v>
      </c>
      <c r="R23" s="71" t="s">
        <v>1859</v>
      </c>
      <c r="S23" s="71" t="s">
        <v>5115</v>
      </c>
      <c r="T23" s="71" t="s">
        <v>111</v>
      </c>
      <c r="U23" s="71" t="s">
        <v>111</v>
      </c>
    </row>
    <row r="24" spans="1:21" ht="29" customHeight="1" x14ac:dyDescent="0.2">
      <c r="A24" s="70" t="s">
        <v>5160</v>
      </c>
      <c r="B24" s="70" t="s">
        <v>135</v>
      </c>
      <c r="C24" s="70" t="s">
        <v>2895</v>
      </c>
      <c r="D24" s="70" t="s">
        <v>191</v>
      </c>
      <c r="E24" s="70" t="s">
        <v>5095</v>
      </c>
      <c r="F24" s="70" t="s">
        <v>5105</v>
      </c>
      <c r="G24" s="70" t="s">
        <v>3626</v>
      </c>
      <c r="H24" s="70" t="s">
        <v>3626</v>
      </c>
      <c r="I24" s="70" t="s">
        <v>111</v>
      </c>
      <c r="J24" s="70" t="s">
        <v>5098</v>
      </c>
      <c r="K24" s="70" t="s">
        <v>5099</v>
      </c>
      <c r="L24" s="70"/>
      <c r="M24" s="70"/>
      <c r="N24" s="70" t="s">
        <v>5161</v>
      </c>
      <c r="O24" s="70" t="s">
        <v>5039</v>
      </c>
      <c r="P24" s="70" t="s">
        <v>5106</v>
      </c>
      <c r="Q24" s="70" t="s">
        <v>5101</v>
      </c>
      <c r="R24" s="70" t="s">
        <v>1859</v>
      </c>
      <c r="S24" s="70" t="s">
        <v>5107</v>
      </c>
      <c r="T24" s="70" t="s">
        <v>119</v>
      </c>
      <c r="U24" s="70" t="s">
        <v>111</v>
      </c>
    </row>
    <row r="25" spans="1:21" ht="29" customHeight="1" x14ac:dyDescent="0.2">
      <c r="A25" s="71" t="s">
        <v>5162</v>
      </c>
      <c r="B25" s="71" t="s">
        <v>135</v>
      </c>
      <c r="C25" s="71" t="s">
        <v>5163</v>
      </c>
      <c r="D25" s="71" t="s">
        <v>5164</v>
      </c>
      <c r="E25" s="71" t="s">
        <v>5095</v>
      </c>
      <c r="F25" s="71" t="s">
        <v>5111</v>
      </c>
      <c r="G25" s="71" t="s">
        <v>5097</v>
      </c>
      <c r="H25" s="71" t="s">
        <v>5097</v>
      </c>
      <c r="I25" s="71" t="s">
        <v>111</v>
      </c>
      <c r="J25" s="71" t="s">
        <v>5098</v>
      </c>
      <c r="K25" s="71" t="s">
        <v>5099</v>
      </c>
      <c r="L25" s="71"/>
      <c r="M25" s="71"/>
      <c r="N25" s="71" t="s">
        <v>5161</v>
      </c>
      <c r="O25" s="71" t="s">
        <v>5165</v>
      </c>
      <c r="P25" s="71" t="s">
        <v>2016</v>
      </c>
      <c r="Q25" s="71" t="s">
        <v>5101</v>
      </c>
      <c r="R25" s="71" t="s">
        <v>1859</v>
      </c>
      <c r="S25" s="71"/>
      <c r="T25" s="71" t="s">
        <v>111</v>
      </c>
      <c r="U25" s="71" t="s">
        <v>111</v>
      </c>
    </row>
    <row r="26" spans="1:21" ht="29" customHeight="1" x14ac:dyDescent="0.2">
      <c r="A26" s="70" t="s">
        <v>5166</v>
      </c>
      <c r="B26" s="70" t="s">
        <v>135</v>
      </c>
      <c r="C26" s="70" t="s">
        <v>5167</v>
      </c>
      <c r="D26" s="70" t="s">
        <v>2786</v>
      </c>
      <c r="E26" s="70" t="s">
        <v>5095</v>
      </c>
      <c r="F26" s="70" t="s">
        <v>5111</v>
      </c>
      <c r="G26" s="70" t="s">
        <v>5097</v>
      </c>
      <c r="H26" s="70" t="s">
        <v>5097</v>
      </c>
      <c r="I26" s="70" t="s">
        <v>111</v>
      </c>
      <c r="J26" s="70" t="s">
        <v>5098</v>
      </c>
      <c r="K26" s="70" t="s">
        <v>5099</v>
      </c>
      <c r="L26" s="70"/>
      <c r="M26" s="70"/>
      <c r="N26" s="70" t="s">
        <v>5161</v>
      </c>
      <c r="O26" s="70" t="s">
        <v>5168</v>
      </c>
      <c r="P26" s="70" t="s">
        <v>2016</v>
      </c>
      <c r="Q26" s="70" t="s">
        <v>5101</v>
      </c>
      <c r="R26" s="70" t="s">
        <v>1859</v>
      </c>
      <c r="S26" s="70"/>
      <c r="T26" s="70" t="s">
        <v>111</v>
      </c>
      <c r="U26" s="70" t="s">
        <v>111</v>
      </c>
    </row>
    <row r="27" spans="1:21" ht="29" customHeight="1" x14ac:dyDescent="0.2">
      <c r="A27" s="71" t="s">
        <v>5169</v>
      </c>
      <c r="B27" s="71" t="s">
        <v>135</v>
      </c>
      <c r="C27" s="71" t="s">
        <v>5170</v>
      </c>
      <c r="D27" s="71" t="s">
        <v>5171</v>
      </c>
      <c r="E27" s="71" t="s">
        <v>5095</v>
      </c>
      <c r="F27" s="71" t="s">
        <v>5111</v>
      </c>
      <c r="G27" s="71" t="s">
        <v>5097</v>
      </c>
      <c r="H27" s="71" t="s">
        <v>5097</v>
      </c>
      <c r="I27" s="71" t="s">
        <v>111</v>
      </c>
      <c r="J27" s="71" t="s">
        <v>5098</v>
      </c>
      <c r="K27" s="71" t="s">
        <v>5099</v>
      </c>
      <c r="L27" s="71"/>
      <c r="M27" s="71"/>
      <c r="N27" s="71" t="s">
        <v>5161</v>
      </c>
      <c r="O27" s="71" t="s">
        <v>5172</v>
      </c>
      <c r="P27" s="71" t="s">
        <v>2016</v>
      </c>
      <c r="Q27" s="71" t="s">
        <v>5101</v>
      </c>
      <c r="R27" s="71" t="s">
        <v>1859</v>
      </c>
      <c r="S27" s="71"/>
      <c r="T27" s="71" t="s">
        <v>111</v>
      </c>
      <c r="U27" s="71" t="s">
        <v>111</v>
      </c>
    </row>
    <row r="28" spans="1:21" ht="29" customHeight="1" x14ac:dyDescent="0.2">
      <c r="A28" s="70" t="s">
        <v>5173</v>
      </c>
      <c r="B28" s="70" t="s">
        <v>135</v>
      </c>
      <c r="C28" s="70" t="s">
        <v>5174</v>
      </c>
      <c r="D28" s="70" t="s">
        <v>5175</v>
      </c>
      <c r="E28" s="70" t="s">
        <v>5095</v>
      </c>
      <c r="F28" s="70" t="s">
        <v>5096</v>
      </c>
      <c r="G28" s="70" t="s">
        <v>5097</v>
      </c>
      <c r="H28" s="70" t="s">
        <v>5097</v>
      </c>
      <c r="I28" s="70" t="s">
        <v>111</v>
      </c>
      <c r="J28" s="70" t="s">
        <v>5098</v>
      </c>
      <c r="K28" s="70" t="s">
        <v>5099</v>
      </c>
      <c r="L28" s="70"/>
      <c r="M28" s="70"/>
      <c r="N28" s="70" t="s">
        <v>5161</v>
      </c>
      <c r="O28" s="70" t="s">
        <v>5176</v>
      </c>
      <c r="P28" s="70" t="s">
        <v>2016</v>
      </c>
      <c r="Q28" s="70" t="s">
        <v>5101</v>
      </c>
      <c r="R28" s="70" t="s">
        <v>1859</v>
      </c>
      <c r="S28" s="70"/>
      <c r="T28" s="70" t="s">
        <v>111</v>
      </c>
      <c r="U28" s="70" t="s">
        <v>119</v>
      </c>
    </row>
    <row r="29" spans="1:21" ht="29" customHeight="1" x14ac:dyDescent="0.2">
      <c r="A29" s="71" t="s">
        <v>5177</v>
      </c>
      <c r="B29" s="71" t="s">
        <v>137</v>
      </c>
      <c r="C29" s="71" t="s">
        <v>5178</v>
      </c>
      <c r="D29" s="71" t="s">
        <v>5179</v>
      </c>
      <c r="E29" s="71" t="s">
        <v>5095</v>
      </c>
      <c r="F29" s="71" t="s">
        <v>5111</v>
      </c>
      <c r="G29" s="71" t="s">
        <v>3626</v>
      </c>
      <c r="H29" s="71"/>
      <c r="I29" s="71" t="s">
        <v>111</v>
      </c>
      <c r="J29" s="71" t="s">
        <v>5098</v>
      </c>
      <c r="K29" s="71" t="s">
        <v>5099</v>
      </c>
      <c r="L29" s="71"/>
      <c r="M29" s="71"/>
      <c r="N29" s="71" t="s">
        <v>5180</v>
      </c>
      <c r="O29" s="71"/>
      <c r="P29" s="71" t="s">
        <v>5106</v>
      </c>
      <c r="Q29" s="71" t="s">
        <v>5101</v>
      </c>
      <c r="R29" s="71" t="s">
        <v>1859</v>
      </c>
      <c r="S29" s="71" t="s">
        <v>5115</v>
      </c>
      <c r="T29" s="71" t="s">
        <v>111</v>
      </c>
      <c r="U29" s="71" t="s">
        <v>111</v>
      </c>
    </row>
    <row r="30" spans="1:21" ht="29" customHeight="1" x14ac:dyDescent="0.2">
      <c r="A30" s="70" t="s">
        <v>5181</v>
      </c>
      <c r="B30" s="70" t="s">
        <v>137</v>
      </c>
      <c r="C30" s="70" t="s">
        <v>5182</v>
      </c>
      <c r="D30" s="70" t="s">
        <v>5183</v>
      </c>
      <c r="E30" s="70" t="s">
        <v>5095</v>
      </c>
      <c r="F30" s="70" t="s">
        <v>5105</v>
      </c>
      <c r="G30" s="70" t="s">
        <v>3626</v>
      </c>
      <c r="H30" s="70"/>
      <c r="I30" s="70" t="s">
        <v>111</v>
      </c>
      <c r="J30" s="70" t="s">
        <v>5098</v>
      </c>
      <c r="K30" s="70" t="s">
        <v>5099</v>
      </c>
      <c r="L30" s="70"/>
      <c r="M30" s="70"/>
      <c r="N30" s="70" t="s">
        <v>5180</v>
      </c>
      <c r="O30" s="70"/>
      <c r="P30" s="70" t="s">
        <v>5106</v>
      </c>
      <c r="Q30" s="70" t="s">
        <v>5101</v>
      </c>
      <c r="R30" s="70" t="s">
        <v>1859</v>
      </c>
      <c r="S30" s="70" t="s">
        <v>5107</v>
      </c>
      <c r="T30" s="70" t="s">
        <v>119</v>
      </c>
      <c r="U30" s="70" t="s">
        <v>111</v>
      </c>
    </row>
    <row r="31" spans="1:21" ht="29" customHeight="1" x14ac:dyDescent="0.2">
      <c r="A31" s="71" t="s">
        <v>5184</v>
      </c>
      <c r="B31" s="71" t="s">
        <v>137</v>
      </c>
      <c r="C31" s="71" t="s">
        <v>5185</v>
      </c>
      <c r="D31" s="71" t="s">
        <v>5186</v>
      </c>
      <c r="E31" s="71" t="s">
        <v>5095</v>
      </c>
      <c r="F31" s="71" t="s">
        <v>5111</v>
      </c>
      <c r="G31" s="71" t="s">
        <v>5097</v>
      </c>
      <c r="H31" s="71"/>
      <c r="I31" s="71" t="s">
        <v>111</v>
      </c>
      <c r="J31" s="71" t="s">
        <v>5098</v>
      </c>
      <c r="K31" s="71" t="s">
        <v>5099</v>
      </c>
      <c r="L31" s="71"/>
      <c r="M31" s="71"/>
      <c r="N31" s="71" t="s">
        <v>5180</v>
      </c>
      <c r="O31" s="71"/>
      <c r="P31" s="71" t="s">
        <v>2016</v>
      </c>
      <c r="Q31" s="71" t="s">
        <v>5101</v>
      </c>
      <c r="R31" s="71" t="s">
        <v>1859</v>
      </c>
      <c r="S31" s="71"/>
      <c r="T31" s="71" t="s">
        <v>111</v>
      </c>
      <c r="U31" s="71" t="s">
        <v>111</v>
      </c>
    </row>
    <row r="32" spans="1:21" ht="29" customHeight="1" x14ac:dyDescent="0.2">
      <c r="A32" s="70" t="s">
        <v>5187</v>
      </c>
      <c r="B32" s="70" t="s">
        <v>137</v>
      </c>
      <c r="C32" s="70" t="s">
        <v>5188</v>
      </c>
      <c r="D32" s="70" t="s">
        <v>3753</v>
      </c>
      <c r="E32" s="70" t="s">
        <v>5095</v>
      </c>
      <c r="F32" s="70" t="s">
        <v>5096</v>
      </c>
      <c r="G32" s="70" t="s">
        <v>5097</v>
      </c>
      <c r="H32" s="70"/>
      <c r="I32" s="70" t="s">
        <v>111</v>
      </c>
      <c r="J32" s="70" t="s">
        <v>5098</v>
      </c>
      <c r="K32" s="70" t="s">
        <v>5099</v>
      </c>
      <c r="L32" s="70"/>
      <c r="M32" s="70"/>
      <c r="N32" s="70" t="s">
        <v>5180</v>
      </c>
      <c r="O32" s="70"/>
      <c r="P32" s="70" t="s">
        <v>2016</v>
      </c>
      <c r="Q32" s="70" t="s">
        <v>5101</v>
      </c>
      <c r="R32" s="70" t="s">
        <v>1859</v>
      </c>
      <c r="S32" s="70"/>
      <c r="T32" s="70" t="s">
        <v>111</v>
      </c>
      <c r="U32" s="70" t="s">
        <v>119</v>
      </c>
    </row>
    <row r="33" spans="1:21" ht="29" customHeight="1" x14ac:dyDescent="0.2">
      <c r="A33" s="71" t="s">
        <v>5189</v>
      </c>
      <c r="B33" s="71" t="s">
        <v>137</v>
      </c>
      <c r="C33" s="71" t="s">
        <v>5167</v>
      </c>
      <c r="D33" s="71" t="s">
        <v>5190</v>
      </c>
      <c r="E33" s="71" t="s">
        <v>5095</v>
      </c>
      <c r="F33" s="71" t="s">
        <v>5111</v>
      </c>
      <c r="G33" s="71" t="s">
        <v>5097</v>
      </c>
      <c r="H33" s="71"/>
      <c r="I33" s="71" t="s">
        <v>111</v>
      </c>
      <c r="J33" s="71" t="s">
        <v>5098</v>
      </c>
      <c r="K33" s="71" t="s">
        <v>5099</v>
      </c>
      <c r="L33" s="71"/>
      <c r="M33" s="71"/>
      <c r="N33" s="71" t="s">
        <v>5180</v>
      </c>
      <c r="O33" s="71"/>
      <c r="P33" s="71" t="s">
        <v>2016</v>
      </c>
      <c r="Q33" s="71" t="s">
        <v>5101</v>
      </c>
      <c r="R33" s="71" t="s">
        <v>1859</v>
      </c>
      <c r="S33" s="71"/>
      <c r="T33" s="71" t="s">
        <v>111</v>
      </c>
      <c r="U33" s="71" t="s">
        <v>111</v>
      </c>
    </row>
    <row r="34" spans="1:21" ht="29" customHeight="1" x14ac:dyDescent="0.2">
      <c r="A34" s="70" t="s">
        <v>5191</v>
      </c>
      <c r="B34" s="70" t="s">
        <v>140</v>
      </c>
      <c r="C34" s="70" t="s">
        <v>2895</v>
      </c>
      <c r="D34" s="70" t="s">
        <v>3738</v>
      </c>
      <c r="E34" s="70" t="s">
        <v>5095</v>
      </c>
      <c r="F34" s="70" t="s">
        <v>5111</v>
      </c>
      <c r="G34" s="70" t="s">
        <v>5097</v>
      </c>
      <c r="H34" s="70"/>
      <c r="I34" s="70" t="s">
        <v>111</v>
      </c>
      <c r="J34" s="70" t="s">
        <v>5098</v>
      </c>
      <c r="K34" s="70" t="s">
        <v>5099</v>
      </c>
      <c r="L34" s="70"/>
      <c r="M34" s="70"/>
      <c r="N34" s="70" t="s">
        <v>5192</v>
      </c>
      <c r="O34" s="70"/>
      <c r="P34" s="70" t="s">
        <v>2016</v>
      </c>
      <c r="Q34" s="70" t="s">
        <v>5101</v>
      </c>
      <c r="R34" s="70" t="s">
        <v>1859</v>
      </c>
      <c r="S34" s="70"/>
      <c r="T34" s="70" t="s">
        <v>111</v>
      </c>
      <c r="U34" s="70" t="s">
        <v>111</v>
      </c>
    </row>
    <row r="35" spans="1:21" ht="29" customHeight="1" x14ac:dyDescent="0.2">
      <c r="A35" s="71" t="s">
        <v>5193</v>
      </c>
      <c r="B35" s="71" t="s">
        <v>140</v>
      </c>
      <c r="C35" s="71" t="s">
        <v>5194</v>
      </c>
      <c r="D35" s="71" t="s">
        <v>5195</v>
      </c>
      <c r="E35" s="71" t="s">
        <v>5095</v>
      </c>
      <c r="F35" s="71" t="s">
        <v>5111</v>
      </c>
      <c r="G35" s="71" t="s">
        <v>5097</v>
      </c>
      <c r="H35" s="71"/>
      <c r="I35" s="71" t="s">
        <v>111</v>
      </c>
      <c r="J35" s="71" t="s">
        <v>5098</v>
      </c>
      <c r="K35" s="71" t="s">
        <v>5099</v>
      </c>
      <c r="L35" s="71"/>
      <c r="M35" s="71"/>
      <c r="N35" s="71" t="s">
        <v>5192</v>
      </c>
      <c r="O35" s="71"/>
      <c r="P35" s="71" t="s">
        <v>2016</v>
      </c>
      <c r="Q35" s="71" t="s">
        <v>5101</v>
      </c>
      <c r="R35" s="71" t="s">
        <v>1859</v>
      </c>
      <c r="S35" s="71"/>
      <c r="T35" s="71" t="s">
        <v>111</v>
      </c>
      <c r="U35" s="71" t="s">
        <v>111</v>
      </c>
    </row>
    <row r="36" spans="1:21" ht="29" customHeight="1" x14ac:dyDescent="0.2">
      <c r="A36" s="70" t="s">
        <v>5196</v>
      </c>
      <c r="B36" s="70" t="s">
        <v>140</v>
      </c>
      <c r="C36" s="70" t="s">
        <v>5197</v>
      </c>
      <c r="D36" s="70" t="s">
        <v>5198</v>
      </c>
      <c r="E36" s="70" t="s">
        <v>5095</v>
      </c>
      <c r="F36" s="70" t="s">
        <v>5096</v>
      </c>
      <c r="G36" s="70" t="s">
        <v>5097</v>
      </c>
      <c r="H36" s="70"/>
      <c r="I36" s="70" t="s">
        <v>111</v>
      </c>
      <c r="J36" s="70" t="s">
        <v>5098</v>
      </c>
      <c r="K36" s="70" t="s">
        <v>5099</v>
      </c>
      <c r="L36" s="70"/>
      <c r="M36" s="70"/>
      <c r="N36" s="70" t="s">
        <v>5192</v>
      </c>
      <c r="O36" s="70"/>
      <c r="P36" s="70" t="s">
        <v>2016</v>
      </c>
      <c r="Q36" s="70" t="s">
        <v>5101</v>
      </c>
      <c r="R36" s="70" t="s">
        <v>1859</v>
      </c>
      <c r="S36" s="70"/>
      <c r="T36" s="70" t="s">
        <v>111</v>
      </c>
      <c r="U36" s="70" t="s">
        <v>119</v>
      </c>
    </row>
    <row r="37" spans="1:21" ht="29" customHeight="1" x14ac:dyDescent="0.2">
      <c r="A37" s="71" t="s">
        <v>5199</v>
      </c>
      <c r="B37" s="71" t="s">
        <v>140</v>
      </c>
      <c r="C37" s="71" t="s">
        <v>5200</v>
      </c>
      <c r="D37" s="71" t="s">
        <v>2797</v>
      </c>
      <c r="E37" s="71" t="s">
        <v>5095</v>
      </c>
      <c r="F37" s="71" t="s">
        <v>5111</v>
      </c>
      <c r="G37" s="71" t="s">
        <v>5097</v>
      </c>
      <c r="H37" s="71"/>
      <c r="I37" s="71" t="s">
        <v>111</v>
      </c>
      <c r="J37" s="71" t="s">
        <v>5098</v>
      </c>
      <c r="K37" s="71" t="s">
        <v>5099</v>
      </c>
      <c r="L37" s="71"/>
      <c r="M37" s="71"/>
      <c r="N37" s="71" t="s">
        <v>5192</v>
      </c>
      <c r="O37" s="71"/>
      <c r="P37" s="71" t="s">
        <v>2016</v>
      </c>
      <c r="Q37" s="71" t="s">
        <v>5101</v>
      </c>
      <c r="R37" s="71" t="s">
        <v>1859</v>
      </c>
      <c r="S37" s="71"/>
      <c r="T37" s="71" t="s">
        <v>111</v>
      </c>
      <c r="U37" s="71" t="s">
        <v>111</v>
      </c>
    </row>
    <row r="38" spans="1:21" ht="29" customHeight="1" x14ac:dyDescent="0.2">
      <c r="A38" s="70" t="s">
        <v>5201</v>
      </c>
      <c r="B38" s="70" t="s">
        <v>140</v>
      </c>
      <c r="C38" s="70" t="s">
        <v>5202</v>
      </c>
      <c r="D38" s="70" t="s">
        <v>2699</v>
      </c>
      <c r="E38" s="70" t="s">
        <v>5095</v>
      </c>
      <c r="F38" s="70" t="s">
        <v>5105</v>
      </c>
      <c r="G38" s="70" t="s">
        <v>3626</v>
      </c>
      <c r="H38" s="70"/>
      <c r="I38" s="70" t="s">
        <v>111</v>
      </c>
      <c r="J38" s="70" t="s">
        <v>5098</v>
      </c>
      <c r="K38" s="70" t="s">
        <v>5099</v>
      </c>
      <c r="L38" s="70"/>
      <c r="M38" s="70"/>
      <c r="N38" s="70" t="s">
        <v>5192</v>
      </c>
      <c r="O38" s="70"/>
      <c r="P38" s="70" t="s">
        <v>5106</v>
      </c>
      <c r="Q38" s="70" t="s">
        <v>5101</v>
      </c>
      <c r="R38" s="70" t="s">
        <v>1859</v>
      </c>
      <c r="S38" s="70" t="s">
        <v>5107</v>
      </c>
      <c r="T38" s="70" t="s">
        <v>119</v>
      </c>
      <c r="U38" s="70" t="s">
        <v>111</v>
      </c>
    </row>
    <row r="39" spans="1:21" ht="29" customHeight="1" x14ac:dyDescent="0.2">
      <c r="A39" s="71" t="s">
        <v>5203</v>
      </c>
      <c r="B39" s="71" t="s">
        <v>143</v>
      </c>
      <c r="C39" s="71" t="s">
        <v>5204</v>
      </c>
      <c r="D39" s="71" t="s">
        <v>5205</v>
      </c>
      <c r="E39" s="71" t="s">
        <v>5095</v>
      </c>
      <c r="F39" s="71" t="s">
        <v>5096</v>
      </c>
      <c r="G39" s="71" t="s">
        <v>5097</v>
      </c>
      <c r="H39" s="71" t="s">
        <v>5097</v>
      </c>
      <c r="I39" s="71" t="s">
        <v>111</v>
      </c>
      <c r="J39" s="71" t="s">
        <v>5098</v>
      </c>
      <c r="K39" s="71" t="s">
        <v>5099</v>
      </c>
      <c r="L39" s="71"/>
      <c r="M39" s="71"/>
      <c r="N39" s="71" t="s">
        <v>5206</v>
      </c>
      <c r="O39" s="71"/>
      <c r="P39" s="71" t="s">
        <v>2016</v>
      </c>
      <c r="Q39" s="71" t="s">
        <v>5101</v>
      </c>
      <c r="R39" s="71" t="s">
        <v>1859</v>
      </c>
      <c r="S39" s="71"/>
      <c r="T39" s="71" t="s">
        <v>111</v>
      </c>
      <c r="U39" s="71" t="s">
        <v>119</v>
      </c>
    </row>
    <row r="40" spans="1:21" ht="29" customHeight="1" x14ac:dyDescent="0.2">
      <c r="A40" s="70" t="s">
        <v>5207</v>
      </c>
      <c r="B40" s="70" t="s">
        <v>143</v>
      </c>
      <c r="C40" s="70" t="s">
        <v>5208</v>
      </c>
      <c r="D40" s="70" t="s">
        <v>3797</v>
      </c>
      <c r="E40" s="70" t="s">
        <v>5095</v>
      </c>
      <c r="F40" s="70" t="s">
        <v>5111</v>
      </c>
      <c r="G40" s="70" t="s">
        <v>5097</v>
      </c>
      <c r="H40" s="70" t="s">
        <v>5097</v>
      </c>
      <c r="I40" s="70" t="s">
        <v>111</v>
      </c>
      <c r="J40" s="70" t="s">
        <v>5098</v>
      </c>
      <c r="K40" s="70" t="s">
        <v>5099</v>
      </c>
      <c r="L40" s="70"/>
      <c r="M40" s="70"/>
      <c r="N40" s="70" t="s">
        <v>5206</v>
      </c>
      <c r="O40" s="70"/>
      <c r="P40" s="70" t="s">
        <v>2016</v>
      </c>
      <c r="Q40" s="70" t="s">
        <v>5101</v>
      </c>
      <c r="R40" s="70" t="s">
        <v>1859</v>
      </c>
      <c r="S40" s="70"/>
      <c r="T40" s="70" t="s">
        <v>111</v>
      </c>
      <c r="U40" s="70" t="s">
        <v>111</v>
      </c>
    </row>
    <row r="41" spans="1:21" ht="29" customHeight="1" x14ac:dyDescent="0.2">
      <c r="A41" s="71" t="s">
        <v>5209</v>
      </c>
      <c r="B41" s="71" t="s">
        <v>143</v>
      </c>
      <c r="C41" s="71" t="s">
        <v>5210</v>
      </c>
      <c r="D41" s="71" t="s">
        <v>5211</v>
      </c>
      <c r="E41" s="71" t="s">
        <v>5095</v>
      </c>
      <c r="F41" s="71" t="s">
        <v>5111</v>
      </c>
      <c r="G41" s="71" t="s">
        <v>3626</v>
      </c>
      <c r="H41" s="71" t="s">
        <v>3626</v>
      </c>
      <c r="I41" s="71" t="s">
        <v>111</v>
      </c>
      <c r="J41" s="71" t="s">
        <v>5098</v>
      </c>
      <c r="K41" s="71" t="s">
        <v>5099</v>
      </c>
      <c r="L41" s="71"/>
      <c r="M41" s="71"/>
      <c r="N41" s="71" t="s">
        <v>5206</v>
      </c>
      <c r="O41" s="71"/>
      <c r="P41" s="71" t="s">
        <v>5106</v>
      </c>
      <c r="Q41" s="71" t="s">
        <v>5101</v>
      </c>
      <c r="R41" s="71" t="s">
        <v>1859</v>
      </c>
      <c r="S41" s="71" t="s">
        <v>5107</v>
      </c>
      <c r="T41" s="71" t="s">
        <v>119</v>
      </c>
      <c r="U41" s="71" t="s">
        <v>111</v>
      </c>
    </row>
    <row r="42" spans="1:21" ht="29" customHeight="1" x14ac:dyDescent="0.2">
      <c r="A42" s="70" t="s">
        <v>5212</v>
      </c>
      <c r="B42" s="70" t="s">
        <v>143</v>
      </c>
      <c r="C42" s="70" t="s">
        <v>5213</v>
      </c>
      <c r="D42" s="70" t="s">
        <v>5214</v>
      </c>
      <c r="E42" s="70" t="s">
        <v>5095</v>
      </c>
      <c r="F42" s="70" t="s">
        <v>5111</v>
      </c>
      <c r="G42" s="70" t="s">
        <v>3626</v>
      </c>
      <c r="H42" s="70" t="s">
        <v>3626</v>
      </c>
      <c r="I42" s="70" t="s">
        <v>111</v>
      </c>
      <c r="J42" s="70" t="s">
        <v>5098</v>
      </c>
      <c r="K42" s="70" t="s">
        <v>5099</v>
      </c>
      <c r="L42" s="70"/>
      <c r="M42" s="70"/>
      <c r="N42" s="70" t="s">
        <v>5206</v>
      </c>
      <c r="O42" s="70"/>
      <c r="P42" s="70" t="s">
        <v>5106</v>
      </c>
      <c r="Q42" s="70" t="s">
        <v>5101</v>
      </c>
      <c r="R42" s="70" t="s">
        <v>1859</v>
      </c>
      <c r="S42" s="70" t="s">
        <v>5115</v>
      </c>
      <c r="T42" s="70" t="s">
        <v>111</v>
      </c>
      <c r="U42" s="70" t="s">
        <v>111</v>
      </c>
    </row>
    <row r="43" spans="1:21" ht="29" customHeight="1" x14ac:dyDescent="0.2">
      <c r="A43" s="71" t="s">
        <v>5215</v>
      </c>
      <c r="B43" s="71" t="s">
        <v>143</v>
      </c>
      <c r="C43" s="71" t="s">
        <v>5216</v>
      </c>
      <c r="D43" s="71" t="s">
        <v>5217</v>
      </c>
      <c r="E43" s="71" t="s">
        <v>5095</v>
      </c>
      <c r="F43" s="71" t="s">
        <v>5105</v>
      </c>
      <c r="G43" s="71" t="s">
        <v>5097</v>
      </c>
      <c r="H43" s="71" t="s">
        <v>5097</v>
      </c>
      <c r="I43" s="71" t="s">
        <v>111</v>
      </c>
      <c r="J43" s="71" t="s">
        <v>5098</v>
      </c>
      <c r="K43" s="71" t="s">
        <v>5099</v>
      </c>
      <c r="L43" s="71"/>
      <c r="M43" s="71"/>
      <c r="N43" s="71" t="s">
        <v>5206</v>
      </c>
      <c r="O43" s="71"/>
      <c r="P43" s="71" t="s">
        <v>2016</v>
      </c>
      <c r="Q43" s="71" t="s">
        <v>5101</v>
      </c>
      <c r="R43" s="71" t="s">
        <v>1859</v>
      </c>
      <c r="S43" s="71"/>
      <c r="T43" s="71" t="s">
        <v>111</v>
      </c>
      <c r="U43" s="71" t="s">
        <v>111</v>
      </c>
    </row>
    <row r="44" spans="1:21" ht="29" customHeight="1" x14ac:dyDescent="0.2">
      <c r="A44" s="70" t="s">
        <v>5218</v>
      </c>
      <c r="B44" s="70" t="s">
        <v>20</v>
      </c>
      <c r="C44" s="70"/>
      <c r="D44" s="70" t="s">
        <v>5219</v>
      </c>
      <c r="E44" s="70" t="s">
        <v>5220</v>
      </c>
      <c r="F44" s="70" t="s">
        <v>5111</v>
      </c>
      <c r="G44" s="70" t="s">
        <v>3626</v>
      </c>
      <c r="H44" s="70" t="s">
        <v>3626</v>
      </c>
      <c r="I44" s="70" t="s">
        <v>111</v>
      </c>
      <c r="J44" s="70" t="s">
        <v>5098</v>
      </c>
      <c r="K44" s="70" t="s">
        <v>5099</v>
      </c>
      <c r="L44" s="70"/>
      <c r="M44" s="70"/>
      <c r="N44" s="70" t="s">
        <v>5221</v>
      </c>
      <c r="O44" s="70"/>
      <c r="P44" s="70" t="s">
        <v>5106</v>
      </c>
      <c r="Q44" s="70" t="s">
        <v>5101</v>
      </c>
      <c r="R44" s="70" t="s">
        <v>1859</v>
      </c>
      <c r="S44" s="70" t="s">
        <v>5115</v>
      </c>
      <c r="T44" s="70" t="s">
        <v>111</v>
      </c>
      <c r="U44" s="70" t="s">
        <v>111</v>
      </c>
    </row>
    <row r="45" spans="1:21" ht="29" customHeight="1" x14ac:dyDescent="0.2">
      <c r="A45" s="71" t="s">
        <v>5222</v>
      </c>
      <c r="B45" s="71" t="s">
        <v>20</v>
      </c>
      <c r="C45" s="71"/>
      <c r="D45" s="71" t="s">
        <v>5223</v>
      </c>
      <c r="E45" s="71" t="s">
        <v>5220</v>
      </c>
      <c r="F45" s="71" t="s">
        <v>5096</v>
      </c>
      <c r="G45" s="71" t="s">
        <v>3626</v>
      </c>
      <c r="H45" s="71" t="s">
        <v>3626</v>
      </c>
      <c r="I45" s="71" t="s">
        <v>111</v>
      </c>
      <c r="J45" s="71" t="s">
        <v>5098</v>
      </c>
      <c r="K45" s="71" t="s">
        <v>5099</v>
      </c>
      <c r="L45" s="71"/>
      <c r="M45" s="71"/>
      <c r="N45" s="71" t="s">
        <v>5221</v>
      </c>
      <c r="O45" s="71"/>
      <c r="P45" s="71" t="s">
        <v>5106</v>
      </c>
      <c r="Q45" s="71" t="s">
        <v>5101</v>
      </c>
      <c r="R45" s="71" t="s">
        <v>1859</v>
      </c>
      <c r="S45" s="71" t="s">
        <v>5115</v>
      </c>
      <c r="T45" s="71" t="s">
        <v>111</v>
      </c>
      <c r="U45" s="71" t="s">
        <v>119</v>
      </c>
    </row>
    <row r="46" spans="1:21" ht="29" customHeight="1" x14ac:dyDescent="0.2">
      <c r="A46" s="70" t="s">
        <v>5224</v>
      </c>
      <c r="B46" s="70" t="s">
        <v>20</v>
      </c>
      <c r="C46" s="70"/>
      <c r="D46" s="70" t="s">
        <v>5225</v>
      </c>
      <c r="E46" s="70" t="s">
        <v>5220</v>
      </c>
      <c r="F46" s="70" t="s">
        <v>5111</v>
      </c>
      <c r="G46" s="70" t="s">
        <v>3626</v>
      </c>
      <c r="H46" s="70" t="s">
        <v>3626</v>
      </c>
      <c r="I46" s="70" t="s">
        <v>111</v>
      </c>
      <c r="J46" s="70" t="s">
        <v>5098</v>
      </c>
      <c r="K46" s="70" t="s">
        <v>5099</v>
      </c>
      <c r="L46" s="70"/>
      <c r="M46" s="70"/>
      <c r="N46" s="70" t="s">
        <v>5221</v>
      </c>
      <c r="O46" s="70"/>
      <c r="P46" s="70" t="s">
        <v>5106</v>
      </c>
      <c r="Q46" s="70" t="s">
        <v>5101</v>
      </c>
      <c r="R46" s="70" t="s">
        <v>1859</v>
      </c>
      <c r="S46" s="70" t="s">
        <v>5107</v>
      </c>
      <c r="T46" s="70" t="s">
        <v>119</v>
      </c>
      <c r="U46" s="70" t="s">
        <v>111</v>
      </c>
    </row>
    <row r="47" spans="1:21" ht="29" customHeight="1" x14ac:dyDescent="0.2">
      <c r="A47" s="71" t="s">
        <v>5226</v>
      </c>
      <c r="B47" s="71" t="s">
        <v>20</v>
      </c>
      <c r="C47" s="71"/>
      <c r="D47" s="71" t="s">
        <v>5227</v>
      </c>
      <c r="E47" s="71" t="s">
        <v>5220</v>
      </c>
      <c r="F47" s="71" t="s">
        <v>5111</v>
      </c>
      <c r="G47" s="71" t="s">
        <v>3626</v>
      </c>
      <c r="H47" s="71" t="s">
        <v>3626</v>
      </c>
      <c r="I47" s="71" t="s">
        <v>111</v>
      </c>
      <c r="J47" s="71" t="s">
        <v>5098</v>
      </c>
      <c r="K47" s="71" t="s">
        <v>5099</v>
      </c>
      <c r="L47" s="71"/>
      <c r="M47" s="71"/>
      <c r="N47" s="71" t="s">
        <v>5221</v>
      </c>
      <c r="O47" s="71"/>
      <c r="P47" s="71" t="s">
        <v>5106</v>
      </c>
      <c r="Q47" s="71" t="s">
        <v>5101</v>
      </c>
      <c r="R47" s="71" t="s">
        <v>1859</v>
      </c>
      <c r="S47" s="71" t="s">
        <v>5115</v>
      </c>
      <c r="T47" s="71" t="s">
        <v>111</v>
      </c>
      <c r="U47" s="71" t="s">
        <v>111</v>
      </c>
    </row>
    <row r="48" spans="1:21" ht="29" customHeight="1" x14ac:dyDescent="0.2">
      <c r="A48" s="70" t="s">
        <v>5228</v>
      </c>
      <c r="B48" s="70" t="s">
        <v>151</v>
      </c>
      <c r="C48" s="70" t="s">
        <v>5229</v>
      </c>
      <c r="D48" s="70" t="s">
        <v>3843</v>
      </c>
      <c r="E48" s="70" t="s">
        <v>5095</v>
      </c>
      <c r="F48" s="70" t="s">
        <v>5096</v>
      </c>
      <c r="G48" s="70" t="s">
        <v>5097</v>
      </c>
      <c r="H48" s="70"/>
      <c r="I48" s="70" t="s">
        <v>111</v>
      </c>
      <c r="J48" s="70" t="s">
        <v>5098</v>
      </c>
      <c r="K48" s="70" t="s">
        <v>5099</v>
      </c>
      <c r="L48" s="70"/>
      <c r="M48" s="70"/>
      <c r="N48" s="70" t="s">
        <v>5230</v>
      </c>
      <c r="O48" s="70"/>
      <c r="P48" s="70" t="s">
        <v>2016</v>
      </c>
      <c r="Q48" s="70" t="s">
        <v>5101</v>
      </c>
      <c r="R48" s="70" t="s">
        <v>1859</v>
      </c>
      <c r="S48" s="70"/>
      <c r="T48" s="70" t="s">
        <v>111</v>
      </c>
      <c r="U48" s="70" t="s">
        <v>119</v>
      </c>
    </row>
    <row r="49" spans="1:21" ht="29" customHeight="1" x14ac:dyDescent="0.2">
      <c r="A49" s="71" t="s">
        <v>5231</v>
      </c>
      <c r="B49" s="71" t="s">
        <v>151</v>
      </c>
      <c r="C49" s="71" t="s">
        <v>5232</v>
      </c>
      <c r="D49" s="71" t="s">
        <v>5233</v>
      </c>
      <c r="E49" s="71" t="s">
        <v>5095</v>
      </c>
      <c r="F49" s="71" t="s">
        <v>5111</v>
      </c>
      <c r="G49" s="71" t="s">
        <v>5097</v>
      </c>
      <c r="H49" s="71"/>
      <c r="I49" s="71" t="s">
        <v>111</v>
      </c>
      <c r="J49" s="71" t="s">
        <v>5098</v>
      </c>
      <c r="K49" s="71" t="s">
        <v>5099</v>
      </c>
      <c r="L49" s="71"/>
      <c r="M49" s="71"/>
      <c r="N49" s="71" t="s">
        <v>5230</v>
      </c>
      <c r="O49" s="71"/>
      <c r="P49" s="71" t="s">
        <v>2016</v>
      </c>
      <c r="Q49" s="71" t="s">
        <v>5101</v>
      </c>
      <c r="R49" s="71" t="s">
        <v>1859</v>
      </c>
      <c r="S49" s="71"/>
      <c r="T49" s="71" t="s">
        <v>111</v>
      </c>
      <c r="U49" s="71" t="s">
        <v>111</v>
      </c>
    </row>
    <row r="50" spans="1:21" ht="29" customHeight="1" x14ac:dyDescent="0.2">
      <c r="A50" s="70" t="s">
        <v>5234</v>
      </c>
      <c r="B50" s="70" t="s">
        <v>151</v>
      </c>
      <c r="C50" s="70" t="s">
        <v>5235</v>
      </c>
      <c r="D50" s="70" t="s">
        <v>5236</v>
      </c>
      <c r="E50" s="70" t="s">
        <v>5095</v>
      </c>
      <c r="F50" s="70" t="s">
        <v>5105</v>
      </c>
      <c r="G50" s="70" t="s">
        <v>3626</v>
      </c>
      <c r="H50" s="70"/>
      <c r="I50" s="70" t="s">
        <v>111</v>
      </c>
      <c r="J50" s="70" t="s">
        <v>5098</v>
      </c>
      <c r="K50" s="70" t="s">
        <v>5099</v>
      </c>
      <c r="L50" s="70"/>
      <c r="M50" s="70"/>
      <c r="N50" s="70" t="s">
        <v>5230</v>
      </c>
      <c r="O50" s="70"/>
      <c r="P50" s="70" t="s">
        <v>5106</v>
      </c>
      <c r="Q50" s="70" t="s">
        <v>5101</v>
      </c>
      <c r="R50" s="70" t="s">
        <v>1859</v>
      </c>
      <c r="S50" s="70" t="s">
        <v>5107</v>
      </c>
      <c r="T50" s="70" t="s">
        <v>119</v>
      </c>
      <c r="U50" s="70" t="s">
        <v>111</v>
      </c>
    </row>
    <row r="51" spans="1:21" ht="29" customHeight="1" x14ac:dyDescent="0.2">
      <c r="A51" s="71" t="s">
        <v>5237</v>
      </c>
      <c r="B51" s="71" t="s">
        <v>151</v>
      </c>
      <c r="C51" s="71" t="s">
        <v>5238</v>
      </c>
      <c r="D51" s="71" t="s">
        <v>5239</v>
      </c>
      <c r="E51" s="71" t="s">
        <v>5095</v>
      </c>
      <c r="F51" s="71" t="s">
        <v>5111</v>
      </c>
      <c r="G51" s="71" t="s">
        <v>5097</v>
      </c>
      <c r="H51" s="71"/>
      <c r="I51" s="71" t="s">
        <v>111</v>
      </c>
      <c r="J51" s="71" t="s">
        <v>5098</v>
      </c>
      <c r="K51" s="71" t="s">
        <v>5099</v>
      </c>
      <c r="L51" s="71"/>
      <c r="M51" s="71"/>
      <c r="N51" s="71" t="s">
        <v>5230</v>
      </c>
      <c r="O51" s="71"/>
      <c r="P51" s="71" t="s">
        <v>2016</v>
      </c>
      <c r="Q51" s="71" t="s">
        <v>5101</v>
      </c>
      <c r="R51" s="71" t="s">
        <v>1859</v>
      </c>
      <c r="S51" s="71"/>
      <c r="T51" s="71" t="s">
        <v>111</v>
      </c>
      <c r="U51" s="71" t="s">
        <v>111</v>
      </c>
    </row>
    <row r="52" spans="1:21" ht="29" customHeight="1" x14ac:dyDescent="0.2">
      <c r="A52" s="70" t="s">
        <v>5240</v>
      </c>
      <c r="B52" s="70" t="s">
        <v>151</v>
      </c>
      <c r="C52" s="70" t="s">
        <v>5241</v>
      </c>
      <c r="D52" s="70" t="s">
        <v>3858</v>
      </c>
      <c r="E52" s="70" t="s">
        <v>5095</v>
      </c>
      <c r="F52" s="70" t="s">
        <v>5111</v>
      </c>
      <c r="G52" s="70" t="s">
        <v>5097</v>
      </c>
      <c r="H52" s="70"/>
      <c r="I52" s="70" t="s">
        <v>111</v>
      </c>
      <c r="J52" s="70" t="s">
        <v>5098</v>
      </c>
      <c r="K52" s="70" t="s">
        <v>5099</v>
      </c>
      <c r="L52" s="70"/>
      <c r="M52" s="70"/>
      <c r="N52" s="70" t="s">
        <v>5230</v>
      </c>
      <c r="O52" s="70"/>
      <c r="P52" s="70" t="s">
        <v>2016</v>
      </c>
      <c r="Q52" s="70" t="s">
        <v>5101</v>
      </c>
      <c r="R52" s="70" t="s">
        <v>1859</v>
      </c>
      <c r="S52" s="70"/>
      <c r="T52" s="70" t="s">
        <v>111</v>
      </c>
      <c r="U52" s="70" t="s">
        <v>111</v>
      </c>
    </row>
    <row r="53" spans="1:21" ht="29" customHeight="1" x14ac:dyDescent="0.2">
      <c r="A53" s="71" t="s">
        <v>5242</v>
      </c>
      <c r="B53" s="71" t="s">
        <v>157</v>
      </c>
      <c r="C53" s="71" t="s">
        <v>5243</v>
      </c>
      <c r="D53" s="71" t="s">
        <v>5244</v>
      </c>
      <c r="E53" s="71" t="s">
        <v>5095</v>
      </c>
      <c r="F53" s="71" t="s">
        <v>5105</v>
      </c>
      <c r="G53" s="71" t="s">
        <v>3626</v>
      </c>
      <c r="H53" s="71" t="s">
        <v>3626</v>
      </c>
      <c r="I53" s="71" t="s">
        <v>111</v>
      </c>
      <c r="J53" s="71" t="s">
        <v>5098</v>
      </c>
      <c r="K53" s="71" t="s">
        <v>5099</v>
      </c>
      <c r="L53" s="71"/>
      <c r="M53" s="71"/>
      <c r="N53" s="71" t="s">
        <v>5245</v>
      </c>
      <c r="O53" s="71"/>
      <c r="P53" s="71" t="s">
        <v>5106</v>
      </c>
      <c r="Q53" s="71" t="s">
        <v>5101</v>
      </c>
      <c r="R53" s="71" t="s">
        <v>1859</v>
      </c>
      <c r="S53" s="71" t="s">
        <v>5107</v>
      </c>
      <c r="T53" s="71" t="s">
        <v>119</v>
      </c>
      <c r="U53" s="71" t="s">
        <v>111</v>
      </c>
    </row>
    <row r="54" spans="1:21" ht="29" customHeight="1" x14ac:dyDescent="0.2">
      <c r="A54" s="70" t="s">
        <v>5246</v>
      </c>
      <c r="B54" s="70" t="s">
        <v>157</v>
      </c>
      <c r="C54" s="70" t="s">
        <v>5247</v>
      </c>
      <c r="D54" s="70" t="s">
        <v>5248</v>
      </c>
      <c r="E54" s="70" t="s">
        <v>5095</v>
      </c>
      <c r="F54" s="70" t="s">
        <v>5111</v>
      </c>
      <c r="G54" s="70" t="s">
        <v>5097</v>
      </c>
      <c r="H54" s="70" t="s">
        <v>5097</v>
      </c>
      <c r="I54" s="70" t="s">
        <v>111</v>
      </c>
      <c r="J54" s="70" t="s">
        <v>5098</v>
      </c>
      <c r="K54" s="70" t="s">
        <v>5099</v>
      </c>
      <c r="L54" s="70"/>
      <c r="M54" s="70"/>
      <c r="N54" s="70" t="s">
        <v>5245</v>
      </c>
      <c r="O54" s="70"/>
      <c r="P54" s="70" t="s">
        <v>2016</v>
      </c>
      <c r="Q54" s="70" t="s">
        <v>5101</v>
      </c>
      <c r="R54" s="70" t="s">
        <v>1859</v>
      </c>
      <c r="S54" s="70"/>
      <c r="T54" s="70" t="s">
        <v>111</v>
      </c>
      <c r="U54" s="70" t="s">
        <v>111</v>
      </c>
    </row>
    <row r="55" spans="1:21" ht="29" customHeight="1" x14ac:dyDescent="0.2">
      <c r="A55" s="71" t="s">
        <v>5249</v>
      </c>
      <c r="B55" s="71" t="s">
        <v>157</v>
      </c>
      <c r="C55" s="71" t="s">
        <v>5250</v>
      </c>
      <c r="D55" s="71" t="s">
        <v>5251</v>
      </c>
      <c r="E55" s="71" t="s">
        <v>5095</v>
      </c>
      <c r="F55" s="71" t="s">
        <v>5096</v>
      </c>
      <c r="G55" s="71" t="s">
        <v>5097</v>
      </c>
      <c r="H55" s="71"/>
      <c r="I55" s="71" t="s">
        <v>111</v>
      </c>
      <c r="J55" s="71" t="s">
        <v>5098</v>
      </c>
      <c r="K55" s="71" t="s">
        <v>5099</v>
      </c>
      <c r="L55" s="71"/>
      <c r="M55" s="71"/>
      <c r="N55" s="71" t="s">
        <v>5245</v>
      </c>
      <c r="O55" s="71"/>
      <c r="P55" s="71" t="s">
        <v>2016</v>
      </c>
      <c r="Q55" s="71" t="s">
        <v>5101</v>
      </c>
      <c r="R55" s="71" t="s">
        <v>1859</v>
      </c>
      <c r="S55" s="71"/>
      <c r="T55" s="71" t="s">
        <v>111</v>
      </c>
      <c r="U55" s="71" t="s">
        <v>119</v>
      </c>
    </row>
    <row r="56" spans="1:21" ht="29" customHeight="1" x14ac:dyDescent="0.2">
      <c r="A56" s="70" t="s">
        <v>5252</v>
      </c>
      <c r="B56" s="70" t="s">
        <v>157</v>
      </c>
      <c r="C56" s="70" t="s">
        <v>5253</v>
      </c>
      <c r="D56" s="70" t="s">
        <v>5254</v>
      </c>
      <c r="E56" s="70" t="s">
        <v>5095</v>
      </c>
      <c r="F56" s="70" t="s">
        <v>5111</v>
      </c>
      <c r="G56" s="70" t="s">
        <v>5097</v>
      </c>
      <c r="H56" s="70"/>
      <c r="I56" s="70" t="s">
        <v>111</v>
      </c>
      <c r="J56" s="70" t="s">
        <v>5098</v>
      </c>
      <c r="K56" s="70" t="s">
        <v>5099</v>
      </c>
      <c r="L56" s="70"/>
      <c r="M56" s="70"/>
      <c r="N56" s="70" t="s">
        <v>5245</v>
      </c>
      <c r="O56" s="70"/>
      <c r="P56" s="70" t="s">
        <v>2016</v>
      </c>
      <c r="Q56" s="70" t="s">
        <v>5101</v>
      </c>
      <c r="R56" s="70" t="s">
        <v>1859</v>
      </c>
      <c r="S56" s="70"/>
      <c r="T56" s="70" t="s">
        <v>111</v>
      </c>
      <c r="U56" s="70" t="s">
        <v>111</v>
      </c>
    </row>
    <row r="57" spans="1:21" ht="29" customHeight="1" x14ac:dyDescent="0.2">
      <c r="A57" s="71" t="s">
        <v>5255</v>
      </c>
      <c r="B57" s="71" t="s">
        <v>157</v>
      </c>
      <c r="C57" s="71" t="s">
        <v>5256</v>
      </c>
      <c r="D57" s="71" t="s">
        <v>5257</v>
      </c>
      <c r="E57" s="71" t="s">
        <v>5095</v>
      </c>
      <c r="F57" s="71" t="s">
        <v>5111</v>
      </c>
      <c r="G57" s="71" t="s">
        <v>5097</v>
      </c>
      <c r="H57" s="71"/>
      <c r="I57" s="71" t="s">
        <v>111</v>
      </c>
      <c r="J57" s="71" t="s">
        <v>5098</v>
      </c>
      <c r="K57" s="71" t="s">
        <v>5099</v>
      </c>
      <c r="L57" s="71"/>
      <c r="M57" s="71"/>
      <c r="N57" s="71" t="s">
        <v>5245</v>
      </c>
      <c r="O57" s="71"/>
      <c r="P57" s="71" t="s">
        <v>2016</v>
      </c>
      <c r="Q57" s="71" t="s">
        <v>5101</v>
      </c>
      <c r="R57" s="71" t="s">
        <v>1859</v>
      </c>
      <c r="S57" s="71"/>
      <c r="T57" s="71" t="s">
        <v>111</v>
      </c>
      <c r="U57" s="71" t="s">
        <v>111</v>
      </c>
    </row>
    <row r="58" spans="1:21" ht="29" customHeight="1" x14ac:dyDescent="0.2">
      <c r="A58" s="70" t="s">
        <v>5258</v>
      </c>
      <c r="B58" s="70" t="s">
        <v>159</v>
      </c>
      <c r="C58" s="70" t="s">
        <v>5259</v>
      </c>
      <c r="D58" s="70" t="s">
        <v>5260</v>
      </c>
      <c r="E58" s="70" t="s">
        <v>5095</v>
      </c>
      <c r="F58" s="70" t="s">
        <v>5105</v>
      </c>
      <c r="G58" s="70" t="s">
        <v>3626</v>
      </c>
      <c r="H58" s="70" t="s">
        <v>3626</v>
      </c>
      <c r="I58" s="70" t="s">
        <v>111</v>
      </c>
      <c r="J58" s="70" t="s">
        <v>5098</v>
      </c>
      <c r="K58" s="70" t="s">
        <v>5099</v>
      </c>
      <c r="L58" s="70"/>
      <c r="M58" s="70"/>
      <c r="N58" s="70" t="s">
        <v>5261</v>
      </c>
      <c r="O58" s="70"/>
      <c r="P58" s="70" t="s">
        <v>5106</v>
      </c>
      <c r="Q58" s="70" t="s">
        <v>5101</v>
      </c>
      <c r="R58" s="70" t="s">
        <v>4364</v>
      </c>
      <c r="S58" s="70" t="s">
        <v>5107</v>
      </c>
      <c r="T58" s="70" t="s">
        <v>119</v>
      </c>
      <c r="U58" s="70" t="s">
        <v>111</v>
      </c>
    </row>
    <row r="59" spans="1:21" ht="29" customHeight="1" x14ac:dyDescent="0.2">
      <c r="A59" s="71" t="s">
        <v>5262</v>
      </c>
      <c r="B59" s="71" t="s">
        <v>159</v>
      </c>
      <c r="C59" s="71" t="s">
        <v>5263</v>
      </c>
      <c r="D59" s="71" t="s">
        <v>5264</v>
      </c>
      <c r="E59" s="71" t="s">
        <v>5095</v>
      </c>
      <c r="F59" s="71" t="s">
        <v>5111</v>
      </c>
      <c r="G59" s="71" t="s">
        <v>5097</v>
      </c>
      <c r="H59" s="71"/>
      <c r="I59" s="71" t="s">
        <v>111</v>
      </c>
      <c r="J59" s="71" t="s">
        <v>5098</v>
      </c>
      <c r="K59" s="71" t="s">
        <v>5099</v>
      </c>
      <c r="L59" s="71"/>
      <c r="M59" s="71"/>
      <c r="N59" s="71" t="s">
        <v>5261</v>
      </c>
      <c r="O59" s="71"/>
      <c r="P59" s="71" t="s">
        <v>2016</v>
      </c>
      <c r="Q59" s="71" t="s">
        <v>5101</v>
      </c>
      <c r="R59" s="71" t="s">
        <v>4364</v>
      </c>
      <c r="S59" s="71"/>
      <c r="T59" s="71" t="s">
        <v>111</v>
      </c>
      <c r="U59" s="71" t="s">
        <v>111</v>
      </c>
    </row>
    <row r="60" spans="1:21" ht="29" customHeight="1" x14ac:dyDescent="0.2">
      <c r="A60" s="70" t="s">
        <v>5265</v>
      </c>
      <c r="B60" s="70" t="s">
        <v>159</v>
      </c>
      <c r="C60" s="70" t="s">
        <v>5266</v>
      </c>
      <c r="D60" s="70" t="s">
        <v>5267</v>
      </c>
      <c r="E60" s="70" t="s">
        <v>5095</v>
      </c>
      <c r="F60" s="70" t="s">
        <v>5096</v>
      </c>
      <c r="G60" s="70" t="s">
        <v>5097</v>
      </c>
      <c r="H60" s="70"/>
      <c r="I60" s="70" t="s">
        <v>111</v>
      </c>
      <c r="J60" s="70" t="s">
        <v>5098</v>
      </c>
      <c r="K60" s="70" t="s">
        <v>5099</v>
      </c>
      <c r="L60" s="70"/>
      <c r="M60" s="70"/>
      <c r="N60" s="70" t="s">
        <v>5261</v>
      </c>
      <c r="O60" s="70"/>
      <c r="P60" s="70" t="s">
        <v>2016</v>
      </c>
      <c r="Q60" s="70" t="s">
        <v>5101</v>
      </c>
      <c r="R60" s="70" t="s">
        <v>4364</v>
      </c>
      <c r="S60" s="70"/>
      <c r="T60" s="70" t="s">
        <v>111</v>
      </c>
      <c r="U60" s="70" t="s">
        <v>119</v>
      </c>
    </row>
    <row r="61" spans="1:21" ht="29" customHeight="1" x14ac:dyDescent="0.2">
      <c r="A61" s="71" t="s">
        <v>5268</v>
      </c>
      <c r="B61" s="71" t="s">
        <v>159</v>
      </c>
      <c r="C61" s="71" t="s">
        <v>5269</v>
      </c>
      <c r="D61" s="71" t="s">
        <v>5270</v>
      </c>
      <c r="E61" s="71" t="s">
        <v>5095</v>
      </c>
      <c r="F61" s="71" t="s">
        <v>5111</v>
      </c>
      <c r="G61" s="71" t="s">
        <v>5097</v>
      </c>
      <c r="H61" s="71"/>
      <c r="I61" s="71" t="s">
        <v>111</v>
      </c>
      <c r="J61" s="71" t="s">
        <v>5098</v>
      </c>
      <c r="K61" s="71" t="s">
        <v>5099</v>
      </c>
      <c r="L61" s="71"/>
      <c r="M61" s="71"/>
      <c r="N61" s="71" t="s">
        <v>5261</v>
      </c>
      <c r="O61" s="71"/>
      <c r="P61" s="71" t="s">
        <v>2016</v>
      </c>
      <c r="Q61" s="71" t="s">
        <v>5101</v>
      </c>
      <c r="R61" s="71" t="s">
        <v>4364</v>
      </c>
      <c r="S61" s="71"/>
      <c r="T61" s="71" t="s">
        <v>111</v>
      </c>
      <c r="U61" s="71" t="s">
        <v>111</v>
      </c>
    </row>
    <row r="62" spans="1:21" ht="29" customHeight="1" x14ac:dyDescent="0.2">
      <c r="A62" s="70" t="s">
        <v>5271</v>
      </c>
      <c r="B62" s="70" t="s">
        <v>159</v>
      </c>
      <c r="C62" s="70" t="s">
        <v>5272</v>
      </c>
      <c r="D62" s="70" t="s">
        <v>5273</v>
      </c>
      <c r="E62" s="70" t="s">
        <v>5095</v>
      </c>
      <c r="F62" s="70" t="s">
        <v>5111</v>
      </c>
      <c r="G62" s="70" t="s">
        <v>3626</v>
      </c>
      <c r="H62" s="70" t="s">
        <v>3626</v>
      </c>
      <c r="I62" s="70" t="s">
        <v>111</v>
      </c>
      <c r="J62" s="70" t="s">
        <v>5098</v>
      </c>
      <c r="K62" s="70" t="s">
        <v>5099</v>
      </c>
      <c r="L62" s="70"/>
      <c r="M62" s="70"/>
      <c r="N62" s="70" t="s">
        <v>5261</v>
      </c>
      <c r="O62" s="70"/>
      <c r="P62" s="70" t="s">
        <v>5106</v>
      </c>
      <c r="Q62" s="70" t="s">
        <v>5101</v>
      </c>
      <c r="R62" s="70" t="s">
        <v>4364</v>
      </c>
      <c r="S62" s="70" t="s">
        <v>5115</v>
      </c>
      <c r="T62" s="70" t="s">
        <v>111</v>
      </c>
      <c r="U62" s="70" t="s">
        <v>111</v>
      </c>
    </row>
    <row r="63" spans="1:21" ht="29" customHeight="1" x14ac:dyDescent="0.2">
      <c r="A63" s="71" t="s">
        <v>5274</v>
      </c>
      <c r="B63" s="71" t="s">
        <v>162</v>
      </c>
      <c r="C63" s="71" t="s">
        <v>5216</v>
      </c>
      <c r="D63" s="71" t="s">
        <v>5275</v>
      </c>
      <c r="E63" s="71" t="s">
        <v>5095</v>
      </c>
      <c r="F63" s="71" t="s">
        <v>5111</v>
      </c>
      <c r="G63" s="71" t="s">
        <v>3626</v>
      </c>
      <c r="H63" s="71"/>
      <c r="I63" s="71" t="s">
        <v>111</v>
      </c>
      <c r="J63" s="71" t="s">
        <v>5098</v>
      </c>
      <c r="K63" s="71" t="s">
        <v>5099</v>
      </c>
      <c r="L63" s="71"/>
      <c r="M63" s="71"/>
      <c r="N63" s="71" t="s">
        <v>5276</v>
      </c>
      <c r="O63" s="71"/>
      <c r="P63" s="71" t="s">
        <v>5106</v>
      </c>
      <c r="Q63" s="71" t="s">
        <v>5101</v>
      </c>
      <c r="R63" s="71" t="s">
        <v>1859</v>
      </c>
      <c r="S63" s="71" t="s">
        <v>5115</v>
      </c>
      <c r="T63" s="71" t="s">
        <v>111</v>
      </c>
      <c r="U63" s="71" t="s">
        <v>111</v>
      </c>
    </row>
    <row r="64" spans="1:21" ht="29" customHeight="1" x14ac:dyDescent="0.2">
      <c r="A64" s="70" t="s">
        <v>5277</v>
      </c>
      <c r="B64" s="70" t="s">
        <v>162</v>
      </c>
      <c r="C64" s="70" t="s">
        <v>5278</v>
      </c>
      <c r="D64" s="70" t="s">
        <v>3919</v>
      </c>
      <c r="E64" s="70" t="s">
        <v>5095</v>
      </c>
      <c r="F64" s="70" t="s">
        <v>5111</v>
      </c>
      <c r="G64" s="70" t="s">
        <v>5097</v>
      </c>
      <c r="H64" s="70"/>
      <c r="I64" s="70" t="s">
        <v>111</v>
      </c>
      <c r="J64" s="70" t="s">
        <v>5098</v>
      </c>
      <c r="K64" s="70" t="s">
        <v>5099</v>
      </c>
      <c r="L64" s="70"/>
      <c r="M64" s="70"/>
      <c r="N64" s="70" t="s">
        <v>5276</v>
      </c>
      <c r="O64" s="70"/>
      <c r="P64" s="70" t="s">
        <v>2016</v>
      </c>
      <c r="Q64" s="70" t="s">
        <v>5101</v>
      </c>
      <c r="R64" s="70" t="s">
        <v>1859</v>
      </c>
      <c r="S64" s="70"/>
      <c r="T64" s="70" t="s">
        <v>111</v>
      </c>
      <c r="U64" s="70" t="s">
        <v>111</v>
      </c>
    </row>
    <row r="65" spans="1:21" ht="29" customHeight="1" x14ac:dyDescent="0.2">
      <c r="A65" s="71" t="s">
        <v>5279</v>
      </c>
      <c r="B65" s="71" t="s">
        <v>162</v>
      </c>
      <c r="C65" s="71" t="s">
        <v>5280</v>
      </c>
      <c r="D65" s="71" t="s">
        <v>5281</v>
      </c>
      <c r="E65" s="71" t="s">
        <v>5095</v>
      </c>
      <c r="F65" s="71" t="s">
        <v>5111</v>
      </c>
      <c r="G65" s="71" t="s">
        <v>5097</v>
      </c>
      <c r="H65" s="71"/>
      <c r="I65" s="71" t="s">
        <v>111</v>
      </c>
      <c r="J65" s="71" t="s">
        <v>5098</v>
      </c>
      <c r="K65" s="71" t="s">
        <v>5099</v>
      </c>
      <c r="L65" s="71"/>
      <c r="M65" s="71"/>
      <c r="N65" s="71" t="s">
        <v>5276</v>
      </c>
      <c r="O65" s="71"/>
      <c r="P65" s="71" t="s">
        <v>2016</v>
      </c>
      <c r="Q65" s="71" t="s">
        <v>5101</v>
      </c>
      <c r="R65" s="71" t="s">
        <v>1859</v>
      </c>
      <c r="S65" s="71"/>
      <c r="T65" s="71" t="s">
        <v>111</v>
      </c>
      <c r="U65" s="71" t="s">
        <v>111</v>
      </c>
    </row>
    <row r="66" spans="1:21" ht="29" customHeight="1" x14ac:dyDescent="0.2">
      <c r="A66" s="70" t="s">
        <v>5282</v>
      </c>
      <c r="B66" s="70" t="s">
        <v>162</v>
      </c>
      <c r="C66" s="70" t="s">
        <v>5283</v>
      </c>
      <c r="D66" s="70" t="s">
        <v>5284</v>
      </c>
      <c r="E66" s="70" t="s">
        <v>5095</v>
      </c>
      <c r="F66" s="70" t="s">
        <v>5105</v>
      </c>
      <c r="G66" s="70" t="s">
        <v>3626</v>
      </c>
      <c r="H66" s="70"/>
      <c r="I66" s="70" t="s">
        <v>111</v>
      </c>
      <c r="J66" s="70" t="s">
        <v>5098</v>
      </c>
      <c r="K66" s="70" t="s">
        <v>5099</v>
      </c>
      <c r="L66" s="70"/>
      <c r="M66" s="70"/>
      <c r="N66" s="70" t="s">
        <v>5276</v>
      </c>
      <c r="O66" s="70"/>
      <c r="P66" s="70" t="s">
        <v>5106</v>
      </c>
      <c r="Q66" s="70" t="s">
        <v>5101</v>
      </c>
      <c r="R66" s="70" t="s">
        <v>1859</v>
      </c>
      <c r="S66" s="70" t="s">
        <v>5107</v>
      </c>
      <c r="T66" s="70" t="s">
        <v>119</v>
      </c>
      <c r="U66" s="70" t="s">
        <v>111</v>
      </c>
    </row>
    <row r="67" spans="1:21" ht="29" customHeight="1" x14ac:dyDescent="0.2">
      <c r="A67" s="71" t="s">
        <v>5285</v>
      </c>
      <c r="B67" s="71" t="s">
        <v>162</v>
      </c>
      <c r="C67" s="71" t="s">
        <v>5286</v>
      </c>
      <c r="D67" s="71" t="s">
        <v>5287</v>
      </c>
      <c r="E67" s="71" t="s">
        <v>5095</v>
      </c>
      <c r="F67" s="71" t="s">
        <v>5096</v>
      </c>
      <c r="G67" s="71" t="s">
        <v>5097</v>
      </c>
      <c r="H67" s="71"/>
      <c r="I67" s="71" t="s">
        <v>111</v>
      </c>
      <c r="J67" s="71" t="s">
        <v>5098</v>
      </c>
      <c r="K67" s="71" t="s">
        <v>5099</v>
      </c>
      <c r="L67" s="71"/>
      <c r="M67" s="71"/>
      <c r="N67" s="71" t="s">
        <v>5276</v>
      </c>
      <c r="O67" s="71"/>
      <c r="P67" s="71" t="s">
        <v>2016</v>
      </c>
      <c r="Q67" s="71" t="s">
        <v>5101</v>
      </c>
      <c r="R67" s="71" t="s">
        <v>1859</v>
      </c>
      <c r="S67" s="71"/>
      <c r="T67" s="71" t="s">
        <v>111</v>
      </c>
      <c r="U67" s="71" t="s">
        <v>119</v>
      </c>
    </row>
    <row r="68" spans="1:21" ht="29" customHeight="1" x14ac:dyDescent="0.2">
      <c r="A68" s="70" t="s">
        <v>5288</v>
      </c>
      <c r="B68" s="70" t="s">
        <v>165</v>
      </c>
      <c r="C68" s="70" t="s">
        <v>5289</v>
      </c>
      <c r="D68" s="70" t="s">
        <v>191</v>
      </c>
      <c r="E68" s="70" t="s">
        <v>5095</v>
      </c>
      <c r="F68" s="70" t="s">
        <v>5111</v>
      </c>
      <c r="G68" s="70" t="s">
        <v>5097</v>
      </c>
      <c r="H68" s="70" t="s">
        <v>5097</v>
      </c>
      <c r="I68" s="70" t="s">
        <v>111</v>
      </c>
      <c r="J68" s="70" t="s">
        <v>5098</v>
      </c>
      <c r="K68" s="70" t="s">
        <v>5099</v>
      </c>
      <c r="L68" s="70"/>
      <c r="M68" s="70"/>
      <c r="N68" s="70" t="s">
        <v>5290</v>
      </c>
      <c r="O68" s="70"/>
      <c r="P68" s="70" t="s">
        <v>2016</v>
      </c>
      <c r="Q68" s="70" t="s">
        <v>5101</v>
      </c>
      <c r="R68" s="70" t="s">
        <v>4400</v>
      </c>
      <c r="S68" s="70"/>
      <c r="T68" s="70" t="s">
        <v>111</v>
      </c>
      <c r="U68" s="70" t="s">
        <v>111</v>
      </c>
    </row>
    <row r="69" spans="1:21" ht="29" customHeight="1" x14ac:dyDescent="0.2">
      <c r="A69" s="71" t="s">
        <v>5291</v>
      </c>
      <c r="B69" s="71" t="s">
        <v>165</v>
      </c>
      <c r="C69" s="71" t="s">
        <v>5292</v>
      </c>
      <c r="D69" s="71" t="s">
        <v>5293</v>
      </c>
      <c r="E69" s="71" t="s">
        <v>5095</v>
      </c>
      <c r="F69" s="71" t="s">
        <v>5111</v>
      </c>
      <c r="G69" s="71" t="s">
        <v>5097</v>
      </c>
      <c r="H69" s="71" t="s">
        <v>5097</v>
      </c>
      <c r="I69" s="71" t="s">
        <v>111</v>
      </c>
      <c r="J69" s="71" t="s">
        <v>5098</v>
      </c>
      <c r="K69" s="71" t="s">
        <v>5099</v>
      </c>
      <c r="L69" s="71"/>
      <c r="M69" s="71"/>
      <c r="N69" s="71" t="s">
        <v>5290</v>
      </c>
      <c r="O69" s="71"/>
      <c r="P69" s="71" t="s">
        <v>2016</v>
      </c>
      <c r="Q69" s="71" t="s">
        <v>5101</v>
      </c>
      <c r="R69" s="71" t="s">
        <v>4400</v>
      </c>
      <c r="S69" s="71"/>
      <c r="T69" s="71" t="s">
        <v>111</v>
      </c>
      <c r="U69" s="71" t="s">
        <v>111</v>
      </c>
    </row>
    <row r="70" spans="1:21" ht="43.5" customHeight="1" x14ac:dyDescent="0.2">
      <c r="A70" s="70" t="s">
        <v>5294</v>
      </c>
      <c r="B70" s="70" t="s">
        <v>165</v>
      </c>
      <c r="C70" s="70" t="s">
        <v>5117</v>
      </c>
      <c r="D70" s="70" t="s">
        <v>5295</v>
      </c>
      <c r="E70" s="70" t="s">
        <v>5095</v>
      </c>
      <c r="F70" s="70" t="s">
        <v>5105</v>
      </c>
      <c r="G70" s="70" t="s">
        <v>5097</v>
      </c>
      <c r="H70" s="70" t="s">
        <v>5097</v>
      </c>
      <c r="I70" s="70" t="s">
        <v>111</v>
      </c>
      <c r="J70" s="70" t="s">
        <v>5098</v>
      </c>
      <c r="K70" s="70" t="s">
        <v>5099</v>
      </c>
      <c r="L70" s="70"/>
      <c r="M70" s="70"/>
      <c r="N70" s="70" t="s">
        <v>5290</v>
      </c>
      <c r="O70" s="70"/>
      <c r="P70" s="70" t="s">
        <v>2016</v>
      </c>
      <c r="Q70" s="70" t="s">
        <v>5101</v>
      </c>
      <c r="R70" s="70" t="s">
        <v>4400</v>
      </c>
      <c r="S70" s="70"/>
      <c r="T70" s="70" t="s">
        <v>111</v>
      </c>
      <c r="U70" s="70" t="s">
        <v>111</v>
      </c>
    </row>
    <row r="71" spans="1:21" ht="29" customHeight="1" x14ac:dyDescent="0.2">
      <c r="A71" s="71" t="s">
        <v>5296</v>
      </c>
      <c r="B71" s="71" t="s">
        <v>165</v>
      </c>
      <c r="C71" s="71" t="s">
        <v>5297</v>
      </c>
      <c r="D71" s="71" t="s">
        <v>5298</v>
      </c>
      <c r="E71" s="71" t="s">
        <v>5095</v>
      </c>
      <c r="F71" s="71" t="s">
        <v>5111</v>
      </c>
      <c r="G71" s="71" t="s">
        <v>3626</v>
      </c>
      <c r="H71" s="71" t="s">
        <v>3626</v>
      </c>
      <c r="I71" s="71" t="s">
        <v>111</v>
      </c>
      <c r="J71" s="71" t="s">
        <v>5098</v>
      </c>
      <c r="K71" s="71" t="s">
        <v>5099</v>
      </c>
      <c r="L71" s="71"/>
      <c r="M71" s="71"/>
      <c r="N71" s="71" t="s">
        <v>5290</v>
      </c>
      <c r="O71" s="71"/>
      <c r="P71" s="71" t="s">
        <v>5106</v>
      </c>
      <c r="Q71" s="71" t="s">
        <v>5101</v>
      </c>
      <c r="R71" s="71" t="s">
        <v>4400</v>
      </c>
      <c r="S71" s="71" t="s">
        <v>5107</v>
      </c>
      <c r="T71" s="71" t="s">
        <v>119</v>
      </c>
      <c r="U71" s="71" t="s">
        <v>111</v>
      </c>
    </row>
    <row r="72" spans="1:21" ht="29" customHeight="1" x14ac:dyDescent="0.2">
      <c r="A72" s="70" t="s">
        <v>5299</v>
      </c>
      <c r="B72" s="70" t="s">
        <v>165</v>
      </c>
      <c r="C72" s="70" t="s">
        <v>5300</v>
      </c>
      <c r="D72" s="70" t="s">
        <v>184</v>
      </c>
      <c r="E72" s="70" t="s">
        <v>5095</v>
      </c>
      <c r="F72" s="70" t="s">
        <v>5096</v>
      </c>
      <c r="G72" s="70" t="s">
        <v>5097</v>
      </c>
      <c r="H72" s="70" t="s">
        <v>5097</v>
      </c>
      <c r="I72" s="70" t="s">
        <v>111</v>
      </c>
      <c r="J72" s="70" t="s">
        <v>5098</v>
      </c>
      <c r="K72" s="70" t="s">
        <v>5099</v>
      </c>
      <c r="L72" s="70"/>
      <c r="M72" s="70"/>
      <c r="N72" s="70" t="s">
        <v>5290</v>
      </c>
      <c r="O72" s="70"/>
      <c r="P72" s="70" t="s">
        <v>2016</v>
      </c>
      <c r="Q72" s="70" t="s">
        <v>5101</v>
      </c>
      <c r="R72" s="70" t="s">
        <v>4400</v>
      </c>
      <c r="S72" s="70"/>
      <c r="T72" s="70" t="s">
        <v>111</v>
      </c>
      <c r="U72" s="70" t="s">
        <v>119</v>
      </c>
    </row>
    <row r="73" spans="1:21" ht="29" customHeight="1" x14ac:dyDescent="0.2">
      <c r="A73" s="71" t="s">
        <v>5301</v>
      </c>
      <c r="B73" s="71" t="s">
        <v>168</v>
      </c>
      <c r="C73" s="71" t="s">
        <v>5139</v>
      </c>
      <c r="D73" s="71" t="s">
        <v>5302</v>
      </c>
      <c r="E73" s="71" t="s">
        <v>5095</v>
      </c>
      <c r="F73" s="71" t="s">
        <v>5111</v>
      </c>
      <c r="G73" s="71" t="s">
        <v>5097</v>
      </c>
      <c r="H73" s="71"/>
      <c r="I73" s="71" t="s">
        <v>111</v>
      </c>
      <c r="J73" s="71" t="s">
        <v>5098</v>
      </c>
      <c r="K73" s="71" t="s">
        <v>5099</v>
      </c>
      <c r="L73" s="71"/>
      <c r="M73" s="71"/>
      <c r="N73" s="71" t="s">
        <v>5303</v>
      </c>
      <c r="O73" s="71"/>
      <c r="P73" s="71" t="s">
        <v>2016</v>
      </c>
      <c r="Q73" s="71" t="s">
        <v>5101</v>
      </c>
      <c r="R73" s="71" t="s">
        <v>1859</v>
      </c>
      <c r="S73" s="71"/>
      <c r="T73" s="71" t="s">
        <v>111</v>
      </c>
      <c r="U73" s="71" t="s">
        <v>111</v>
      </c>
    </row>
    <row r="74" spans="1:21" ht="29" customHeight="1" x14ac:dyDescent="0.2">
      <c r="A74" s="70" t="s">
        <v>5304</v>
      </c>
      <c r="B74" s="70" t="s">
        <v>168</v>
      </c>
      <c r="C74" s="70" t="s">
        <v>5305</v>
      </c>
      <c r="D74" s="70" t="s">
        <v>5306</v>
      </c>
      <c r="E74" s="70" t="s">
        <v>5095</v>
      </c>
      <c r="F74" s="70" t="s">
        <v>5111</v>
      </c>
      <c r="G74" s="70" t="s">
        <v>5097</v>
      </c>
      <c r="H74" s="70"/>
      <c r="I74" s="70" t="s">
        <v>111</v>
      </c>
      <c r="J74" s="70" t="s">
        <v>5098</v>
      </c>
      <c r="K74" s="70" t="s">
        <v>5099</v>
      </c>
      <c r="L74" s="70"/>
      <c r="M74" s="70"/>
      <c r="N74" s="70" t="s">
        <v>5303</v>
      </c>
      <c r="O74" s="70"/>
      <c r="P74" s="70" t="s">
        <v>2016</v>
      </c>
      <c r="Q74" s="70" t="s">
        <v>5101</v>
      </c>
      <c r="R74" s="70" t="s">
        <v>1859</v>
      </c>
      <c r="S74" s="70"/>
      <c r="T74" s="70" t="s">
        <v>111</v>
      </c>
      <c r="U74" s="70" t="s">
        <v>111</v>
      </c>
    </row>
    <row r="75" spans="1:21" ht="29" customHeight="1" x14ac:dyDescent="0.2">
      <c r="A75" s="71" t="s">
        <v>5307</v>
      </c>
      <c r="B75" s="71" t="s">
        <v>168</v>
      </c>
      <c r="C75" s="71" t="s">
        <v>5308</v>
      </c>
      <c r="D75" s="71" t="s">
        <v>5309</v>
      </c>
      <c r="E75" s="71" t="s">
        <v>5095</v>
      </c>
      <c r="F75" s="71" t="s">
        <v>5096</v>
      </c>
      <c r="G75" s="71" t="s">
        <v>5097</v>
      </c>
      <c r="H75" s="71"/>
      <c r="I75" s="71" t="s">
        <v>111</v>
      </c>
      <c r="J75" s="71" t="s">
        <v>5098</v>
      </c>
      <c r="K75" s="71" t="s">
        <v>5099</v>
      </c>
      <c r="L75" s="71"/>
      <c r="M75" s="71"/>
      <c r="N75" s="71" t="s">
        <v>5303</v>
      </c>
      <c r="O75" s="71"/>
      <c r="P75" s="71" t="s">
        <v>2016</v>
      </c>
      <c r="Q75" s="71" t="s">
        <v>5101</v>
      </c>
      <c r="R75" s="71" t="s">
        <v>1859</v>
      </c>
      <c r="S75" s="71"/>
      <c r="T75" s="71" t="s">
        <v>111</v>
      </c>
      <c r="U75" s="71" t="s">
        <v>119</v>
      </c>
    </row>
    <row r="76" spans="1:21" ht="29" customHeight="1" x14ac:dyDescent="0.2">
      <c r="A76" s="70" t="s">
        <v>5310</v>
      </c>
      <c r="B76" s="70" t="s">
        <v>168</v>
      </c>
      <c r="C76" s="70" t="s">
        <v>5311</v>
      </c>
      <c r="D76" s="70" t="s">
        <v>3969</v>
      </c>
      <c r="E76" s="70" t="s">
        <v>5095</v>
      </c>
      <c r="F76" s="70" t="s">
        <v>5111</v>
      </c>
      <c r="G76" s="70" t="s">
        <v>5097</v>
      </c>
      <c r="H76" s="70"/>
      <c r="I76" s="70" t="s">
        <v>111</v>
      </c>
      <c r="J76" s="70" t="s">
        <v>5098</v>
      </c>
      <c r="K76" s="70" t="s">
        <v>5099</v>
      </c>
      <c r="L76" s="70"/>
      <c r="M76" s="70"/>
      <c r="N76" s="70" t="s">
        <v>5303</v>
      </c>
      <c r="O76" s="70"/>
      <c r="P76" s="70" t="s">
        <v>2016</v>
      </c>
      <c r="Q76" s="70" t="s">
        <v>5101</v>
      </c>
      <c r="R76" s="70" t="s">
        <v>1859</v>
      </c>
      <c r="S76" s="70"/>
      <c r="T76" s="70" t="s">
        <v>111</v>
      </c>
      <c r="U76" s="70" t="s">
        <v>111</v>
      </c>
    </row>
    <row r="77" spans="1:21" ht="29" customHeight="1" x14ac:dyDescent="0.2">
      <c r="A77" s="71" t="s">
        <v>5312</v>
      </c>
      <c r="B77" s="71" t="s">
        <v>168</v>
      </c>
      <c r="C77" s="71" t="s">
        <v>5313</v>
      </c>
      <c r="D77" s="71" t="s">
        <v>5314</v>
      </c>
      <c r="E77" s="71" t="s">
        <v>5095</v>
      </c>
      <c r="F77" s="71" t="s">
        <v>5105</v>
      </c>
      <c r="G77" s="71" t="s">
        <v>3626</v>
      </c>
      <c r="H77" s="71"/>
      <c r="I77" s="71" t="s">
        <v>111</v>
      </c>
      <c r="J77" s="71" t="s">
        <v>5098</v>
      </c>
      <c r="K77" s="71" t="s">
        <v>5099</v>
      </c>
      <c r="L77" s="71"/>
      <c r="M77" s="71"/>
      <c r="N77" s="71" t="s">
        <v>5303</v>
      </c>
      <c r="O77" s="71"/>
      <c r="P77" s="71" t="s">
        <v>5106</v>
      </c>
      <c r="Q77" s="71" t="s">
        <v>5101</v>
      </c>
      <c r="R77" s="71" t="s">
        <v>1859</v>
      </c>
      <c r="S77" s="71" t="s">
        <v>5107</v>
      </c>
      <c r="T77" s="71" t="s">
        <v>119</v>
      </c>
      <c r="U77" s="71" t="s">
        <v>111</v>
      </c>
    </row>
    <row r="78" spans="1:21" ht="29" customHeight="1" x14ac:dyDescent="0.2">
      <c r="A78" s="70" t="s">
        <v>5315</v>
      </c>
      <c r="B78" s="70" t="s">
        <v>171</v>
      </c>
      <c r="C78" s="70" t="s">
        <v>5093</v>
      </c>
      <c r="D78" s="70" t="s">
        <v>5316</v>
      </c>
      <c r="E78" s="70" t="s">
        <v>5095</v>
      </c>
      <c r="F78" s="70" t="s">
        <v>5105</v>
      </c>
      <c r="G78" s="70" t="s">
        <v>5097</v>
      </c>
      <c r="H78" s="70" t="s">
        <v>5097</v>
      </c>
      <c r="I78" s="70" t="s">
        <v>111</v>
      </c>
      <c r="J78" s="70" t="s">
        <v>5098</v>
      </c>
      <c r="K78" s="70" t="s">
        <v>5099</v>
      </c>
      <c r="L78" s="70"/>
      <c r="M78" s="70"/>
      <c r="N78" s="70" t="s">
        <v>5317</v>
      </c>
      <c r="O78" s="70"/>
      <c r="P78" s="70" t="s">
        <v>2016</v>
      </c>
      <c r="Q78" s="70" t="s">
        <v>5101</v>
      </c>
      <c r="R78" s="70" t="s">
        <v>1859</v>
      </c>
      <c r="S78" s="70"/>
      <c r="T78" s="70" t="s">
        <v>111</v>
      </c>
      <c r="U78" s="70" t="s">
        <v>111</v>
      </c>
    </row>
    <row r="79" spans="1:21" ht="29" customHeight="1" x14ac:dyDescent="0.2">
      <c r="A79" s="71" t="s">
        <v>5318</v>
      </c>
      <c r="B79" s="71" t="s">
        <v>171</v>
      </c>
      <c r="C79" s="71" t="s">
        <v>5319</v>
      </c>
      <c r="D79" s="71" t="s">
        <v>5320</v>
      </c>
      <c r="E79" s="71" t="s">
        <v>5095</v>
      </c>
      <c r="F79" s="71" t="s">
        <v>5096</v>
      </c>
      <c r="G79" s="71" t="s">
        <v>5097</v>
      </c>
      <c r="H79" s="71" t="s">
        <v>5097</v>
      </c>
      <c r="I79" s="71" t="s">
        <v>111</v>
      </c>
      <c r="J79" s="71" t="s">
        <v>5098</v>
      </c>
      <c r="K79" s="71" t="s">
        <v>5099</v>
      </c>
      <c r="L79" s="71"/>
      <c r="M79" s="71"/>
      <c r="N79" s="71" t="s">
        <v>5317</v>
      </c>
      <c r="O79" s="71"/>
      <c r="P79" s="71" t="s">
        <v>2016</v>
      </c>
      <c r="Q79" s="71" t="s">
        <v>5101</v>
      </c>
      <c r="R79" s="71" t="s">
        <v>1859</v>
      </c>
      <c r="S79" s="71"/>
      <c r="T79" s="71" t="s">
        <v>111</v>
      </c>
      <c r="U79" s="71" t="s">
        <v>119</v>
      </c>
    </row>
    <row r="80" spans="1:21" ht="29" customHeight="1" x14ac:dyDescent="0.2">
      <c r="A80" s="70" t="s">
        <v>5321</v>
      </c>
      <c r="B80" s="70" t="s">
        <v>171</v>
      </c>
      <c r="C80" s="70" t="s">
        <v>5322</v>
      </c>
      <c r="D80" s="70" t="s">
        <v>3986</v>
      </c>
      <c r="E80" s="70" t="s">
        <v>5095</v>
      </c>
      <c r="F80" s="70" t="s">
        <v>5111</v>
      </c>
      <c r="G80" s="70" t="s">
        <v>5097</v>
      </c>
      <c r="H80" s="70" t="s">
        <v>5097</v>
      </c>
      <c r="I80" s="70" t="s">
        <v>111</v>
      </c>
      <c r="J80" s="70" t="s">
        <v>5098</v>
      </c>
      <c r="K80" s="70" t="s">
        <v>5099</v>
      </c>
      <c r="L80" s="70"/>
      <c r="M80" s="70"/>
      <c r="N80" s="70" t="s">
        <v>5317</v>
      </c>
      <c r="O80" s="70"/>
      <c r="P80" s="70" t="s">
        <v>2016</v>
      </c>
      <c r="Q80" s="70" t="s">
        <v>5101</v>
      </c>
      <c r="R80" s="70" t="s">
        <v>1859</v>
      </c>
      <c r="S80" s="70"/>
      <c r="T80" s="70" t="s">
        <v>111</v>
      </c>
      <c r="U80" s="70" t="s">
        <v>111</v>
      </c>
    </row>
    <row r="81" spans="1:21" ht="29" customHeight="1" x14ac:dyDescent="0.2">
      <c r="A81" s="71" t="s">
        <v>5323</v>
      </c>
      <c r="B81" s="71" t="s">
        <v>171</v>
      </c>
      <c r="C81" s="71" t="s">
        <v>5324</v>
      </c>
      <c r="D81" s="71" t="s">
        <v>5325</v>
      </c>
      <c r="E81" s="71" t="s">
        <v>5095</v>
      </c>
      <c r="F81" s="71" t="s">
        <v>5111</v>
      </c>
      <c r="G81" s="71" t="s">
        <v>3626</v>
      </c>
      <c r="H81" s="71" t="s">
        <v>3626</v>
      </c>
      <c r="I81" s="71" t="s">
        <v>111</v>
      </c>
      <c r="J81" s="71" t="s">
        <v>5098</v>
      </c>
      <c r="K81" s="71" t="s">
        <v>5099</v>
      </c>
      <c r="L81" s="71"/>
      <c r="M81" s="71"/>
      <c r="N81" s="71" t="s">
        <v>5317</v>
      </c>
      <c r="O81" s="71"/>
      <c r="P81" s="71" t="s">
        <v>5106</v>
      </c>
      <c r="Q81" s="71" t="s">
        <v>5101</v>
      </c>
      <c r="R81" s="71" t="s">
        <v>1859</v>
      </c>
      <c r="S81" s="71" t="s">
        <v>5107</v>
      </c>
      <c r="T81" s="71" t="s">
        <v>119</v>
      </c>
      <c r="U81" s="71" t="s">
        <v>111</v>
      </c>
    </row>
    <row r="82" spans="1:21" ht="29" customHeight="1" x14ac:dyDescent="0.2">
      <c r="A82" s="70" t="s">
        <v>5326</v>
      </c>
      <c r="B82" s="70" t="s">
        <v>171</v>
      </c>
      <c r="C82" s="70" t="s">
        <v>5182</v>
      </c>
      <c r="D82" s="70" t="s">
        <v>5327</v>
      </c>
      <c r="E82" s="70" t="s">
        <v>5095</v>
      </c>
      <c r="F82" s="70" t="s">
        <v>5111</v>
      </c>
      <c r="G82" s="70" t="s">
        <v>5097</v>
      </c>
      <c r="H82" s="70" t="s">
        <v>5097</v>
      </c>
      <c r="I82" s="70" t="s">
        <v>111</v>
      </c>
      <c r="J82" s="70" t="s">
        <v>5098</v>
      </c>
      <c r="K82" s="70" t="s">
        <v>5099</v>
      </c>
      <c r="L82" s="70"/>
      <c r="M82" s="70"/>
      <c r="N82" s="70" t="s">
        <v>5317</v>
      </c>
      <c r="O82" s="70"/>
      <c r="P82" s="70" t="s">
        <v>2016</v>
      </c>
      <c r="Q82" s="70" t="s">
        <v>5101</v>
      </c>
      <c r="R82" s="70" t="s">
        <v>1859</v>
      </c>
      <c r="S82" s="70"/>
      <c r="T82" s="70" t="s">
        <v>111</v>
      </c>
      <c r="U82" s="70" t="s">
        <v>111</v>
      </c>
    </row>
    <row r="83" spans="1:21" ht="29" customHeight="1" x14ac:dyDescent="0.2">
      <c r="A83" s="71" t="s">
        <v>5328</v>
      </c>
      <c r="B83" s="71" t="s">
        <v>174</v>
      </c>
      <c r="C83" s="71" t="s">
        <v>5329</v>
      </c>
      <c r="D83" s="71" t="s">
        <v>176</v>
      </c>
      <c r="E83" s="71" t="s">
        <v>5095</v>
      </c>
      <c r="F83" s="71" t="s">
        <v>5096</v>
      </c>
      <c r="G83" s="71" t="s">
        <v>5097</v>
      </c>
      <c r="H83" s="71" t="s">
        <v>5097</v>
      </c>
      <c r="I83" s="71" t="s">
        <v>111</v>
      </c>
      <c r="J83" s="71" t="s">
        <v>5098</v>
      </c>
      <c r="K83" s="71" t="s">
        <v>5099</v>
      </c>
      <c r="L83" s="71"/>
      <c r="M83" s="71"/>
      <c r="N83" s="71" t="s">
        <v>5330</v>
      </c>
      <c r="O83" s="71"/>
      <c r="P83" s="71" t="s">
        <v>2016</v>
      </c>
      <c r="Q83" s="71" t="s">
        <v>5101</v>
      </c>
      <c r="R83" s="71" t="s">
        <v>4400</v>
      </c>
      <c r="S83" s="71"/>
      <c r="T83" s="71" t="s">
        <v>111</v>
      </c>
      <c r="U83" s="71" t="s">
        <v>119</v>
      </c>
    </row>
    <row r="84" spans="1:21" ht="29" customHeight="1" x14ac:dyDescent="0.2">
      <c r="A84" s="70" t="s">
        <v>5331</v>
      </c>
      <c r="B84" s="70" t="s">
        <v>174</v>
      </c>
      <c r="C84" s="70" t="s">
        <v>5332</v>
      </c>
      <c r="D84" s="70" t="s">
        <v>2759</v>
      </c>
      <c r="E84" s="70" t="s">
        <v>5095</v>
      </c>
      <c r="F84" s="70" t="s">
        <v>5111</v>
      </c>
      <c r="G84" s="70" t="s">
        <v>3626</v>
      </c>
      <c r="H84" s="70"/>
      <c r="I84" s="70" t="s">
        <v>111</v>
      </c>
      <c r="J84" s="70" t="s">
        <v>5098</v>
      </c>
      <c r="K84" s="70" t="s">
        <v>5099</v>
      </c>
      <c r="L84" s="70"/>
      <c r="M84" s="70"/>
      <c r="N84" s="70" t="s">
        <v>5330</v>
      </c>
      <c r="O84" s="70"/>
      <c r="P84" s="70" t="s">
        <v>5106</v>
      </c>
      <c r="Q84" s="70" t="s">
        <v>5101</v>
      </c>
      <c r="R84" s="70" t="s">
        <v>4400</v>
      </c>
      <c r="S84" s="70" t="s">
        <v>5107</v>
      </c>
      <c r="T84" s="70" t="s">
        <v>119</v>
      </c>
      <c r="U84" s="70" t="s">
        <v>111</v>
      </c>
    </row>
    <row r="85" spans="1:21" ht="29" customHeight="1" x14ac:dyDescent="0.2">
      <c r="A85" s="71" t="s">
        <v>5333</v>
      </c>
      <c r="B85" s="71" t="s">
        <v>174</v>
      </c>
      <c r="C85" s="71" t="s">
        <v>5334</v>
      </c>
      <c r="D85" s="71" t="s">
        <v>2766</v>
      </c>
      <c r="E85" s="71" t="s">
        <v>5095</v>
      </c>
      <c r="F85" s="71" t="s">
        <v>5105</v>
      </c>
      <c r="G85" s="71" t="s">
        <v>3626</v>
      </c>
      <c r="H85" s="71"/>
      <c r="I85" s="71" t="s">
        <v>111</v>
      </c>
      <c r="J85" s="71" t="s">
        <v>5098</v>
      </c>
      <c r="K85" s="71" t="s">
        <v>5099</v>
      </c>
      <c r="L85" s="71"/>
      <c r="M85" s="71"/>
      <c r="N85" s="71" t="s">
        <v>5330</v>
      </c>
      <c r="O85" s="71"/>
      <c r="P85" s="71" t="s">
        <v>5106</v>
      </c>
      <c r="Q85" s="71" t="s">
        <v>5101</v>
      </c>
      <c r="R85" s="71" t="s">
        <v>4400</v>
      </c>
      <c r="S85" s="71" t="s">
        <v>5115</v>
      </c>
      <c r="T85" s="71" t="s">
        <v>111</v>
      </c>
      <c r="U85" s="71" t="s">
        <v>111</v>
      </c>
    </row>
    <row r="86" spans="1:21" ht="29" customHeight="1" x14ac:dyDescent="0.2">
      <c r="A86" s="70" t="s">
        <v>5335</v>
      </c>
      <c r="B86" s="70" t="s">
        <v>174</v>
      </c>
      <c r="C86" s="70" t="s">
        <v>2771</v>
      </c>
      <c r="D86" s="70" t="s">
        <v>5336</v>
      </c>
      <c r="E86" s="70" t="s">
        <v>5095</v>
      </c>
      <c r="F86" s="70" t="s">
        <v>5111</v>
      </c>
      <c r="G86" s="70" t="s">
        <v>5097</v>
      </c>
      <c r="H86" s="70"/>
      <c r="I86" s="70" t="s">
        <v>111</v>
      </c>
      <c r="J86" s="70" t="s">
        <v>5098</v>
      </c>
      <c r="K86" s="70" t="s">
        <v>5099</v>
      </c>
      <c r="L86" s="70"/>
      <c r="M86" s="70"/>
      <c r="N86" s="70" t="s">
        <v>5330</v>
      </c>
      <c r="O86" s="70"/>
      <c r="P86" s="70" t="s">
        <v>2016</v>
      </c>
      <c r="Q86" s="70" t="s">
        <v>5101</v>
      </c>
      <c r="R86" s="70" t="s">
        <v>4400</v>
      </c>
      <c r="S86" s="70"/>
      <c r="T86" s="70" t="s">
        <v>111</v>
      </c>
      <c r="U86" s="70" t="s">
        <v>111</v>
      </c>
    </row>
    <row r="87" spans="1:21" ht="29" customHeight="1" x14ac:dyDescent="0.2">
      <c r="A87" s="71" t="s">
        <v>5337</v>
      </c>
      <c r="B87" s="71" t="s">
        <v>174</v>
      </c>
      <c r="C87" s="71" t="s">
        <v>5247</v>
      </c>
      <c r="D87" s="71" t="s">
        <v>5338</v>
      </c>
      <c r="E87" s="71" t="s">
        <v>5095</v>
      </c>
      <c r="F87" s="71" t="s">
        <v>5111</v>
      </c>
      <c r="G87" s="71" t="s">
        <v>5097</v>
      </c>
      <c r="H87" s="71"/>
      <c r="I87" s="71" t="s">
        <v>111</v>
      </c>
      <c r="J87" s="71" t="s">
        <v>5098</v>
      </c>
      <c r="K87" s="71" t="s">
        <v>5099</v>
      </c>
      <c r="L87" s="71"/>
      <c r="M87" s="71"/>
      <c r="N87" s="71" t="s">
        <v>5330</v>
      </c>
      <c r="O87" s="71"/>
      <c r="P87" s="71" t="s">
        <v>2016</v>
      </c>
      <c r="Q87" s="71" t="s">
        <v>5101</v>
      </c>
      <c r="R87" s="71" t="s">
        <v>4400</v>
      </c>
      <c r="S87" s="71"/>
      <c r="T87" s="71" t="s">
        <v>111</v>
      </c>
      <c r="U87" s="71" t="s">
        <v>111</v>
      </c>
    </row>
    <row r="88" spans="1:21" ht="29" customHeight="1" x14ac:dyDescent="0.2">
      <c r="A88" s="70" t="s">
        <v>5339</v>
      </c>
      <c r="B88" s="70" t="s">
        <v>179</v>
      </c>
      <c r="C88" s="70" t="s">
        <v>2771</v>
      </c>
      <c r="D88" s="70" t="s">
        <v>4028</v>
      </c>
      <c r="E88" s="70" t="s">
        <v>5095</v>
      </c>
      <c r="F88" s="70" t="s">
        <v>5111</v>
      </c>
      <c r="G88" s="70" t="s">
        <v>5097</v>
      </c>
      <c r="H88" s="70" t="s">
        <v>5097</v>
      </c>
      <c r="I88" s="70" t="s">
        <v>111</v>
      </c>
      <c r="J88" s="70" t="s">
        <v>5098</v>
      </c>
      <c r="K88" s="70" t="s">
        <v>5099</v>
      </c>
      <c r="L88" s="70"/>
      <c r="M88" s="70"/>
      <c r="N88" s="70" t="s">
        <v>5340</v>
      </c>
      <c r="O88" s="70"/>
      <c r="P88" s="70" t="s">
        <v>2016</v>
      </c>
      <c r="Q88" s="70" t="s">
        <v>5101</v>
      </c>
      <c r="R88" s="70" t="s">
        <v>4400</v>
      </c>
      <c r="S88" s="70"/>
      <c r="T88" s="70" t="s">
        <v>111</v>
      </c>
      <c r="U88" s="70" t="s">
        <v>111</v>
      </c>
    </row>
    <row r="89" spans="1:21" ht="29" customHeight="1" x14ac:dyDescent="0.2">
      <c r="A89" s="71" t="s">
        <v>5341</v>
      </c>
      <c r="B89" s="71" t="s">
        <v>179</v>
      </c>
      <c r="C89" s="71" t="s">
        <v>5329</v>
      </c>
      <c r="D89" s="71" t="s">
        <v>5342</v>
      </c>
      <c r="E89" s="71" t="s">
        <v>5095</v>
      </c>
      <c r="F89" s="71" t="s">
        <v>5096</v>
      </c>
      <c r="G89" s="71" t="s">
        <v>5097</v>
      </c>
      <c r="H89" s="71" t="s">
        <v>5097</v>
      </c>
      <c r="I89" s="71" t="s">
        <v>111</v>
      </c>
      <c r="J89" s="71" t="s">
        <v>5098</v>
      </c>
      <c r="K89" s="71" t="s">
        <v>5099</v>
      </c>
      <c r="L89" s="71"/>
      <c r="M89" s="71"/>
      <c r="N89" s="71" t="s">
        <v>5340</v>
      </c>
      <c r="O89" s="71"/>
      <c r="P89" s="71" t="s">
        <v>2016</v>
      </c>
      <c r="Q89" s="71" t="s">
        <v>5101</v>
      </c>
      <c r="R89" s="71" t="s">
        <v>4400</v>
      </c>
      <c r="S89" s="71"/>
      <c r="T89" s="71" t="s">
        <v>111</v>
      </c>
      <c r="U89" s="71" t="s">
        <v>119</v>
      </c>
    </row>
    <row r="90" spans="1:21" ht="29" customHeight="1" x14ac:dyDescent="0.2">
      <c r="A90" s="70" t="s">
        <v>5343</v>
      </c>
      <c r="B90" s="70" t="s">
        <v>179</v>
      </c>
      <c r="C90" s="70" t="s">
        <v>5332</v>
      </c>
      <c r="D90" s="70" t="s">
        <v>5344</v>
      </c>
      <c r="E90" s="70" t="s">
        <v>5095</v>
      </c>
      <c r="F90" s="70" t="s">
        <v>5111</v>
      </c>
      <c r="G90" s="70" t="s">
        <v>3626</v>
      </c>
      <c r="H90" s="70" t="s">
        <v>3626</v>
      </c>
      <c r="I90" s="70" t="s">
        <v>111</v>
      </c>
      <c r="J90" s="70" t="s">
        <v>5098</v>
      </c>
      <c r="K90" s="70" t="s">
        <v>5099</v>
      </c>
      <c r="L90" s="70"/>
      <c r="M90" s="70"/>
      <c r="N90" s="70" t="s">
        <v>5340</v>
      </c>
      <c r="O90" s="70"/>
      <c r="P90" s="70" t="s">
        <v>5106</v>
      </c>
      <c r="Q90" s="70" t="s">
        <v>5101</v>
      </c>
      <c r="R90" s="70" t="s">
        <v>4400</v>
      </c>
      <c r="S90" s="70" t="s">
        <v>5107</v>
      </c>
      <c r="T90" s="70" t="s">
        <v>119</v>
      </c>
      <c r="U90" s="70" t="s">
        <v>111</v>
      </c>
    </row>
    <row r="91" spans="1:21" ht="29" customHeight="1" x14ac:dyDescent="0.2">
      <c r="A91" s="71" t="s">
        <v>5345</v>
      </c>
      <c r="B91" s="71" t="s">
        <v>179</v>
      </c>
      <c r="C91" s="71" t="s">
        <v>5346</v>
      </c>
      <c r="D91" s="71" t="s">
        <v>5347</v>
      </c>
      <c r="E91" s="71" t="s">
        <v>5095</v>
      </c>
      <c r="F91" s="71" t="s">
        <v>5111</v>
      </c>
      <c r="G91" s="71" t="s">
        <v>5097</v>
      </c>
      <c r="H91" s="71" t="s">
        <v>5097</v>
      </c>
      <c r="I91" s="71" t="s">
        <v>111</v>
      </c>
      <c r="J91" s="71" t="s">
        <v>5098</v>
      </c>
      <c r="K91" s="71" t="s">
        <v>5099</v>
      </c>
      <c r="L91" s="71"/>
      <c r="M91" s="71"/>
      <c r="N91" s="71" t="s">
        <v>5340</v>
      </c>
      <c r="O91" s="71"/>
      <c r="P91" s="71" t="s">
        <v>2016</v>
      </c>
      <c r="Q91" s="71" t="s">
        <v>5101</v>
      </c>
      <c r="R91" s="71" t="s">
        <v>4400</v>
      </c>
      <c r="S91" s="71"/>
      <c r="T91" s="71" t="s">
        <v>111</v>
      </c>
      <c r="U91" s="71" t="s">
        <v>111</v>
      </c>
    </row>
    <row r="92" spans="1:21" ht="29" customHeight="1" x14ac:dyDescent="0.2">
      <c r="A92" s="70" t="s">
        <v>5348</v>
      </c>
      <c r="B92" s="70" t="s">
        <v>179</v>
      </c>
      <c r="C92" s="70" t="s">
        <v>5334</v>
      </c>
      <c r="D92" s="70" t="s">
        <v>5349</v>
      </c>
      <c r="E92" s="70" t="s">
        <v>5095</v>
      </c>
      <c r="F92" s="70" t="s">
        <v>5105</v>
      </c>
      <c r="G92" s="70" t="s">
        <v>3626</v>
      </c>
      <c r="H92" s="70" t="s">
        <v>3626</v>
      </c>
      <c r="I92" s="70" t="s">
        <v>111</v>
      </c>
      <c r="J92" s="70" t="s">
        <v>5098</v>
      </c>
      <c r="K92" s="70" t="s">
        <v>5099</v>
      </c>
      <c r="L92" s="70"/>
      <c r="M92" s="70"/>
      <c r="N92" s="70" t="s">
        <v>5340</v>
      </c>
      <c r="O92" s="70"/>
      <c r="P92" s="70" t="s">
        <v>5106</v>
      </c>
      <c r="Q92" s="70" t="s">
        <v>5101</v>
      </c>
      <c r="R92" s="70" t="s">
        <v>4400</v>
      </c>
      <c r="S92" s="70" t="s">
        <v>5115</v>
      </c>
      <c r="T92" s="70" t="s">
        <v>111</v>
      </c>
      <c r="U92" s="70" t="s">
        <v>111</v>
      </c>
    </row>
    <row r="93" spans="1:21" ht="29" customHeight="1" x14ac:dyDescent="0.2">
      <c r="A93" s="71" t="s">
        <v>5350</v>
      </c>
      <c r="B93" s="71" t="s">
        <v>182</v>
      </c>
      <c r="C93" s="71" t="s">
        <v>5194</v>
      </c>
      <c r="D93" s="71" t="s">
        <v>2786</v>
      </c>
      <c r="E93" s="71" t="s">
        <v>5095</v>
      </c>
      <c r="F93" s="71" t="s">
        <v>5111</v>
      </c>
      <c r="G93" s="71" t="s">
        <v>3626</v>
      </c>
      <c r="H93" s="71" t="s">
        <v>3626</v>
      </c>
      <c r="I93" s="71" t="s">
        <v>111</v>
      </c>
      <c r="J93" s="71" t="s">
        <v>5098</v>
      </c>
      <c r="K93" s="71" t="s">
        <v>5099</v>
      </c>
      <c r="L93" s="71"/>
      <c r="M93" s="71"/>
      <c r="N93" s="71" t="s">
        <v>5351</v>
      </c>
      <c r="O93" s="71"/>
      <c r="P93" s="71" t="s">
        <v>5106</v>
      </c>
      <c r="Q93" s="71" t="s">
        <v>5101</v>
      </c>
      <c r="R93" s="71" t="s">
        <v>3879</v>
      </c>
      <c r="S93" s="71" t="s">
        <v>5107</v>
      </c>
      <c r="T93" s="71" t="s">
        <v>119</v>
      </c>
      <c r="U93" s="71" t="s">
        <v>111</v>
      </c>
    </row>
    <row r="94" spans="1:21" ht="29" customHeight="1" x14ac:dyDescent="0.2">
      <c r="A94" s="70" t="s">
        <v>5352</v>
      </c>
      <c r="B94" s="70" t="s">
        <v>182</v>
      </c>
      <c r="C94" s="70" t="s">
        <v>5353</v>
      </c>
      <c r="D94" s="70" t="s">
        <v>2795</v>
      </c>
      <c r="E94" s="70" t="s">
        <v>5095</v>
      </c>
      <c r="F94" s="70" t="s">
        <v>5105</v>
      </c>
      <c r="G94" s="70" t="s">
        <v>5097</v>
      </c>
      <c r="H94" s="70" t="s">
        <v>5097</v>
      </c>
      <c r="I94" s="70" t="s">
        <v>111</v>
      </c>
      <c r="J94" s="70" t="s">
        <v>5098</v>
      </c>
      <c r="K94" s="70" t="s">
        <v>5099</v>
      </c>
      <c r="L94" s="70"/>
      <c r="M94" s="70"/>
      <c r="N94" s="70" t="s">
        <v>5351</v>
      </c>
      <c r="O94" s="70"/>
      <c r="P94" s="70" t="s">
        <v>2016</v>
      </c>
      <c r="Q94" s="70" t="s">
        <v>5101</v>
      </c>
      <c r="R94" s="70" t="s">
        <v>3879</v>
      </c>
      <c r="S94" s="70"/>
      <c r="T94" s="70" t="s">
        <v>111</v>
      </c>
      <c r="U94" s="70" t="s">
        <v>111</v>
      </c>
    </row>
    <row r="95" spans="1:21" ht="29" customHeight="1" x14ac:dyDescent="0.2">
      <c r="A95" s="71" t="s">
        <v>5354</v>
      </c>
      <c r="B95" s="71" t="s">
        <v>182</v>
      </c>
      <c r="C95" s="71" t="s">
        <v>2799</v>
      </c>
      <c r="D95" s="71" t="s">
        <v>5355</v>
      </c>
      <c r="E95" s="71" t="s">
        <v>5095</v>
      </c>
      <c r="F95" s="71" t="s">
        <v>5111</v>
      </c>
      <c r="G95" s="71" t="s">
        <v>5097</v>
      </c>
      <c r="H95" s="71"/>
      <c r="I95" s="71" t="s">
        <v>111</v>
      </c>
      <c r="J95" s="71" t="s">
        <v>5098</v>
      </c>
      <c r="K95" s="71" t="s">
        <v>5099</v>
      </c>
      <c r="L95" s="71"/>
      <c r="M95" s="71"/>
      <c r="N95" s="71" t="s">
        <v>5351</v>
      </c>
      <c r="O95" s="71"/>
      <c r="P95" s="71" t="s">
        <v>2016</v>
      </c>
      <c r="Q95" s="71" t="s">
        <v>5101</v>
      </c>
      <c r="R95" s="71" t="s">
        <v>3879</v>
      </c>
      <c r="S95" s="71"/>
      <c r="T95" s="71" t="s">
        <v>111</v>
      </c>
      <c r="U95" s="71" t="s">
        <v>111</v>
      </c>
    </row>
    <row r="96" spans="1:21" ht="29" customHeight="1" x14ac:dyDescent="0.2">
      <c r="A96" s="70" t="s">
        <v>5356</v>
      </c>
      <c r="B96" s="70" t="s">
        <v>182</v>
      </c>
      <c r="C96" s="70" t="s">
        <v>2805</v>
      </c>
      <c r="D96" s="70" t="s">
        <v>2804</v>
      </c>
      <c r="E96" s="70" t="s">
        <v>5095</v>
      </c>
      <c r="F96" s="70" t="s">
        <v>5111</v>
      </c>
      <c r="G96" s="70" t="s">
        <v>5097</v>
      </c>
      <c r="H96" s="70"/>
      <c r="I96" s="70" t="s">
        <v>111</v>
      </c>
      <c r="J96" s="70" t="s">
        <v>5098</v>
      </c>
      <c r="K96" s="70" t="s">
        <v>5099</v>
      </c>
      <c r="L96" s="70"/>
      <c r="M96" s="70"/>
      <c r="N96" s="70" t="s">
        <v>5351</v>
      </c>
      <c r="O96" s="70"/>
      <c r="P96" s="70" t="s">
        <v>2016</v>
      </c>
      <c r="Q96" s="70" t="s">
        <v>5101</v>
      </c>
      <c r="R96" s="70" t="s">
        <v>3879</v>
      </c>
      <c r="S96" s="70"/>
      <c r="T96" s="70" t="s">
        <v>111</v>
      </c>
      <c r="U96" s="70" t="s">
        <v>111</v>
      </c>
    </row>
    <row r="97" spans="1:21" ht="29" customHeight="1" x14ac:dyDescent="0.2">
      <c r="A97" s="71" t="s">
        <v>5357</v>
      </c>
      <c r="B97" s="71" t="s">
        <v>182</v>
      </c>
      <c r="C97" s="71" t="s">
        <v>5358</v>
      </c>
      <c r="D97" s="71" t="s">
        <v>184</v>
      </c>
      <c r="E97" s="71" t="s">
        <v>5095</v>
      </c>
      <c r="F97" s="71" t="s">
        <v>5096</v>
      </c>
      <c r="G97" s="71" t="s">
        <v>5097</v>
      </c>
      <c r="H97" s="71" t="s">
        <v>5097</v>
      </c>
      <c r="I97" s="71" t="s">
        <v>111</v>
      </c>
      <c r="J97" s="71" t="s">
        <v>5098</v>
      </c>
      <c r="K97" s="71" t="s">
        <v>5099</v>
      </c>
      <c r="L97" s="71"/>
      <c r="M97" s="71"/>
      <c r="N97" s="71" t="s">
        <v>5351</v>
      </c>
      <c r="O97" s="71"/>
      <c r="P97" s="71" t="s">
        <v>2016</v>
      </c>
      <c r="Q97" s="71" t="s">
        <v>5101</v>
      </c>
      <c r="R97" s="71" t="s">
        <v>3879</v>
      </c>
      <c r="S97" s="71"/>
      <c r="T97" s="71" t="s">
        <v>111</v>
      </c>
      <c r="U97" s="71" t="s">
        <v>119</v>
      </c>
    </row>
    <row r="98" spans="1:21" ht="29" customHeight="1" x14ac:dyDescent="0.2">
      <c r="A98" s="70" t="s">
        <v>5359</v>
      </c>
      <c r="B98" s="70" t="s">
        <v>187</v>
      </c>
      <c r="C98" s="70" t="s">
        <v>5360</v>
      </c>
      <c r="D98" s="70" t="s">
        <v>5361</v>
      </c>
      <c r="E98" s="70" t="s">
        <v>5095</v>
      </c>
      <c r="F98" s="70" t="s">
        <v>5111</v>
      </c>
      <c r="G98" s="70" t="s">
        <v>3626</v>
      </c>
      <c r="H98" s="70"/>
      <c r="I98" s="70" t="s">
        <v>111</v>
      </c>
      <c r="J98" s="70" t="s">
        <v>5098</v>
      </c>
      <c r="K98" s="70" t="s">
        <v>5099</v>
      </c>
      <c r="L98" s="70"/>
      <c r="M98" s="70"/>
      <c r="N98" s="70" t="s">
        <v>5362</v>
      </c>
      <c r="O98" s="70"/>
      <c r="P98" s="70" t="s">
        <v>5106</v>
      </c>
      <c r="Q98" s="70" t="s">
        <v>5101</v>
      </c>
      <c r="R98" s="70" t="s">
        <v>1859</v>
      </c>
      <c r="S98" s="70" t="s">
        <v>5107</v>
      </c>
      <c r="T98" s="70" t="s">
        <v>119</v>
      </c>
      <c r="U98" s="70" t="s">
        <v>111</v>
      </c>
    </row>
    <row r="99" spans="1:21" ht="29" customHeight="1" x14ac:dyDescent="0.2">
      <c r="A99" s="71" t="s">
        <v>5363</v>
      </c>
      <c r="B99" s="71" t="s">
        <v>187</v>
      </c>
      <c r="C99" s="71" t="s">
        <v>5364</v>
      </c>
      <c r="D99" s="71" t="s">
        <v>5365</v>
      </c>
      <c r="E99" s="71" t="s">
        <v>5095</v>
      </c>
      <c r="F99" s="71" t="s">
        <v>5105</v>
      </c>
      <c r="G99" s="71" t="s">
        <v>5097</v>
      </c>
      <c r="H99" s="71"/>
      <c r="I99" s="71" t="s">
        <v>111</v>
      </c>
      <c r="J99" s="71" t="s">
        <v>5098</v>
      </c>
      <c r="K99" s="71" t="s">
        <v>5099</v>
      </c>
      <c r="L99" s="71"/>
      <c r="M99" s="71"/>
      <c r="N99" s="71" t="s">
        <v>5362</v>
      </c>
      <c r="O99" s="71"/>
      <c r="P99" s="71" t="s">
        <v>2016</v>
      </c>
      <c r="Q99" s="71" t="s">
        <v>5101</v>
      </c>
      <c r="R99" s="71" t="s">
        <v>1859</v>
      </c>
      <c r="S99" s="71"/>
      <c r="T99" s="71" t="s">
        <v>111</v>
      </c>
      <c r="U99" s="71" t="s">
        <v>111</v>
      </c>
    </row>
    <row r="100" spans="1:21" ht="29" customHeight="1" x14ac:dyDescent="0.2">
      <c r="A100" s="70" t="s">
        <v>5366</v>
      </c>
      <c r="B100" s="70" t="s">
        <v>187</v>
      </c>
      <c r="C100" s="70" t="s">
        <v>5367</v>
      </c>
      <c r="D100" s="70" t="s">
        <v>5368</v>
      </c>
      <c r="E100" s="70" t="s">
        <v>5095</v>
      </c>
      <c r="F100" s="70" t="s">
        <v>5111</v>
      </c>
      <c r="G100" s="70" t="s">
        <v>5097</v>
      </c>
      <c r="H100" s="70"/>
      <c r="I100" s="70" t="s">
        <v>111</v>
      </c>
      <c r="J100" s="70" t="s">
        <v>5098</v>
      </c>
      <c r="K100" s="70" t="s">
        <v>5099</v>
      </c>
      <c r="L100" s="70"/>
      <c r="M100" s="70"/>
      <c r="N100" s="70" t="s">
        <v>5362</v>
      </c>
      <c r="O100" s="70"/>
      <c r="P100" s="70" t="s">
        <v>2016</v>
      </c>
      <c r="Q100" s="70" t="s">
        <v>5101</v>
      </c>
      <c r="R100" s="70" t="s">
        <v>1859</v>
      </c>
      <c r="S100" s="70"/>
      <c r="T100" s="70" t="s">
        <v>111</v>
      </c>
      <c r="U100" s="70" t="s">
        <v>111</v>
      </c>
    </row>
    <row r="101" spans="1:21" ht="29" customHeight="1" x14ac:dyDescent="0.2">
      <c r="A101" s="71" t="s">
        <v>5369</v>
      </c>
      <c r="B101" s="71" t="s">
        <v>187</v>
      </c>
      <c r="C101" s="71" t="s">
        <v>5370</v>
      </c>
      <c r="D101" s="71" t="s">
        <v>4076</v>
      </c>
      <c r="E101" s="71" t="s">
        <v>5095</v>
      </c>
      <c r="F101" s="71" t="s">
        <v>5096</v>
      </c>
      <c r="G101" s="71" t="s">
        <v>5097</v>
      </c>
      <c r="H101" s="71"/>
      <c r="I101" s="71" t="s">
        <v>111</v>
      </c>
      <c r="J101" s="71" t="s">
        <v>5098</v>
      </c>
      <c r="K101" s="71" t="s">
        <v>5099</v>
      </c>
      <c r="L101" s="71"/>
      <c r="M101" s="71"/>
      <c r="N101" s="71" t="s">
        <v>5362</v>
      </c>
      <c r="O101" s="71"/>
      <c r="P101" s="71" t="s">
        <v>2016</v>
      </c>
      <c r="Q101" s="71" t="s">
        <v>5101</v>
      </c>
      <c r="R101" s="71" t="s">
        <v>1859</v>
      </c>
      <c r="S101" s="71"/>
      <c r="T101" s="71" t="s">
        <v>111</v>
      </c>
      <c r="U101" s="71" t="s">
        <v>119</v>
      </c>
    </row>
    <row r="102" spans="1:21" ht="29" customHeight="1" x14ac:dyDescent="0.2">
      <c r="A102" s="70" t="s">
        <v>5371</v>
      </c>
      <c r="B102" s="70" t="s">
        <v>187</v>
      </c>
      <c r="C102" s="70" t="s">
        <v>5372</v>
      </c>
      <c r="D102" s="70" t="s">
        <v>5373</v>
      </c>
      <c r="E102" s="70" t="s">
        <v>5095</v>
      </c>
      <c r="F102" s="70" t="s">
        <v>5111</v>
      </c>
      <c r="G102" s="70" t="s">
        <v>5097</v>
      </c>
      <c r="H102" s="70"/>
      <c r="I102" s="70" t="s">
        <v>111</v>
      </c>
      <c r="J102" s="70" t="s">
        <v>5098</v>
      </c>
      <c r="K102" s="70" t="s">
        <v>5099</v>
      </c>
      <c r="L102" s="70"/>
      <c r="M102" s="70"/>
      <c r="N102" s="70" t="s">
        <v>5362</v>
      </c>
      <c r="O102" s="70"/>
      <c r="P102" s="70" t="s">
        <v>2016</v>
      </c>
      <c r="Q102" s="70" t="s">
        <v>5101</v>
      </c>
      <c r="R102" s="70" t="s">
        <v>1859</v>
      </c>
      <c r="S102" s="70"/>
      <c r="T102" s="70" t="s">
        <v>111</v>
      </c>
      <c r="U102" s="70" t="s">
        <v>111</v>
      </c>
    </row>
    <row r="103" spans="1:21" ht="29" customHeight="1" x14ac:dyDescent="0.2">
      <c r="A103" s="71" t="s">
        <v>5374</v>
      </c>
      <c r="B103" s="71" t="s">
        <v>190</v>
      </c>
      <c r="C103" s="71" t="s">
        <v>5375</v>
      </c>
      <c r="D103" s="71" t="s">
        <v>2827</v>
      </c>
      <c r="E103" s="71" t="s">
        <v>5095</v>
      </c>
      <c r="F103" s="71" t="s">
        <v>5105</v>
      </c>
      <c r="G103" s="71" t="s">
        <v>3626</v>
      </c>
      <c r="H103" s="71"/>
      <c r="I103" s="71" t="s">
        <v>111</v>
      </c>
      <c r="J103" s="71" t="s">
        <v>5098</v>
      </c>
      <c r="K103" s="71" t="s">
        <v>5099</v>
      </c>
      <c r="L103" s="71"/>
      <c r="M103" s="71"/>
      <c r="N103" s="71" t="s">
        <v>5376</v>
      </c>
      <c r="O103" s="71"/>
      <c r="P103" s="71" t="s">
        <v>5106</v>
      </c>
      <c r="Q103" s="71" t="s">
        <v>5101</v>
      </c>
      <c r="R103" s="71" t="s">
        <v>1859</v>
      </c>
      <c r="S103" s="71" t="s">
        <v>5107</v>
      </c>
      <c r="T103" s="71" t="s">
        <v>119</v>
      </c>
      <c r="U103" s="71" t="s">
        <v>111</v>
      </c>
    </row>
    <row r="104" spans="1:21" ht="29" customHeight="1" x14ac:dyDescent="0.2">
      <c r="A104" s="70" t="s">
        <v>5377</v>
      </c>
      <c r="B104" s="70" t="s">
        <v>190</v>
      </c>
      <c r="C104" s="70" t="s">
        <v>2831</v>
      </c>
      <c r="D104" s="70" t="s">
        <v>192</v>
      </c>
      <c r="E104" s="70" t="s">
        <v>5095</v>
      </c>
      <c r="F104" s="70" t="s">
        <v>5096</v>
      </c>
      <c r="G104" s="70" t="s">
        <v>5097</v>
      </c>
      <c r="H104" s="70"/>
      <c r="I104" s="70" t="s">
        <v>111</v>
      </c>
      <c r="J104" s="70" t="s">
        <v>5098</v>
      </c>
      <c r="K104" s="70" t="s">
        <v>5099</v>
      </c>
      <c r="L104" s="70"/>
      <c r="M104" s="70"/>
      <c r="N104" s="70" t="s">
        <v>5376</v>
      </c>
      <c r="O104" s="70"/>
      <c r="P104" s="70" t="s">
        <v>2016</v>
      </c>
      <c r="Q104" s="70" t="s">
        <v>5101</v>
      </c>
      <c r="R104" s="70" t="s">
        <v>1859</v>
      </c>
      <c r="S104" s="70"/>
      <c r="T104" s="70" t="s">
        <v>111</v>
      </c>
      <c r="U104" s="70" t="s">
        <v>119</v>
      </c>
    </row>
    <row r="105" spans="1:21" ht="29" customHeight="1" x14ac:dyDescent="0.2">
      <c r="A105" s="71" t="s">
        <v>5378</v>
      </c>
      <c r="B105" s="71" t="s">
        <v>190</v>
      </c>
      <c r="C105" s="71" t="s">
        <v>5379</v>
      </c>
      <c r="D105" s="71" t="s">
        <v>2838</v>
      </c>
      <c r="E105" s="71" t="s">
        <v>5095</v>
      </c>
      <c r="F105" s="71" t="s">
        <v>5111</v>
      </c>
      <c r="G105" s="71" t="s">
        <v>5097</v>
      </c>
      <c r="H105" s="71"/>
      <c r="I105" s="71" t="s">
        <v>111</v>
      </c>
      <c r="J105" s="71" t="s">
        <v>5098</v>
      </c>
      <c r="K105" s="71" t="s">
        <v>5099</v>
      </c>
      <c r="L105" s="71"/>
      <c r="M105" s="71"/>
      <c r="N105" s="71" t="s">
        <v>5376</v>
      </c>
      <c r="O105" s="71"/>
      <c r="P105" s="71" t="s">
        <v>2016</v>
      </c>
      <c r="Q105" s="71" t="s">
        <v>5101</v>
      </c>
      <c r="R105" s="71" t="s">
        <v>1859</v>
      </c>
      <c r="S105" s="71"/>
      <c r="T105" s="71" t="s">
        <v>111</v>
      </c>
      <c r="U105" s="71" t="s">
        <v>111</v>
      </c>
    </row>
    <row r="106" spans="1:21" ht="29" customHeight="1" x14ac:dyDescent="0.2">
      <c r="A106" s="70" t="s">
        <v>5380</v>
      </c>
      <c r="B106" s="70" t="s">
        <v>190</v>
      </c>
      <c r="C106" s="70" t="s">
        <v>2842</v>
      </c>
      <c r="D106" s="70" t="s">
        <v>2841</v>
      </c>
      <c r="E106" s="70" t="s">
        <v>5095</v>
      </c>
      <c r="F106" s="70" t="s">
        <v>5111</v>
      </c>
      <c r="G106" s="70" t="s">
        <v>3626</v>
      </c>
      <c r="H106" s="70"/>
      <c r="I106" s="70" t="s">
        <v>111</v>
      </c>
      <c r="J106" s="70" t="s">
        <v>5098</v>
      </c>
      <c r="K106" s="70" t="s">
        <v>5099</v>
      </c>
      <c r="L106" s="70"/>
      <c r="M106" s="70"/>
      <c r="N106" s="70" t="s">
        <v>5376</v>
      </c>
      <c r="O106" s="70"/>
      <c r="P106" s="70" t="s">
        <v>5106</v>
      </c>
      <c r="Q106" s="70" t="s">
        <v>5101</v>
      </c>
      <c r="R106" s="70" t="s">
        <v>1859</v>
      </c>
      <c r="S106" s="70" t="s">
        <v>5115</v>
      </c>
      <c r="T106" s="70" t="s">
        <v>111</v>
      </c>
      <c r="U106" s="70" t="s">
        <v>111</v>
      </c>
    </row>
    <row r="107" spans="1:21" ht="29" customHeight="1" x14ac:dyDescent="0.2">
      <c r="A107" s="71" t="s">
        <v>5381</v>
      </c>
      <c r="B107" s="71" t="s">
        <v>190</v>
      </c>
      <c r="C107" s="71" t="s">
        <v>5382</v>
      </c>
      <c r="D107" s="71" t="s">
        <v>191</v>
      </c>
      <c r="E107" s="71" t="s">
        <v>5095</v>
      </c>
      <c r="F107" s="71" t="s">
        <v>5111</v>
      </c>
      <c r="G107" s="71" t="s">
        <v>5097</v>
      </c>
      <c r="H107" s="71"/>
      <c r="I107" s="71" t="s">
        <v>111</v>
      </c>
      <c r="J107" s="71" t="s">
        <v>5098</v>
      </c>
      <c r="K107" s="71" t="s">
        <v>5099</v>
      </c>
      <c r="L107" s="71"/>
      <c r="M107" s="71"/>
      <c r="N107" s="71" t="s">
        <v>5376</v>
      </c>
      <c r="O107" s="71"/>
      <c r="P107" s="71" t="s">
        <v>2016</v>
      </c>
      <c r="Q107" s="71" t="s">
        <v>5101</v>
      </c>
      <c r="R107" s="71" t="s">
        <v>1859</v>
      </c>
      <c r="S107" s="71"/>
      <c r="T107" s="71" t="s">
        <v>111</v>
      </c>
      <c r="U107" s="71" t="s">
        <v>111</v>
      </c>
    </row>
    <row r="108" spans="1:21" ht="29" customHeight="1" x14ac:dyDescent="0.2">
      <c r="A108" s="70" t="s">
        <v>5383</v>
      </c>
      <c r="B108" s="70" t="s">
        <v>196</v>
      </c>
      <c r="C108" s="70" t="s">
        <v>2771</v>
      </c>
      <c r="D108" s="70" t="s">
        <v>5384</v>
      </c>
      <c r="E108" s="70" t="s">
        <v>5095</v>
      </c>
      <c r="F108" s="70" t="s">
        <v>5096</v>
      </c>
      <c r="G108" s="70" t="s">
        <v>5097</v>
      </c>
      <c r="H108" s="70" t="s">
        <v>5097</v>
      </c>
      <c r="I108" s="70" t="s">
        <v>111</v>
      </c>
      <c r="J108" s="70" t="s">
        <v>5098</v>
      </c>
      <c r="K108" s="70" t="s">
        <v>5099</v>
      </c>
      <c r="L108" s="70"/>
      <c r="M108" s="70"/>
      <c r="N108" s="70" t="s">
        <v>5385</v>
      </c>
      <c r="O108" s="70"/>
      <c r="P108" s="70" t="s">
        <v>2016</v>
      </c>
      <c r="Q108" s="70" t="s">
        <v>5101</v>
      </c>
      <c r="R108" s="70" t="s">
        <v>1859</v>
      </c>
      <c r="S108" s="70"/>
      <c r="T108" s="70" t="s">
        <v>111</v>
      </c>
      <c r="U108" s="70" t="s">
        <v>119</v>
      </c>
    </row>
    <row r="109" spans="1:21" ht="29" customHeight="1" x14ac:dyDescent="0.2">
      <c r="A109" s="71" t="s">
        <v>5386</v>
      </c>
      <c r="B109" s="71" t="s">
        <v>196</v>
      </c>
      <c r="C109" s="71" t="s">
        <v>5387</v>
      </c>
      <c r="D109" s="71" t="s">
        <v>5388</v>
      </c>
      <c r="E109" s="71" t="s">
        <v>5095</v>
      </c>
      <c r="F109" s="71" t="s">
        <v>5111</v>
      </c>
      <c r="G109" s="71" t="s">
        <v>5097</v>
      </c>
      <c r="H109" s="71" t="s">
        <v>5097</v>
      </c>
      <c r="I109" s="71" t="s">
        <v>111</v>
      </c>
      <c r="J109" s="71" t="s">
        <v>5098</v>
      </c>
      <c r="K109" s="71" t="s">
        <v>5099</v>
      </c>
      <c r="L109" s="71"/>
      <c r="M109" s="71"/>
      <c r="N109" s="71" t="s">
        <v>5385</v>
      </c>
      <c r="O109" s="71"/>
      <c r="P109" s="71" t="s">
        <v>2016</v>
      </c>
      <c r="Q109" s="71" t="s">
        <v>5101</v>
      </c>
      <c r="R109" s="71" t="s">
        <v>1859</v>
      </c>
      <c r="S109" s="71"/>
      <c r="T109" s="71" t="s">
        <v>111</v>
      </c>
      <c r="U109" s="71" t="s">
        <v>111</v>
      </c>
    </row>
    <row r="110" spans="1:21" ht="29" customHeight="1" x14ac:dyDescent="0.2">
      <c r="A110" s="70" t="s">
        <v>5389</v>
      </c>
      <c r="B110" s="70" t="s">
        <v>196</v>
      </c>
      <c r="C110" s="70" t="s">
        <v>5390</v>
      </c>
      <c r="D110" s="70" t="s">
        <v>5391</v>
      </c>
      <c r="E110" s="70" t="s">
        <v>5095</v>
      </c>
      <c r="F110" s="70" t="s">
        <v>5111</v>
      </c>
      <c r="G110" s="70" t="s">
        <v>3626</v>
      </c>
      <c r="H110" s="70" t="s">
        <v>3626</v>
      </c>
      <c r="I110" s="70" t="s">
        <v>111</v>
      </c>
      <c r="J110" s="70" t="s">
        <v>5098</v>
      </c>
      <c r="K110" s="70" t="s">
        <v>5099</v>
      </c>
      <c r="L110" s="70"/>
      <c r="M110" s="70"/>
      <c r="N110" s="70" t="s">
        <v>5385</v>
      </c>
      <c r="O110" s="70"/>
      <c r="P110" s="70" t="s">
        <v>5106</v>
      </c>
      <c r="Q110" s="70" t="s">
        <v>5101</v>
      </c>
      <c r="R110" s="70" t="s">
        <v>1859</v>
      </c>
      <c r="S110" s="70" t="s">
        <v>5107</v>
      </c>
      <c r="T110" s="70" t="s">
        <v>119</v>
      </c>
      <c r="U110" s="70" t="s">
        <v>111</v>
      </c>
    </row>
    <row r="111" spans="1:21" ht="29" customHeight="1" x14ac:dyDescent="0.2">
      <c r="A111" s="71" t="s">
        <v>5392</v>
      </c>
      <c r="B111" s="71" t="s">
        <v>196</v>
      </c>
      <c r="C111" s="71" t="s">
        <v>5393</v>
      </c>
      <c r="D111" s="71" t="s">
        <v>4118</v>
      </c>
      <c r="E111" s="71" t="s">
        <v>5095</v>
      </c>
      <c r="F111" s="71" t="s">
        <v>5111</v>
      </c>
      <c r="G111" s="71" t="s">
        <v>3626</v>
      </c>
      <c r="H111" s="71" t="s">
        <v>3626</v>
      </c>
      <c r="I111" s="71" t="s">
        <v>111</v>
      </c>
      <c r="J111" s="71" t="s">
        <v>5098</v>
      </c>
      <c r="K111" s="71" t="s">
        <v>5099</v>
      </c>
      <c r="L111" s="71"/>
      <c r="M111" s="71"/>
      <c r="N111" s="71" t="s">
        <v>5385</v>
      </c>
      <c r="O111" s="71"/>
      <c r="P111" s="71" t="s">
        <v>5106</v>
      </c>
      <c r="Q111" s="71" t="s">
        <v>5101</v>
      </c>
      <c r="R111" s="71" t="s">
        <v>1859</v>
      </c>
      <c r="S111" s="71" t="s">
        <v>5115</v>
      </c>
      <c r="T111" s="71" t="s">
        <v>111</v>
      </c>
      <c r="U111" s="71" t="s">
        <v>111</v>
      </c>
    </row>
    <row r="112" spans="1:21" ht="29" customHeight="1" x14ac:dyDescent="0.2">
      <c r="A112" s="70" t="s">
        <v>5394</v>
      </c>
      <c r="B112" s="70" t="s">
        <v>196</v>
      </c>
      <c r="C112" s="70" t="s">
        <v>5395</v>
      </c>
      <c r="D112" s="70" t="s">
        <v>5396</v>
      </c>
      <c r="E112" s="70" t="s">
        <v>5095</v>
      </c>
      <c r="F112" s="70" t="s">
        <v>5105</v>
      </c>
      <c r="G112" s="70" t="s">
        <v>5097</v>
      </c>
      <c r="H112" s="70" t="s">
        <v>5097</v>
      </c>
      <c r="I112" s="70" t="s">
        <v>111</v>
      </c>
      <c r="J112" s="70" t="s">
        <v>5098</v>
      </c>
      <c r="K112" s="70" t="s">
        <v>5099</v>
      </c>
      <c r="L112" s="70"/>
      <c r="M112" s="70"/>
      <c r="N112" s="70" t="s">
        <v>5385</v>
      </c>
      <c r="O112" s="70"/>
      <c r="P112" s="70" t="s">
        <v>2016</v>
      </c>
      <c r="Q112" s="70" t="s">
        <v>5101</v>
      </c>
      <c r="R112" s="70" t="s">
        <v>1859</v>
      </c>
      <c r="S112" s="70"/>
      <c r="T112" s="70" t="s">
        <v>111</v>
      </c>
      <c r="U112" s="70" t="s">
        <v>111</v>
      </c>
    </row>
    <row r="113" spans="1:21" ht="29" customHeight="1" x14ac:dyDescent="0.2">
      <c r="A113" s="71" t="s">
        <v>5397</v>
      </c>
      <c r="B113" s="71" t="s">
        <v>199</v>
      </c>
      <c r="C113" s="71" t="s">
        <v>5398</v>
      </c>
      <c r="D113" s="71" t="s">
        <v>5399</v>
      </c>
      <c r="E113" s="71" t="s">
        <v>5095</v>
      </c>
      <c r="F113" s="71" t="s">
        <v>5111</v>
      </c>
      <c r="G113" s="71" t="s">
        <v>3626</v>
      </c>
      <c r="H113" s="71"/>
      <c r="I113" s="71" t="s">
        <v>111</v>
      </c>
      <c r="J113" s="71" t="s">
        <v>5098</v>
      </c>
      <c r="K113" s="71" t="s">
        <v>5099</v>
      </c>
      <c r="L113" s="71"/>
      <c r="M113" s="71"/>
      <c r="N113" s="71" t="s">
        <v>5400</v>
      </c>
      <c r="O113" s="71"/>
      <c r="P113" s="71" t="s">
        <v>5106</v>
      </c>
      <c r="Q113" s="71" t="s">
        <v>5101</v>
      </c>
      <c r="R113" s="71" t="s">
        <v>4429</v>
      </c>
      <c r="S113" s="71" t="s">
        <v>5107</v>
      </c>
      <c r="T113" s="71" t="s">
        <v>119</v>
      </c>
      <c r="U113" s="71" t="s">
        <v>111</v>
      </c>
    </row>
    <row r="114" spans="1:21" ht="29" customHeight="1" x14ac:dyDescent="0.2">
      <c r="A114" s="70" t="s">
        <v>5401</v>
      </c>
      <c r="B114" s="70" t="s">
        <v>199</v>
      </c>
      <c r="C114" s="70" t="s">
        <v>5402</v>
      </c>
      <c r="D114" s="70" t="s">
        <v>5403</v>
      </c>
      <c r="E114" s="70" t="s">
        <v>5095</v>
      </c>
      <c r="F114" s="70" t="s">
        <v>5105</v>
      </c>
      <c r="G114" s="70" t="s">
        <v>5097</v>
      </c>
      <c r="H114" s="70"/>
      <c r="I114" s="70" t="s">
        <v>111</v>
      </c>
      <c r="J114" s="70" t="s">
        <v>5098</v>
      </c>
      <c r="K114" s="70" t="s">
        <v>5099</v>
      </c>
      <c r="L114" s="70"/>
      <c r="M114" s="70"/>
      <c r="N114" s="70" t="s">
        <v>5400</v>
      </c>
      <c r="O114" s="70"/>
      <c r="P114" s="70" t="s">
        <v>2016</v>
      </c>
      <c r="Q114" s="70" t="s">
        <v>5101</v>
      </c>
      <c r="R114" s="70" t="s">
        <v>4429</v>
      </c>
      <c r="S114" s="70"/>
      <c r="T114" s="70" t="s">
        <v>111</v>
      </c>
      <c r="U114" s="70" t="s">
        <v>111</v>
      </c>
    </row>
    <row r="115" spans="1:21" ht="43.5" customHeight="1" x14ac:dyDescent="0.2">
      <c r="A115" s="71" t="s">
        <v>5404</v>
      </c>
      <c r="B115" s="71" t="s">
        <v>199</v>
      </c>
      <c r="C115" s="71" t="s">
        <v>5117</v>
      </c>
      <c r="D115" s="71" t="s">
        <v>2766</v>
      </c>
      <c r="E115" s="71" t="s">
        <v>5095</v>
      </c>
      <c r="F115" s="71" t="s">
        <v>5111</v>
      </c>
      <c r="G115" s="71" t="s">
        <v>5097</v>
      </c>
      <c r="H115" s="71"/>
      <c r="I115" s="71" t="s">
        <v>111</v>
      </c>
      <c r="J115" s="71" t="s">
        <v>5098</v>
      </c>
      <c r="K115" s="71" t="s">
        <v>5099</v>
      </c>
      <c r="L115" s="71"/>
      <c r="M115" s="71"/>
      <c r="N115" s="71" t="s">
        <v>5400</v>
      </c>
      <c r="O115" s="71"/>
      <c r="P115" s="71" t="s">
        <v>2016</v>
      </c>
      <c r="Q115" s="71" t="s">
        <v>5101</v>
      </c>
      <c r="R115" s="71" t="s">
        <v>4429</v>
      </c>
      <c r="S115" s="71"/>
      <c r="T115" s="71" t="s">
        <v>111</v>
      </c>
      <c r="U115" s="71" t="s">
        <v>111</v>
      </c>
    </row>
    <row r="116" spans="1:21" ht="29" customHeight="1" x14ac:dyDescent="0.2">
      <c r="A116" s="70" t="s">
        <v>5405</v>
      </c>
      <c r="B116" s="70" t="s">
        <v>199</v>
      </c>
      <c r="C116" s="70" t="s">
        <v>5406</v>
      </c>
      <c r="D116" s="70" t="s">
        <v>4147</v>
      </c>
      <c r="E116" s="70" t="s">
        <v>5095</v>
      </c>
      <c r="F116" s="70" t="s">
        <v>5096</v>
      </c>
      <c r="G116" s="70" t="s">
        <v>5097</v>
      </c>
      <c r="H116" s="70"/>
      <c r="I116" s="70" t="s">
        <v>111</v>
      </c>
      <c r="J116" s="70" t="s">
        <v>5098</v>
      </c>
      <c r="K116" s="70" t="s">
        <v>5099</v>
      </c>
      <c r="L116" s="70"/>
      <c r="M116" s="70"/>
      <c r="N116" s="70" t="s">
        <v>5400</v>
      </c>
      <c r="O116" s="70"/>
      <c r="P116" s="70" t="s">
        <v>2016</v>
      </c>
      <c r="Q116" s="70" t="s">
        <v>5101</v>
      </c>
      <c r="R116" s="70" t="s">
        <v>4429</v>
      </c>
      <c r="S116" s="70"/>
      <c r="T116" s="70" t="s">
        <v>111</v>
      </c>
      <c r="U116" s="70" t="s">
        <v>119</v>
      </c>
    </row>
    <row r="117" spans="1:21" ht="29" customHeight="1" x14ac:dyDescent="0.2">
      <c r="A117" s="71" t="s">
        <v>5407</v>
      </c>
      <c r="B117" s="71" t="s">
        <v>199</v>
      </c>
      <c r="C117" s="71" t="s">
        <v>5408</v>
      </c>
      <c r="D117" s="71" t="s">
        <v>5409</v>
      </c>
      <c r="E117" s="71" t="s">
        <v>5095</v>
      </c>
      <c r="F117" s="71" t="s">
        <v>5111</v>
      </c>
      <c r="G117" s="71" t="s">
        <v>3626</v>
      </c>
      <c r="H117" s="71"/>
      <c r="I117" s="71" t="s">
        <v>111</v>
      </c>
      <c r="J117" s="71" t="s">
        <v>5098</v>
      </c>
      <c r="K117" s="71" t="s">
        <v>5099</v>
      </c>
      <c r="L117" s="71"/>
      <c r="M117" s="71"/>
      <c r="N117" s="71" t="s">
        <v>5400</v>
      </c>
      <c r="O117" s="71"/>
      <c r="P117" s="71" t="s">
        <v>5106</v>
      </c>
      <c r="Q117" s="71" t="s">
        <v>5101</v>
      </c>
      <c r="R117" s="71" t="s">
        <v>4429</v>
      </c>
      <c r="S117" s="71" t="s">
        <v>5115</v>
      </c>
      <c r="T117" s="71" t="s">
        <v>111</v>
      </c>
      <c r="U117" s="71" t="s">
        <v>111</v>
      </c>
    </row>
    <row r="118" spans="1:21" ht="29" customHeight="1" x14ac:dyDescent="0.2">
      <c r="A118" s="70" t="s">
        <v>5410</v>
      </c>
      <c r="B118" s="70" t="s">
        <v>202</v>
      </c>
      <c r="C118" s="70" t="s">
        <v>5411</v>
      </c>
      <c r="D118" s="70" t="s">
        <v>2847</v>
      </c>
      <c r="E118" s="70" t="s">
        <v>5095</v>
      </c>
      <c r="F118" s="70" t="s">
        <v>5111</v>
      </c>
      <c r="G118" s="70" t="s">
        <v>5097</v>
      </c>
      <c r="H118" s="70"/>
      <c r="I118" s="70" t="s">
        <v>111</v>
      </c>
      <c r="J118" s="70" t="s">
        <v>5098</v>
      </c>
      <c r="K118" s="70" t="s">
        <v>5099</v>
      </c>
      <c r="L118" s="70"/>
      <c r="M118" s="70"/>
      <c r="N118" s="70" t="s">
        <v>5412</v>
      </c>
      <c r="O118" s="70"/>
      <c r="P118" s="70" t="s">
        <v>2016</v>
      </c>
      <c r="Q118" s="70" t="s">
        <v>5101</v>
      </c>
      <c r="R118" s="70" t="s">
        <v>1859</v>
      </c>
      <c r="S118" s="70"/>
      <c r="T118" s="70" t="s">
        <v>111</v>
      </c>
      <c r="U118" s="70" t="s">
        <v>111</v>
      </c>
    </row>
    <row r="119" spans="1:21" ht="29" customHeight="1" x14ac:dyDescent="0.2">
      <c r="A119" s="71" t="s">
        <v>5413</v>
      </c>
      <c r="B119" s="71" t="s">
        <v>202</v>
      </c>
      <c r="C119" s="71" t="s">
        <v>5414</v>
      </c>
      <c r="D119" s="71" t="s">
        <v>5415</v>
      </c>
      <c r="E119" s="71" t="s">
        <v>5095</v>
      </c>
      <c r="F119" s="71" t="s">
        <v>5105</v>
      </c>
      <c r="G119" s="71" t="s">
        <v>3626</v>
      </c>
      <c r="H119" s="71"/>
      <c r="I119" s="71" t="s">
        <v>111</v>
      </c>
      <c r="J119" s="71" t="s">
        <v>5098</v>
      </c>
      <c r="K119" s="71" t="s">
        <v>5099</v>
      </c>
      <c r="L119" s="71"/>
      <c r="M119" s="71"/>
      <c r="N119" s="71" t="s">
        <v>5412</v>
      </c>
      <c r="O119" s="71"/>
      <c r="P119" s="71" t="s">
        <v>5106</v>
      </c>
      <c r="Q119" s="71" t="s">
        <v>5101</v>
      </c>
      <c r="R119" s="71" t="s">
        <v>1859</v>
      </c>
      <c r="S119" s="71" t="s">
        <v>5107</v>
      </c>
      <c r="T119" s="71" t="s">
        <v>119</v>
      </c>
      <c r="U119" s="71" t="s">
        <v>111</v>
      </c>
    </row>
    <row r="120" spans="1:21" ht="29" customHeight="1" x14ac:dyDescent="0.2">
      <c r="A120" s="70" t="s">
        <v>5416</v>
      </c>
      <c r="B120" s="70" t="s">
        <v>202</v>
      </c>
      <c r="C120" s="70" t="s">
        <v>5417</v>
      </c>
      <c r="D120" s="70" t="s">
        <v>2858</v>
      </c>
      <c r="E120" s="70" t="s">
        <v>5095</v>
      </c>
      <c r="F120" s="70" t="s">
        <v>5111</v>
      </c>
      <c r="G120" s="70" t="s">
        <v>5097</v>
      </c>
      <c r="H120" s="70"/>
      <c r="I120" s="70" t="s">
        <v>111</v>
      </c>
      <c r="J120" s="70" t="s">
        <v>5098</v>
      </c>
      <c r="K120" s="70" t="s">
        <v>5099</v>
      </c>
      <c r="L120" s="70"/>
      <c r="M120" s="70"/>
      <c r="N120" s="70" t="s">
        <v>5412</v>
      </c>
      <c r="O120" s="70"/>
      <c r="P120" s="70" t="s">
        <v>2016</v>
      </c>
      <c r="Q120" s="70" t="s">
        <v>5101</v>
      </c>
      <c r="R120" s="70" t="s">
        <v>1859</v>
      </c>
      <c r="S120" s="70"/>
      <c r="T120" s="70" t="s">
        <v>111</v>
      </c>
      <c r="U120" s="70" t="s">
        <v>111</v>
      </c>
    </row>
    <row r="121" spans="1:21" ht="29" customHeight="1" x14ac:dyDescent="0.2">
      <c r="A121" s="71" t="s">
        <v>5418</v>
      </c>
      <c r="B121" s="71" t="s">
        <v>202</v>
      </c>
      <c r="C121" s="71" t="s">
        <v>2866</v>
      </c>
      <c r="D121" s="71" t="s">
        <v>2865</v>
      </c>
      <c r="E121" s="71" t="s">
        <v>5095</v>
      </c>
      <c r="F121" s="71" t="s">
        <v>5111</v>
      </c>
      <c r="G121" s="71" t="s">
        <v>3626</v>
      </c>
      <c r="H121" s="71"/>
      <c r="I121" s="71" t="s">
        <v>111</v>
      </c>
      <c r="J121" s="71" t="s">
        <v>5098</v>
      </c>
      <c r="K121" s="71" t="s">
        <v>5099</v>
      </c>
      <c r="L121" s="71"/>
      <c r="M121" s="71"/>
      <c r="N121" s="71" t="s">
        <v>5412</v>
      </c>
      <c r="O121" s="71"/>
      <c r="P121" s="71" t="s">
        <v>5106</v>
      </c>
      <c r="Q121" s="71" t="s">
        <v>5101</v>
      </c>
      <c r="R121" s="71" t="s">
        <v>1859</v>
      </c>
      <c r="S121" s="71" t="s">
        <v>5115</v>
      </c>
      <c r="T121" s="71" t="s">
        <v>111</v>
      </c>
      <c r="U121" s="71" t="s">
        <v>111</v>
      </c>
    </row>
    <row r="122" spans="1:21" ht="29" customHeight="1" x14ac:dyDescent="0.2">
      <c r="A122" s="70" t="s">
        <v>5419</v>
      </c>
      <c r="B122" s="70" t="s">
        <v>202</v>
      </c>
      <c r="C122" s="70" t="s">
        <v>2869</v>
      </c>
      <c r="D122" s="70" t="s">
        <v>203</v>
      </c>
      <c r="E122" s="70" t="s">
        <v>5095</v>
      </c>
      <c r="F122" s="70" t="s">
        <v>5096</v>
      </c>
      <c r="G122" s="70" t="s">
        <v>5097</v>
      </c>
      <c r="H122" s="70"/>
      <c r="I122" s="70" t="s">
        <v>111</v>
      </c>
      <c r="J122" s="70" t="s">
        <v>5098</v>
      </c>
      <c r="K122" s="70" t="s">
        <v>5099</v>
      </c>
      <c r="L122" s="70"/>
      <c r="M122" s="70"/>
      <c r="N122" s="70" t="s">
        <v>5412</v>
      </c>
      <c r="O122" s="70"/>
      <c r="P122" s="70" t="s">
        <v>2016</v>
      </c>
      <c r="Q122" s="70" t="s">
        <v>5101</v>
      </c>
      <c r="R122" s="70" t="s">
        <v>1859</v>
      </c>
      <c r="S122" s="70"/>
      <c r="T122" s="70" t="s">
        <v>111</v>
      </c>
      <c r="U122" s="70" t="s">
        <v>119</v>
      </c>
    </row>
    <row r="123" spans="1:21" ht="29" customHeight="1" x14ac:dyDescent="0.2">
      <c r="A123" s="71" t="s">
        <v>5420</v>
      </c>
      <c r="B123" s="71" t="s">
        <v>206</v>
      </c>
      <c r="C123" s="71" t="s">
        <v>5421</v>
      </c>
      <c r="D123" s="71" t="s">
        <v>5422</v>
      </c>
      <c r="E123" s="71" t="s">
        <v>5095</v>
      </c>
      <c r="F123" s="71" t="s">
        <v>5111</v>
      </c>
      <c r="G123" s="71" t="s">
        <v>3626</v>
      </c>
      <c r="H123" s="71" t="s">
        <v>3626</v>
      </c>
      <c r="I123" s="71" t="s">
        <v>111</v>
      </c>
      <c r="J123" s="71" t="s">
        <v>5098</v>
      </c>
      <c r="K123" s="71" t="s">
        <v>5099</v>
      </c>
      <c r="L123" s="71"/>
      <c r="M123" s="71"/>
      <c r="N123" s="71" t="s">
        <v>5423</v>
      </c>
      <c r="O123" s="71"/>
      <c r="P123" s="71" t="s">
        <v>5106</v>
      </c>
      <c r="Q123" s="71" t="s">
        <v>5101</v>
      </c>
      <c r="R123" s="71" t="s">
        <v>1859</v>
      </c>
      <c r="S123" s="71" t="s">
        <v>5115</v>
      </c>
      <c r="T123" s="71" t="s">
        <v>111</v>
      </c>
      <c r="U123" s="71" t="s">
        <v>111</v>
      </c>
    </row>
    <row r="124" spans="1:21" ht="29" customHeight="1" x14ac:dyDescent="0.2">
      <c r="A124" s="70" t="s">
        <v>5424</v>
      </c>
      <c r="B124" s="70" t="s">
        <v>206</v>
      </c>
      <c r="C124" s="70" t="s">
        <v>5425</v>
      </c>
      <c r="D124" s="70" t="s">
        <v>4193</v>
      </c>
      <c r="E124" s="70" t="s">
        <v>5095</v>
      </c>
      <c r="F124" s="70" t="s">
        <v>5105</v>
      </c>
      <c r="G124" s="70" t="s">
        <v>5097</v>
      </c>
      <c r="H124" s="70" t="s">
        <v>5097</v>
      </c>
      <c r="I124" s="70" t="s">
        <v>111</v>
      </c>
      <c r="J124" s="70" t="s">
        <v>5098</v>
      </c>
      <c r="K124" s="70" t="s">
        <v>5099</v>
      </c>
      <c r="L124" s="70"/>
      <c r="M124" s="70"/>
      <c r="N124" s="70" t="s">
        <v>5423</v>
      </c>
      <c r="O124" s="70"/>
      <c r="P124" s="70" t="s">
        <v>2016</v>
      </c>
      <c r="Q124" s="70" t="s">
        <v>5101</v>
      </c>
      <c r="R124" s="70" t="s">
        <v>1859</v>
      </c>
      <c r="S124" s="70"/>
      <c r="T124" s="70" t="s">
        <v>111</v>
      </c>
      <c r="U124" s="70" t="s">
        <v>111</v>
      </c>
    </row>
    <row r="125" spans="1:21" ht="29" customHeight="1" x14ac:dyDescent="0.2">
      <c r="A125" s="71" t="s">
        <v>5426</v>
      </c>
      <c r="B125" s="71" t="s">
        <v>206</v>
      </c>
      <c r="C125" s="71" t="s">
        <v>5427</v>
      </c>
      <c r="D125" s="71" t="s">
        <v>4184</v>
      </c>
      <c r="E125" s="71" t="s">
        <v>5095</v>
      </c>
      <c r="F125" s="71" t="s">
        <v>5096</v>
      </c>
      <c r="G125" s="71" t="s">
        <v>5097</v>
      </c>
      <c r="H125" s="71" t="s">
        <v>5097</v>
      </c>
      <c r="I125" s="71" t="s">
        <v>111</v>
      </c>
      <c r="J125" s="71" t="s">
        <v>5098</v>
      </c>
      <c r="K125" s="71" t="s">
        <v>5099</v>
      </c>
      <c r="L125" s="71"/>
      <c r="M125" s="71"/>
      <c r="N125" s="71" t="s">
        <v>5423</v>
      </c>
      <c r="O125" s="71"/>
      <c r="P125" s="71" t="s">
        <v>2016</v>
      </c>
      <c r="Q125" s="71" t="s">
        <v>5101</v>
      </c>
      <c r="R125" s="71" t="s">
        <v>1859</v>
      </c>
      <c r="S125" s="71"/>
      <c r="T125" s="71" t="s">
        <v>111</v>
      </c>
      <c r="U125" s="71" t="s">
        <v>119</v>
      </c>
    </row>
    <row r="126" spans="1:21" ht="29" customHeight="1" x14ac:dyDescent="0.2">
      <c r="A126" s="70" t="s">
        <v>5428</v>
      </c>
      <c r="B126" s="70" t="s">
        <v>206</v>
      </c>
      <c r="C126" s="70" t="s">
        <v>5429</v>
      </c>
      <c r="D126" s="70" t="s">
        <v>5430</v>
      </c>
      <c r="E126" s="70" t="s">
        <v>5095</v>
      </c>
      <c r="F126" s="70" t="s">
        <v>5111</v>
      </c>
      <c r="G126" s="70" t="s">
        <v>5097</v>
      </c>
      <c r="H126" s="70" t="s">
        <v>5097</v>
      </c>
      <c r="I126" s="70" t="s">
        <v>111</v>
      </c>
      <c r="J126" s="70" t="s">
        <v>5098</v>
      </c>
      <c r="K126" s="70" t="s">
        <v>5099</v>
      </c>
      <c r="L126" s="70"/>
      <c r="M126" s="70"/>
      <c r="N126" s="70" t="s">
        <v>5423</v>
      </c>
      <c r="O126" s="70"/>
      <c r="P126" s="70" t="s">
        <v>2016</v>
      </c>
      <c r="Q126" s="70" t="s">
        <v>5101</v>
      </c>
      <c r="R126" s="70" t="s">
        <v>1859</v>
      </c>
      <c r="S126" s="70"/>
      <c r="T126" s="70" t="s">
        <v>111</v>
      </c>
      <c r="U126" s="70" t="s">
        <v>111</v>
      </c>
    </row>
    <row r="127" spans="1:21" ht="29" customHeight="1" x14ac:dyDescent="0.2">
      <c r="A127" s="71" t="s">
        <v>5431</v>
      </c>
      <c r="B127" s="71" t="s">
        <v>206</v>
      </c>
      <c r="C127" s="71" t="s">
        <v>5432</v>
      </c>
      <c r="D127" s="71" t="s">
        <v>5433</v>
      </c>
      <c r="E127" s="71" t="s">
        <v>5095</v>
      </c>
      <c r="F127" s="71" t="s">
        <v>5111</v>
      </c>
      <c r="G127" s="71" t="s">
        <v>3626</v>
      </c>
      <c r="H127" s="71" t="s">
        <v>3626</v>
      </c>
      <c r="I127" s="71" t="s">
        <v>111</v>
      </c>
      <c r="J127" s="71" t="s">
        <v>5098</v>
      </c>
      <c r="K127" s="71" t="s">
        <v>5099</v>
      </c>
      <c r="L127" s="71"/>
      <c r="M127" s="71"/>
      <c r="N127" s="71" t="s">
        <v>5423</v>
      </c>
      <c r="O127" s="71"/>
      <c r="P127" s="71" t="s">
        <v>5106</v>
      </c>
      <c r="Q127" s="71" t="s">
        <v>5101</v>
      </c>
      <c r="R127" s="71" t="s">
        <v>1859</v>
      </c>
      <c r="S127" s="71" t="s">
        <v>5107</v>
      </c>
      <c r="T127" s="71" t="s">
        <v>119</v>
      </c>
      <c r="U127" s="71" t="s">
        <v>111</v>
      </c>
    </row>
    <row r="128" spans="1:21" ht="29" customHeight="1" x14ac:dyDescent="0.2">
      <c r="A128" s="70" t="s">
        <v>5434</v>
      </c>
      <c r="B128" s="70" t="s">
        <v>209</v>
      </c>
      <c r="C128" s="70"/>
      <c r="D128" s="70" t="s">
        <v>5435</v>
      </c>
      <c r="E128" s="70" t="s">
        <v>5220</v>
      </c>
      <c r="F128" s="70" t="s">
        <v>5105</v>
      </c>
      <c r="G128" s="70" t="s">
        <v>3626</v>
      </c>
      <c r="H128" s="70"/>
      <c r="I128" s="70" t="s">
        <v>111</v>
      </c>
      <c r="J128" s="70" t="s">
        <v>5098</v>
      </c>
      <c r="K128" s="70" t="s">
        <v>5099</v>
      </c>
      <c r="L128" s="70"/>
      <c r="M128" s="70"/>
      <c r="N128" s="70" t="s">
        <v>5436</v>
      </c>
      <c r="O128" s="70"/>
      <c r="P128" s="70" t="s">
        <v>5106</v>
      </c>
      <c r="Q128" s="70" t="s">
        <v>5101</v>
      </c>
      <c r="R128" s="70" t="s">
        <v>1859</v>
      </c>
      <c r="S128" s="70" t="s">
        <v>5115</v>
      </c>
      <c r="T128" s="70" t="s">
        <v>111</v>
      </c>
      <c r="U128" s="70" t="s">
        <v>111</v>
      </c>
    </row>
    <row r="129" spans="1:21" ht="29" customHeight="1" x14ac:dyDescent="0.2">
      <c r="A129" s="71" t="s">
        <v>5437</v>
      </c>
      <c r="B129" s="71" t="s">
        <v>209</v>
      </c>
      <c r="C129" s="71"/>
      <c r="D129" s="71" t="s">
        <v>5438</v>
      </c>
      <c r="E129" s="71" t="s">
        <v>5220</v>
      </c>
      <c r="F129" s="71" t="s">
        <v>5096</v>
      </c>
      <c r="G129" s="71" t="s">
        <v>3626</v>
      </c>
      <c r="H129" s="71"/>
      <c r="I129" s="71" t="s">
        <v>111</v>
      </c>
      <c r="J129" s="71" t="s">
        <v>5098</v>
      </c>
      <c r="K129" s="71" t="s">
        <v>5099</v>
      </c>
      <c r="L129" s="71"/>
      <c r="M129" s="71"/>
      <c r="N129" s="71" t="s">
        <v>5436</v>
      </c>
      <c r="O129" s="71"/>
      <c r="P129" s="71" t="s">
        <v>5106</v>
      </c>
      <c r="Q129" s="71" t="s">
        <v>5101</v>
      </c>
      <c r="R129" s="71" t="s">
        <v>1859</v>
      </c>
      <c r="S129" s="71" t="s">
        <v>5115</v>
      </c>
      <c r="T129" s="71" t="s">
        <v>111</v>
      </c>
      <c r="U129" s="71" t="s">
        <v>119</v>
      </c>
    </row>
    <row r="130" spans="1:21" ht="29" customHeight="1" x14ac:dyDescent="0.2">
      <c r="A130" s="70" t="s">
        <v>5439</v>
      </c>
      <c r="B130" s="70" t="s">
        <v>209</v>
      </c>
      <c r="C130" s="70"/>
      <c r="D130" s="70" t="s">
        <v>5440</v>
      </c>
      <c r="E130" s="70" t="s">
        <v>5220</v>
      </c>
      <c r="F130" s="70" t="s">
        <v>5111</v>
      </c>
      <c r="G130" s="70" t="s">
        <v>3626</v>
      </c>
      <c r="H130" s="70"/>
      <c r="I130" s="70" t="s">
        <v>111</v>
      </c>
      <c r="J130" s="70" t="s">
        <v>5098</v>
      </c>
      <c r="K130" s="70" t="s">
        <v>5099</v>
      </c>
      <c r="L130" s="70"/>
      <c r="M130" s="70"/>
      <c r="N130" s="70" t="s">
        <v>5436</v>
      </c>
      <c r="O130" s="70"/>
      <c r="P130" s="70" t="s">
        <v>5106</v>
      </c>
      <c r="Q130" s="70" t="s">
        <v>5101</v>
      </c>
      <c r="R130" s="70" t="s">
        <v>1859</v>
      </c>
      <c r="S130" s="70" t="s">
        <v>5115</v>
      </c>
      <c r="T130" s="70" t="s">
        <v>111</v>
      </c>
      <c r="U130" s="70" t="s">
        <v>111</v>
      </c>
    </row>
    <row r="131" spans="1:21" ht="29" customHeight="1" x14ac:dyDescent="0.2">
      <c r="A131" s="71" t="s">
        <v>5441</v>
      </c>
      <c r="B131" s="71" t="s">
        <v>209</v>
      </c>
      <c r="C131" s="71"/>
      <c r="D131" s="71" t="s">
        <v>5442</v>
      </c>
      <c r="E131" s="71" t="s">
        <v>5220</v>
      </c>
      <c r="F131" s="71" t="s">
        <v>5111</v>
      </c>
      <c r="G131" s="71" t="s">
        <v>3626</v>
      </c>
      <c r="H131" s="71"/>
      <c r="I131" s="71" t="s">
        <v>111</v>
      </c>
      <c r="J131" s="71" t="s">
        <v>5098</v>
      </c>
      <c r="K131" s="71" t="s">
        <v>5099</v>
      </c>
      <c r="L131" s="71"/>
      <c r="M131" s="71"/>
      <c r="N131" s="71" t="s">
        <v>5436</v>
      </c>
      <c r="O131" s="71"/>
      <c r="P131" s="71" t="s">
        <v>5106</v>
      </c>
      <c r="Q131" s="71" t="s">
        <v>5101</v>
      </c>
      <c r="R131" s="71" t="s">
        <v>1859</v>
      </c>
      <c r="S131" s="71" t="s">
        <v>5115</v>
      </c>
      <c r="T131" s="71" t="s">
        <v>111</v>
      </c>
      <c r="U131" s="71" t="s">
        <v>111</v>
      </c>
    </row>
    <row r="132" spans="1:21" ht="29" customHeight="1" x14ac:dyDescent="0.2">
      <c r="A132" s="70" t="s">
        <v>5443</v>
      </c>
      <c r="B132" s="70" t="s">
        <v>209</v>
      </c>
      <c r="C132" s="70"/>
      <c r="D132" s="70" t="s">
        <v>5444</v>
      </c>
      <c r="E132" s="70" t="s">
        <v>5220</v>
      </c>
      <c r="F132" s="70" t="s">
        <v>5111</v>
      </c>
      <c r="G132" s="70" t="s">
        <v>3626</v>
      </c>
      <c r="H132" s="70"/>
      <c r="I132" s="70" t="s">
        <v>111</v>
      </c>
      <c r="J132" s="70" t="s">
        <v>5098</v>
      </c>
      <c r="K132" s="70" t="s">
        <v>5099</v>
      </c>
      <c r="L132" s="70"/>
      <c r="M132" s="70"/>
      <c r="N132" s="70" t="s">
        <v>5436</v>
      </c>
      <c r="O132" s="70"/>
      <c r="P132" s="70" t="s">
        <v>5106</v>
      </c>
      <c r="Q132" s="70" t="s">
        <v>5101</v>
      </c>
      <c r="R132" s="70" t="s">
        <v>1859</v>
      </c>
      <c r="S132" s="70" t="s">
        <v>5107</v>
      </c>
      <c r="T132" s="70" t="s">
        <v>119</v>
      </c>
      <c r="U132" s="70" t="s">
        <v>111</v>
      </c>
    </row>
    <row r="133" spans="1:21" ht="29" customHeight="1" x14ac:dyDescent="0.2">
      <c r="A133" s="71" t="s">
        <v>5445</v>
      </c>
      <c r="B133" s="71" t="s">
        <v>212</v>
      </c>
      <c r="C133" s="71"/>
      <c r="D133" s="71" t="s">
        <v>5446</v>
      </c>
      <c r="E133" s="71" t="s">
        <v>5220</v>
      </c>
      <c r="F133" s="71" t="s">
        <v>5111</v>
      </c>
      <c r="G133" s="71" t="s">
        <v>3626</v>
      </c>
      <c r="H133" s="71"/>
      <c r="I133" s="71" t="s">
        <v>111</v>
      </c>
      <c r="J133" s="71" t="s">
        <v>5098</v>
      </c>
      <c r="K133" s="71" t="s">
        <v>5099</v>
      </c>
      <c r="L133" s="71"/>
      <c r="M133" s="71"/>
      <c r="N133" s="71" t="s">
        <v>5447</v>
      </c>
      <c r="O133" s="71"/>
      <c r="P133" s="71" t="s">
        <v>5106</v>
      </c>
      <c r="Q133" s="71" t="s">
        <v>5101</v>
      </c>
      <c r="R133" s="71" t="s">
        <v>1859</v>
      </c>
      <c r="S133" s="71" t="s">
        <v>5115</v>
      </c>
      <c r="T133" s="71" t="s">
        <v>111</v>
      </c>
      <c r="U133" s="71" t="s">
        <v>111</v>
      </c>
    </row>
    <row r="134" spans="1:21" ht="29" customHeight="1" x14ac:dyDescent="0.2">
      <c r="A134" s="70" t="s">
        <v>5448</v>
      </c>
      <c r="B134" s="70" t="s">
        <v>212</v>
      </c>
      <c r="C134" s="70"/>
      <c r="D134" s="70" t="s">
        <v>5449</v>
      </c>
      <c r="E134" s="70" t="s">
        <v>5220</v>
      </c>
      <c r="F134" s="70" t="s">
        <v>5111</v>
      </c>
      <c r="G134" s="70" t="s">
        <v>3626</v>
      </c>
      <c r="H134" s="70" t="s">
        <v>3626</v>
      </c>
      <c r="I134" s="70" t="s">
        <v>111</v>
      </c>
      <c r="J134" s="70" t="s">
        <v>5098</v>
      </c>
      <c r="K134" s="70" t="s">
        <v>5099</v>
      </c>
      <c r="L134" s="70"/>
      <c r="M134" s="70"/>
      <c r="N134" s="70" t="s">
        <v>5447</v>
      </c>
      <c r="O134" s="70"/>
      <c r="P134" s="70" t="s">
        <v>5106</v>
      </c>
      <c r="Q134" s="70" t="s">
        <v>5101</v>
      </c>
      <c r="R134" s="70" t="s">
        <v>1859</v>
      </c>
      <c r="S134" s="70" t="s">
        <v>5107</v>
      </c>
      <c r="T134" s="70" t="s">
        <v>119</v>
      </c>
      <c r="U134" s="70" t="s">
        <v>111</v>
      </c>
    </row>
    <row r="135" spans="1:21" ht="29" customHeight="1" x14ac:dyDescent="0.2">
      <c r="A135" s="71" t="s">
        <v>5450</v>
      </c>
      <c r="B135" s="71" t="s">
        <v>212</v>
      </c>
      <c r="C135" s="71"/>
      <c r="D135" s="71" t="s">
        <v>5451</v>
      </c>
      <c r="E135" s="71" t="s">
        <v>5220</v>
      </c>
      <c r="F135" s="71" t="s">
        <v>5096</v>
      </c>
      <c r="G135" s="71" t="s">
        <v>3626</v>
      </c>
      <c r="H135" s="71" t="s">
        <v>3626</v>
      </c>
      <c r="I135" s="71" t="s">
        <v>111</v>
      </c>
      <c r="J135" s="71" t="s">
        <v>5098</v>
      </c>
      <c r="K135" s="71" t="s">
        <v>5099</v>
      </c>
      <c r="L135" s="71"/>
      <c r="M135" s="71"/>
      <c r="N135" s="71" t="s">
        <v>5447</v>
      </c>
      <c r="O135" s="71"/>
      <c r="P135" s="71" t="s">
        <v>5106</v>
      </c>
      <c r="Q135" s="71" t="s">
        <v>5101</v>
      </c>
      <c r="R135" s="71" t="s">
        <v>1859</v>
      </c>
      <c r="S135" s="71" t="s">
        <v>5115</v>
      </c>
      <c r="T135" s="71" t="s">
        <v>111</v>
      </c>
      <c r="U135" s="71" t="s">
        <v>119</v>
      </c>
    </row>
    <row r="136" spans="1:21" ht="29" customHeight="1" x14ac:dyDescent="0.2">
      <c r="A136" s="70" t="s">
        <v>5452</v>
      </c>
      <c r="B136" s="70" t="s">
        <v>212</v>
      </c>
      <c r="C136" s="70"/>
      <c r="D136" s="70" t="s">
        <v>5453</v>
      </c>
      <c r="E136" s="70" t="s">
        <v>5220</v>
      </c>
      <c r="F136" s="70" t="s">
        <v>5111</v>
      </c>
      <c r="G136" s="70" t="s">
        <v>3626</v>
      </c>
      <c r="H136" s="70" t="s">
        <v>3626</v>
      </c>
      <c r="I136" s="70" t="s">
        <v>111</v>
      </c>
      <c r="J136" s="70" t="s">
        <v>5098</v>
      </c>
      <c r="K136" s="70" t="s">
        <v>5099</v>
      </c>
      <c r="L136" s="70"/>
      <c r="M136" s="70"/>
      <c r="N136" s="70" t="s">
        <v>5447</v>
      </c>
      <c r="O136" s="70"/>
      <c r="P136" s="70" t="s">
        <v>5106</v>
      </c>
      <c r="Q136" s="70" t="s">
        <v>5101</v>
      </c>
      <c r="R136" s="70" t="s">
        <v>1859</v>
      </c>
      <c r="S136" s="70" t="s">
        <v>5115</v>
      </c>
      <c r="T136" s="70" t="s">
        <v>111</v>
      </c>
      <c r="U136" s="70" t="s">
        <v>111</v>
      </c>
    </row>
    <row r="137" spans="1:21" ht="29" customHeight="1" x14ac:dyDescent="0.2">
      <c r="A137" s="71" t="s">
        <v>5454</v>
      </c>
      <c r="B137" s="71" t="s">
        <v>212</v>
      </c>
      <c r="C137" s="71"/>
      <c r="D137" s="71" t="s">
        <v>5455</v>
      </c>
      <c r="E137" s="71" t="s">
        <v>5220</v>
      </c>
      <c r="F137" s="71" t="s">
        <v>5105</v>
      </c>
      <c r="G137" s="71" t="s">
        <v>3626</v>
      </c>
      <c r="H137" s="71" t="s">
        <v>3626</v>
      </c>
      <c r="I137" s="71" t="s">
        <v>111</v>
      </c>
      <c r="J137" s="71" t="s">
        <v>5098</v>
      </c>
      <c r="K137" s="71" t="s">
        <v>5099</v>
      </c>
      <c r="L137" s="71"/>
      <c r="M137" s="71"/>
      <c r="N137" s="71" t="s">
        <v>5447</v>
      </c>
      <c r="O137" s="71"/>
      <c r="P137" s="71" t="s">
        <v>5106</v>
      </c>
      <c r="Q137" s="71" t="s">
        <v>5101</v>
      </c>
      <c r="R137" s="71" t="s">
        <v>1859</v>
      </c>
      <c r="S137" s="71" t="s">
        <v>5115</v>
      </c>
      <c r="T137" s="71" t="s">
        <v>111</v>
      </c>
      <c r="U137" s="71" t="s">
        <v>111</v>
      </c>
    </row>
    <row r="138" spans="1:21" ht="29" customHeight="1" x14ac:dyDescent="0.2">
      <c r="A138" s="70" t="s">
        <v>5456</v>
      </c>
      <c r="B138" s="70" t="s">
        <v>24</v>
      </c>
      <c r="C138" s="70"/>
      <c r="D138" s="70"/>
      <c r="E138" s="70"/>
      <c r="F138" s="70"/>
      <c r="G138" s="70"/>
      <c r="H138" s="70"/>
      <c r="I138" s="70"/>
      <c r="J138" s="70" t="s">
        <v>5457</v>
      </c>
      <c r="K138" s="70"/>
      <c r="L138" s="70"/>
      <c r="M138" s="70"/>
      <c r="N138" s="70"/>
      <c r="O138" s="70"/>
      <c r="P138" s="70" t="s">
        <v>2016</v>
      </c>
      <c r="Q138" s="70" t="s">
        <v>5101</v>
      </c>
      <c r="R138" s="70" t="s">
        <v>1859</v>
      </c>
      <c r="S138" s="70" t="s">
        <v>5458</v>
      </c>
      <c r="T138" s="70"/>
      <c r="U138" s="70"/>
    </row>
    <row r="139" spans="1:21" ht="29" customHeight="1" x14ac:dyDescent="0.2">
      <c r="A139" s="71" t="s">
        <v>5459</v>
      </c>
      <c r="B139" s="71" t="s">
        <v>28</v>
      </c>
      <c r="C139" s="71" t="s">
        <v>5120</v>
      </c>
      <c r="D139" s="71" t="s">
        <v>5121</v>
      </c>
      <c r="E139" s="71" t="s">
        <v>5095</v>
      </c>
      <c r="F139" s="71" t="s">
        <v>5105</v>
      </c>
      <c r="G139" s="71" t="s">
        <v>3626</v>
      </c>
      <c r="H139" s="71"/>
      <c r="I139" s="71" t="s">
        <v>111</v>
      </c>
      <c r="J139" s="71" t="s">
        <v>5098</v>
      </c>
      <c r="K139" s="71" t="s">
        <v>5099</v>
      </c>
      <c r="L139" s="71"/>
      <c r="M139" s="71"/>
      <c r="N139" s="71" t="s">
        <v>5460</v>
      </c>
      <c r="O139" s="71"/>
      <c r="P139" s="71" t="s">
        <v>5106</v>
      </c>
      <c r="Q139" s="71" t="s">
        <v>5101</v>
      </c>
      <c r="R139" s="71" t="s">
        <v>4364</v>
      </c>
      <c r="S139" s="71" t="s">
        <v>5115</v>
      </c>
      <c r="T139" s="71" t="s">
        <v>111</v>
      </c>
      <c r="U139" s="71" t="s">
        <v>111</v>
      </c>
    </row>
    <row r="140" spans="1:21" ht="29" customHeight="1" x14ac:dyDescent="0.2">
      <c r="A140" s="70" t="s">
        <v>5461</v>
      </c>
      <c r="B140" s="70" t="s">
        <v>28</v>
      </c>
      <c r="C140" s="70" t="s">
        <v>5462</v>
      </c>
      <c r="D140" s="70" t="s">
        <v>5121</v>
      </c>
      <c r="E140" s="70" t="s">
        <v>5095</v>
      </c>
      <c r="F140" s="70" t="s">
        <v>5096</v>
      </c>
      <c r="G140" s="70" t="s">
        <v>5097</v>
      </c>
      <c r="H140" s="70"/>
      <c r="I140" s="70" t="s">
        <v>111</v>
      </c>
      <c r="J140" s="70" t="s">
        <v>5098</v>
      </c>
      <c r="K140" s="70" t="s">
        <v>5099</v>
      </c>
      <c r="L140" s="70"/>
      <c r="M140" s="70"/>
      <c r="N140" s="70" t="s">
        <v>5460</v>
      </c>
      <c r="O140" s="70"/>
      <c r="P140" s="70" t="s">
        <v>2016</v>
      </c>
      <c r="Q140" s="70" t="s">
        <v>5101</v>
      </c>
      <c r="R140" s="70" t="s">
        <v>4364</v>
      </c>
      <c r="S140" s="70"/>
      <c r="T140" s="70" t="s">
        <v>111</v>
      </c>
      <c r="U140" s="70" t="s">
        <v>119</v>
      </c>
    </row>
    <row r="141" spans="1:21" ht="29" customHeight="1" x14ac:dyDescent="0.2">
      <c r="A141" s="71" t="s">
        <v>5463</v>
      </c>
      <c r="B141" s="71" t="s">
        <v>28</v>
      </c>
      <c r="C141" s="71" t="s">
        <v>5124</v>
      </c>
      <c r="D141" s="71" t="s">
        <v>5121</v>
      </c>
      <c r="E141" s="71" t="s">
        <v>5095</v>
      </c>
      <c r="F141" s="71" t="s">
        <v>5111</v>
      </c>
      <c r="G141" s="71" t="s">
        <v>3626</v>
      </c>
      <c r="H141" s="71"/>
      <c r="I141" s="71" t="s">
        <v>111</v>
      </c>
      <c r="J141" s="71" t="s">
        <v>5098</v>
      </c>
      <c r="K141" s="71" t="s">
        <v>5099</v>
      </c>
      <c r="L141" s="71"/>
      <c r="M141" s="71"/>
      <c r="N141" s="71" t="s">
        <v>5460</v>
      </c>
      <c r="O141" s="71"/>
      <c r="P141" s="71" t="s">
        <v>5106</v>
      </c>
      <c r="Q141" s="71" t="s">
        <v>5101</v>
      </c>
      <c r="R141" s="71" t="s">
        <v>4364</v>
      </c>
      <c r="S141" s="71" t="s">
        <v>5115</v>
      </c>
      <c r="T141" s="71" t="s">
        <v>111</v>
      </c>
      <c r="U141" s="71" t="s">
        <v>111</v>
      </c>
    </row>
    <row r="142" spans="1:21" ht="29" customHeight="1" x14ac:dyDescent="0.2">
      <c r="A142" s="70" t="s">
        <v>5464</v>
      </c>
      <c r="B142" s="70" t="s">
        <v>28</v>
      </c>
      <c r="C142" s="70" t="s">
        <v>5465</v>
      </c>
      <c r="D142" s="70" t="s">
        <v>5121</v>
      </c>
      <c r="E142" s="70" t="s">
        <v>5095</v>
      </c>
      <c r="F142" s="70" t="s">
        <v>5111</v>
      </c>
      <c r="G142" s="70" t="s">
        <v>5097</v>
      </c>
      <c r="H142" s="70"/>
      <c r="I142" s="70" t="s">
        <v>111</v>
      </c>
      <c r="J142" s="70" t="s">
        <v>5098</v>
      </c>
      <c r="K142" s="70" t="s">
        <v>5099</v>
      </c>
      <c r="L142" s="70"/>
      <c r="M142" s="70"/>
      <c r="N142" s="70" t="s">
        <v>5460</v>
      </c>
      <c r="O142" s="70"/>
      <c r="P142" s="70" t="s">
        <v>2016</v>
      </c>
      <c r="Q142" s="70" t="s">
        <v>5101</v>
      </c>
      <c r="R142" s="70" t="s">
        <v>4364</v>
      </c>
      <c r="S142" s="70"/>
      <c r="T142" s="70" t="s">
        <v>111</v>
      </c>
      <c r="U142" s="70" t="s">
        <v>111</v>
      </c>
    </row>
    <row r="143" spans="1:21" ht="29" customHeight="1" x14ac:dyDescent="0.2">
      <c r="A143" s="71" t="s">
        <v>5466</v>
      </c>
      <c r="B143" s="71" t="s">
        <v>28</v>
      </c>
      <c r="C143" s="71" t="s">
        <v>5467</v>
      </c>
      <c r="D143" s="71" t="s">
        <v>5121</v>
      </c>
      <c r="E143" s="71" t="s">
        <v>5095</v>
      </c>
      <c r="F143" s="71" t="s">
        <v>5111</v>
      </c>
      <c r="G143" s="71" t="s">
        <v>5097</v>
      </c>
      <c r="H143" s="71"/>
      <c r="I143" s="71" t="s">
        <v>111</v>
      </c>
      <c r="J143" s="71" t="s">
        <v>5098</v>
      </c>
      <c r="K143" s="71" t="s">
        <v>5099</v>
      </c>
      <c r="L143" s="71"/>
      <c r="M143" s="71"/>
      <c r="N143" s="71" t="s">
        <v>5460</v>
      </c>
      <c r="O143" s="71"/>
      <c r="P143" s="71" t="s">
        <v>2016</v>
      </c>
      <c r="Q143" s="71" t="s">
        <v>5101</v>
      </c>
      <c r="R143" s="71" t="s">
        <v>4364</v>
      </c>
      <c r="S143" s="71"/>
      <c r="T143" s="71" t="s">
        <v>111</v>
      </c>
      <c r="U143" s="71" t="s">
        <v>111</v>
      </c>
    </row>
    <row r="144" spans="1:21" ht="29" customHeight="1" x14ac:dyDescent="0.2">
      <c r="A144" s="70" t="s">
        <v>5468</v>
      </c>
      <c r="B144" s="70" t="s">
        <v>222</v>
      </c>
      <c r="C144" s="70" t="s">
        <v>2895</v>
      </c>
      <c r="D144" s="70" t="s">
        <v>2894</v>
      </c>
      <c r="E144" s="70" t="s">
        <v>5095</v>
      </c>
      <c r="F144" s="70" t="s">
        <v>5105</v>
      </c>
      <c r="G144" s="70" t="s">
        <v>3626</v>
      </c>
      <c r="H144" s="70" t="s">
        <v>3626</v>
      </c>
      <c r="I144" s="70" t="s">
        <v>111</v>
      </c>
      <c r="J144" s="70" t="s">
        <v>5098</v>
      </c>
      <c r="K144" s="70" t="s">
        <v>5099</v>
      </c>
      <c r="L144" s="70"/>
      <c r="M144" s="70"/>
      <c r="N144" s="70" t="s">
        <v>5469</v>
      </c>
      <c r="O144" s="70"/>
      <c r="P144" s="70" t="s">
        <v>5106</v>
      </c>
      <c r="Q144" s="70" t="s">
        <v>5101</v>
      </c>
      <c r="R144" s="70" t="s">
        <v>3879</v>
      </c>
      <c r="S144" s="70" t="s">
        <v>5107</v>
      </c>
      <c r="T144" s="70" t="s">
        <v>119</v>
      </c>
      <c r="U144" s="70" t="s">
        <v>111</v>
      </c>
    </row>
    <row r="145" spans="1:21" ht="29" customHeight="1" x14ac:dyDescent="0.2">
      <c r="A145" s="71" t="s">
        <v>5470</v>
      </c>
      <c r="B145" s="71" t="s">
        <v>222</v>
      </c>
      <c r="C145" s="71" t="s">
        <v>2904</v>
      </c>
      <c r="D145" s="71" t="s">
        <v>5471</v>
      </c>
      <c r="E145" s="71" t="s">
        <v>5095</v>
      </c>
      <c r="F145" s="71" t="s">
        <v>5111</v>
      </c>
      <c r="G145" s="71" t="s">
        <v>5097</v>
      </c>
      <c r="H145" s="71"/>
      <c r="I145" s="71" t="s">
        <v>111</v>
      </c>
      <c r="J145" s="71" t="s">
        <v>5098</v>
      </c>
      <c r="K145" s="71" t="s">
        <v>5099</v>
      </c>
      <c r="L145" s="71"/>
      <c r="M145" s="71"/>
      <c r="N145" s="71" t="s">
        <v>5469</v>
      </c>
      <c r="O145" s="71"/>
      <c r="P145" s="71" t="s">
        <v>2016</v>
      </c>
      <c r="Q145" s="71" t="s">
        <v>5101</v>
      </c>
      <c r="R145" s="71" t="s">
        <v>3879</v>
      </c>
      <c r="S145" s="71"/>
      <c r="T145" s="71" t="s">
        <v>111</v>
      </c>
      <c r="U145" s="71" t="s">
        <v>111</v>
      </c>
    </row>
    <row r="146" spans="1:21" ht="29" customHeight="1" x14ac:dyDescent="0.2">
      <c r="A146" s="70" t="s">
        <v>5472</v>
      </c>
      <c r="B146" s="70" t="s">
        <v>222</v>
      </c>
      <c r="C146" s="70" t="s">
        <v>2907</v>
      </c>
      <c r="D146" s="70" t="s">
        <v>223</v>
      </c>
      <c r="E146" s="70" t="s">
        <v>5095</v>
      </c>
      <c r="F146" s="70" t="s">
        <v>5096</v>
      </c>
      <c r="G146" s="70" t="s">
        <v>5097</v>
      </c>
      <c r="H146" s="70" t="s">
        <v>5097</v>
      </c>
      <c r="I146" s="70" t="s">
        <v>111</v>
      </c>
      <c r="J146" s="70" t="s">
        <v>5098</v>
      </c>
      <c r="K146" s="70" t="s">
        <v>5099</v>
      </c>
      <c r="L146" s="70"/>
      <c r="M146" s="70"/>
      <c r="N146" s="70" t="s">
        <v>5469</v>
      </c>
      <c r="O146" s="70"/>
      <c r="P146" s="70" t="s">
        <v>2016</v>
      </c>
      <c r="Q146" s="70" t="s">
        <v>5101</v>
      </c>
      <c r="R146" s="70" t="s">
        <v>3879</v>
      </c>
      <c r="S146" s="70"/>
      <c r="T146" s="70" t="s">
        <v>111</v>
      </c>
      <c r="U146" s="70" t="s">
        <v>119</v>
      </c>
    </row>
    <row r="147" spans="1:21" ht="29" customHeight="1" x14ac:dyDescent="0.2">
      <c r="A147" s="71" t="s">
        <v>5473</v>
      </c>
      <c r="B147" s="71" t="s">
        <v>222</v>
      </c>
      <c r="C147" s="71" t="s">
        <v>5167</v>
      </c>
      <c r="D147" s="71" t="s">
        <v>5121</v>
      </c>
      <c r="E147" s="71" t="s">
        <v>5095</v>
      </c>
      <c r="F147" s="71" t="s">
        <v>5111</v>
      </c>
      <c r="G147" s="71" t="s">
        <v>5097</v>
      </c>
      <c r="H147" s="71"/>
      <c r="I147" s="71" t="s">
        <v>111</v>
      </c>
      <c r="J147" s="71" t="s">
        <v>5098</v>
      </c>
      <c r="K147" s="71" t="s">
        <v>5099</v>
      </c>
      <c r="L147" s="71"/>
      <c r="M147" s="71"/>
      <c r="N147" s="71" t="s">
        <v>5469</v>
      </c>
      <c r="O147" s="71"/>
      <c r="P147" s="71" t="s">
        <v>2016</v>
      </c>
      <c r="Q147" s="71" t="s">
        <v>5101</v>
      </c>
      <c r="R147" s="71" t="s">
        <v>3879</v>
      </c>
      <c r="S147" s="71"/>
      <c r="T147" s="71" t="s">
        <v>111</v>
      </c>
      <c r="U147" s="71" t="s">
        <v>111</v>
      </c>
    </row>
    <row r="148" spans="1:21" ht="29" customHeight="1" x14ac:dyDescent="0.2">
      <c r="A148" s="70" t="s">
        <v>5474</v>
      </c>
      <c r="B148" s="70" t="s">
        <v>222</v>
      </c>
      <c r="C148" s="70" t="s">
        <v>2916</v>
      </c>
      <c r="D148" s="70" t="s">
        <v>2915</v>
      </c>
      <c r="E148" s="70" t="s">
        <v>5095</v>
      </c>
      <c r="F148" s="70" t="s">
        <v>5111</v>
      </c>
      <c r="G148" s="70" t="s">
        <v>5097</v>
      </c>
      <c r="H148" s="70" t="s">
        <v>5097</v>
      </c>
      <c r="I148" s="70" t="s">
        <v>111</v>
      </c>
      <c r="J148" s="70" t="s">
        <v>5098</v>
      </c>
      <c r="K148" s="70" t="s">
        <v>5099</v>
      </c>
      <c r="L148" s="70"/>
      <c r="M148" s="70"/>
      <c r="N148" s="70" t="s">
        <v>5469</v>
      </c>
      <c r="O148" s="70"/>
      <c r="P148" s="70" t="s">
        <v>2016</v>
      </c>
      <c r="Q148" s="70" t="s">
        <v>5101</v>
      </c>
      <c r="R148" s="70" t="s">
        <v>3879</v>
      </c>
      <c r="S148" s="70"/>
      <c r="T148" s="70" t="s">
        <v>111</v>
      </c>
      <c r="U148" s="70" t="s">
        <v>111</v>
      </c>
    </row>
  </sheetData>
  <mergeCells count="2">
    <mergeCell ref="A1:U1"/>
    <mergeCell ref="A2:U2"/>
  </mergeCells>
  <pageMargins left="0.75" right="0.75" top="1" bottom="1" header="0.5" footer="0.5"/>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N76"/>
  <sheetViews>
    <sheetView showGridLines="0" rightToLeft="1" workbookViewId="0">
      <pane xSplit="3" ySplit="3" topLeftCell="D4" activePane="bottomRight" state="frozen"/>
      <selection pane="topRight"/>
      <selection pane="bottomLeft"/>
      <selection pane="bottomRight"/>
    </sheetView>
  </sheetViews>
  <sheetFormatPr baseColWidth="10" defaultColWidth="8.83203125" defaultRowHeight="15" x14ac:dyDescent="0.2"/>
  <cols>
    <col min="1" max="1" width="8" customWidth="1"/>
    <col min="2" max="2" width="9" customWidth="1"/>
    <col min="3" max="3" width="10" customWidth="1"/>
    <col min="4" max="4" width="22" customWidth="1"/>
    <col min="5" max="5" width="14" customWidth="1"/>
    <col min="6" max="6" width="40" customWidth="1"/>
    <col min="7" max="7" width="16" customWidth="1"/>
    <col min="8" max="8" width="18" customWidth="1"/>
    <col min="9" max="9" width="34" customWidth="1"/>
    <col min="10" max="10" width="10" customWidth="1"/>
    <col min="11" max="11" width="9" customWidth="1"/>
    <col min="12" max="12" width="24" customWidth="1"/>
    <col min="13" max="13" width="10" customWidth="1"/>
    <col min="14" max="14" width="46" customWidth="1"/>
  </cols>
  <sheetData>
    <row r="1" spans="1:14" ht="30" customHeight="1" x14ac:dyDescent="0.2">
      <c r="A1" s="88" t="s">
        <v>5475</v>
      </c>
      <c r="B1" s="76"/>
      <c r="C1" s="76"/>
      <c r="D1" s="76"/>
      <c r="E1" s="76"/>
      <c r="F1" s="76"/>
      <c r="G1" s="76"/>
      <c r="H1" s="76"/>
      <c r="I1" s="76"/>
      <c r="J1" s="76"/>
      <c r="K1" s="76"/>
      <c r="L1" s="76"/>
      <c r="M1" s="76"/>
      <c r="N1" s="76"/>
    </row>
    <row r="2" spans="1:14" ht="22" customHeight="1" x14ac:dyDescent="0.2">
      <c r="A2" s="85" t="s">
        <v>5476</v>
      </c>
      <c r="B2" s="76"/>
      <c r="C2" s="76"/>
      <c r="D2" s="76"/>
      <c r="E2" s="76"/>
      <c r="F2" s="76"/>
      <c r="G2" s="76"/>
      <c r="H2" s="76"/>
      <c r="I2" s="76"/>
      <c r="J2" s="76"/>
      <c r="K2" s="76"/>
      <c r="L2" s="76"/>
      <c r="M2" s="76"/>
      <c r="N2" s="76"/>
    </row>
    <row r="3" spans="1:14" ht="42" customHeight="1" x14ac:dyDescent="0.2">
      <c r="A3" s="69" t="s">
        <v>257</v>
      </c>
      <c r="B3" s="69" t="s">
        <v>2677</v>
      </c>
      <c r="C3" s="69" t="s">
        <v>5078</v>
      </c>
      <c r="D3" s="69" t="s">
        <v>5477</v>
      </c>
      <c r="E3" s="69" t="s">
        <v>5478</v>
      </c>
      <c r="F3" s="69" t="s">
        <v>5479</v>
      </c>
      <c r="G3" s="69" t="s">
        <v>5480</v>
      </c>
      <c r="H3" s="69" t="s">
        <v>5481</v>
      </c>
      <c r="I3" s="69" t="s">
        <v>5482</v>
      </c>
      <c r="J3" s="69" t="s">
        <v>5483</v>
      </c>
      <c r="K3" s="69" t="s">
        <v>5484</v>
      </c>
      <c r="L3" s="69" t="s">
        <v>377</v>
      </c>
      <c r="M3" s="69" t="s">
        <v>1284</v>
      </c>
      <c r="N3" s="69" t="s">
        <v>107</v>
      </c>
    </row>
    <row r="4" spans="1:14" ht="29" customHeight="1" x14ac:dyDescent="0.2">
      <c r="A4" s="70" t="s">
        <v>5485</v>
      </c>
      <c r="B4" s="70" t="s">
        <v>109</v>
      </c>
      <c r="C4" s="70" t="s">
        <v>5092</v>
      </c>
      <c r="D4" s="70" t="s">
        <v>5094</v>
      </c>
      <c r="E4" s="70" t="s">
        <v>5096</v>
      </c>
      <c r="F4" s="70"/>
      <c r="G4" s="70"/>
      <c r="H4" s="70" t="s">
        <v>5486</v>
      </c>
      <c r="I4" s="70" t="s">
        <v>5487</v>
      </c>
      <c r="J4" s="70" t="s">
        <v>111</v>
      </c>
      <c r="K4" s="70" t="s">
        <v>921</v>
      </c>
      <c r="L4" s="70" t="s">
        <v>4348</v>
      </c>
      <c r="M4" s="70" t="s">
        <v>5488</v>
      </c>
      <c r="N4" s="70" t="s">
        <v>5489</v>
      </c>
    </row>
    <row r="5" spans="1:14" ht="29" customHeight="1" x14ac:dyDescent="0.2">
      <c r="A5" s="71" t="s">
        <v>5490</v>
      </c>
      <c r="B5" s="71" t="s">
        <v>109</v>
      </c>
      <c r="C5" s="71" t="s">
        <v>5102</v>
      </c>
      <c r="D5" s="71" t="s">
        <v>5104</v>
      </c>
      <c r="E5" s="71" t="s">
        <v>5105</v>
      </c>
      <c r="F5" s="71"/>
      <c r="G5" s="71"/>
      <c r="H5" s="71" t="s">
        <v>5486</v>
      </c>
      <c r="I5" s="71" t="s">
        <v>5487</v>
      </c>
      <c r="J5" s="71" t="s">
        <v>111</v>
      </c>
      <c r="K5" s="71" t="s">
        <v>921</v>
      </c>
      <c r="L5" s="71" t="s">
        <v>4348</v>
      </c>
      <c r="M5" s="71" t="s">
        <v>5488</v>
      </c>
      <c r="N5" s="71" t="s">
        <v>5489</v>
      </c>
    </row>
    <row r="6" spans="1:14" ht="29" customHeight="1" x14ac:dyDescent="0.2">
      <c r="A6" s="70" t="s">
        <v>5491</v>
      </c>
      <c r="B6" s="70" t="s">
        <v>109</v>
      </c>
      <c r="C6" s="70" t="s">
        <v>5108</v>
      </c>
      <c r="D6" s="70" t="s">
        <v>5110</v>
      </c>
      <c r="E6" s="70" t="s">
        <v>5111</v>
      </c>
      <c r="F6" s="70"/>
      <c r="G6" s="70"/>
      <c r="H6" s="70" t="s">
        <v>5486</v>
      </c>
      <c r="I6" s="70" t="s">
        <v>5487</v>
      </c>
      <c r="J6" s="70" t="s">
        <v>111</v>
      </c>
      <c r="K6" s="70" t="s">
        <v>921</v>
      </c>
      <c r="L6" s="70" t="s">
        <v>4348</v>
      </c>
      <c r="M6" s="70" t="s">
        <v>5488</v>
      </c>
      <c r="N6" s="70" t="s">
        <v>5489</v>
      </c>
    </row>
    <row r="7" spans="1:14" ht="20" customHeight="1" x14ac:dyDescent="0.2">
      <c r="A7" s="71" t="s">
        <v>5492</v>
      </c>
      <c r="B7" s="71" t="s">
        <v>109</v>
      </c>
      <c r="C7" s="71" t="s">
        <v>5112</v>
      </c>
      <c r="D7" s="71" t="s">
        <v>5114</v>
      </c>
      <c r="E7" s="71" t="s">
        <v>5111</v>
      </c>
      <c r="F7" s="71" t="s">
        <v>5493</v>
      </c>
      <c r="G7" s="71"/>
      <c r="H7" s="71" t="s">
        <v>5486</v>
      </c>
      <c r="I7" s="71" t="s">
        <v>5494</v>
      </c>
      <c r="J7" s="71" t="s">
        <v>119</v>
      </c>
      <c r="K7" s="71" t="s">
        <v>921</v>
      </c>
      <c r="L7" s="71" t="s">
        <v>4348</v>
      </c>
      <c r="M7" s="71" t="s">
        <v>5488</v>
      </c>
      <c r="N7" s="71" t="s">
        <v>5495</v>
      </c>
    </row>
    <row r="8" spans="1:14" ht="29" customHeight="1" x14ac:dyDescent="0.2">
      <c r="A8" s="70" t="s">
        <v>5496</v>
      </c>
      <c r="B8" s="70" t="s">
        <v>109</v>
      </c>
      <c r="C8" s="70" t="s">
        <v>5116</v>
      </c>
      <c r="D8" s="70" t="s">
        <v>5118</v>
      </c>
      <c r="E8" s="70" t="s">
        <v>5111</v>
      </c>
      <c r="F8" s="70" t="s">
        <v>5497</v>
      </c>
      <c r="G8" s="70" t="s">
        <v>5111</v>
      </c>
      <c r="H8" s="70" t="s">
        <v>5486</v>
      </c>
      <c r="I8" s="70" t="s">
        <v>5494</v>
      </c>
      <c r="J8" s="70" t="s">
        <v>119</v>
      </c>
      <c r="K8" s="70" t="s">
        <v>921</v>
      </c>
      <c r="L8" s="70" t="s">
        <v>4348</v>
      </c>
      <c r="M8" s="70" t="s">
        <v>5488</v>
      </c>
      <c r="N8" s="70" t="s">
        <v>5495</v>
      </c>
    </row>
    <row r="9" spans="1:14" ht="20" customHeight="1" x14ac:dyDescent="0.2">
      <c r="A9" s="71" t="s">
        <v>5498</v>
      </c>
      <c r="B9" s="71" t="s">
        <v>117</v>
      </c>
      <c r="C9" s="71" t="s">
        <v>5125</v>
      </c>
      <c r="D9" s="71" t="s">
        <v>121</v>
      </c>
      <c r="E9" s="71" t="s">
        <v>5111</v>
      </c>
      <c r="F9" s="71" t="s">
        <v>5499</v>
      </c>
      <c r="G9" s="71"/>
      <c r="H9" s="71" t="s">
        <v>5486</v>
      </c>
      <c r="I9" s="71" t="s">
        <v>5494</v>
      </c>
      <c r="J9" s="71" t="s">
        <v>119</v>
      </c>
      <c r="K9" s="71" t="s">
        <v>921</v>
      </c>
      <c r="L9" s="71" t="s">
        <v>4355</v>
      </c>
      <c r="M9" s="71" t="s">
        <v>5500</v>
      </c>
      <c r="N9" s="71" t="s">
        <v>5495</v>
      </c>
    </row>
    <row r="10" spans="1:14" ht="20" customHeight="1" x14ac:dyDescent="0.2">
      <c r="A10" s="70" t="s">
        <v>5501</v>
      </c>
      <c r="B10" s="70" t="s">
        <v>117</v>
      </c>
      <c r="C10" s="70" t="s">
        <v>5127</v>
      </c>
      <c r="D10" s="70" t="s">
        <v>2723</v>
      </c>
      <c r="E10" s="70" t="s">
        <v>5111</v>
      </c>
      <c r="F10" s="70" t="s">
        <v>5502</v>
      </c>
      <c r="G10" s="70"/>
      <c r="H10" s="70" t="s">
        <v>5486</v>
      </c>
      <c r="I10" s="70" t="s">
        <v>5494</v>
      </c>
      <c r="J10" s="70" t="s">
        <v>119</v>
      </c>
      <c r="K10" s="70" t="s">
        <v>921</v>
      </c>
      <c r="L10" s="70" t="s">
        <v>4355</v>
      </c>
      <c r="M10" s="70" t="s">
        <v>5500</v>
      </c>
      <c r="N10" s="70" t="s">
        <v>5495</v>
      </c>
    </row>
    <row r="11" spans="1:14" ht="29" customHeight="1" x14ac:dyDescent="0.2">
      <c r="A11" s="71" t="s">
        <v>5503</v>
      </c>
      <c r="B11" s="71" t="s">
        <v>117</v>
      </c>
      <c r="C11" s="71" t="s">
        <v>5129</v>
      </c>
      <c r="D11" s="71" t="s">
        <v>120</v>
      </c>
      <c r="E11" s="71" t="s">
        <v>5096</v>
      </c>
      <c r="F11" s="71" t="s">
        <v>5504</v>
      </c>
      <c r="G11" s="71"/>
      <c r="H11" s="71" t="s">
        <v>5486</v>
      </c>
      <c r="I11" s="71" t="s">
        <v>5494</v>
      </c>
      <c r="J11" s="71" t="s">
        <v>119</v>
      </c>
      <c r="K11" s="71" t="s">
        <v>921</v>
      </c>
      <c r="L11" s="71" t="s">
        <v>4355</v>
      </c>
      <c r="M11" s="71" t="s">
        <v>5500</v>
      </c>
      <c r="N11" s="71" t="s">
        <v>5495</v>
      </c>
    </row>
    <row r="12" spans="1:14" ht="29" customHeight="1" x14ac:dyDescent="0.2">
      <c r="A12" s="70" t="s">
        <v>5505</v>
      </c>
      <c r="B12" s="70" t="s">
        <v>135</v>
      </c>
      <c r="C12" s="70" t="s">
        <v>5160</v>
      </c>
      <c r="D12" s="70" t="s">
        <v>191</v>
      </c>
      <c r="E12" s="70" t="s">
        <v>5105</v>
      </c>
      <c r="F12" s="70" t="s">
        <v>5194</v>
      </c>
      <c r="G12" s="70" t="s">
        <v>5111</v>
      </c>
      <c r="H12" s="70" t="s">
        <v>5506</v>
      </c>
      <c r="I12" s="70" t="s">
        <v>5507</v>
      </c>
      <c r="J12" s="70" t="s">
        <v>111</v>
      </c>
      <c r="K12" s="70" t="s">
        <v>843</v>
      </c>
      <c r="L12" s="70" t="s">
        <v>4372</v>
      </c>
      <c r="M12" s="70" t="s">
        <v>5508</v>
      </c>
      <c r="N12" s="70" t="s">
        <v>5509</v>
      </c>
    </row>
    <row r="13" spans="1:14" ht="29" customHeight="1" x14ac:dyDescent="0.2">
      <c r="A13" s="71" t="s">
        <v>5510</v>
      </c>
      <c r="B13" s="71" t="s">
        <v>135</v>
      </c>
      <c r="C13" s="71" t="s">
        <v>5160</v>
      </c>
      <c r="D13" s="71" t="s">
        <v>191</v>
      </c>
      <c r="E13" s="71" t="s">
        <v>5105</v>
      </c>
      <c r="F13" s="71" t="s">
        <v>2895</v>
      </c>
      <c r="G13" s="71" t="s">
        <v>5111</v>
      </c>
      <c r="H13" s="71" t="s">
        <v>5506</v>
      </c>
      <c r="I13" s="71" t="s">
        <v>5507</v>
      </c>
      <c r="J13" s="71" t="s">
        <v>111</v>
      </c>
      <c r="K13" s="71" t="s">
        <v>843</v>
      </c>
      <c r="L13" s="71" t="s">
        <v>4372</v>
      </c>
      <c r="M13" s="71" t="s">
        <v>5508</v>
      </c>
      <c r="N13" s="71" t="s">
        <v>5509</v>
      </c>
    </row>
    <row r="14" spans="1:14" ht="29" customHeight="1" x14ac:dyDescent="0.2">
      <c r="A14" s="70" t="s">
        <v>5511</v>
      </c>
      <c r="B14" s="70" t="s">
        <v>135</v>
      </c>
      <c r="C14" s="70" t="s">
        <v>5160</v>
      </c>
      <c r="D14" s="70" t="s">
        <v>191</v>
      </c>
      <c r="E14" s="70" t="s">
        <v>5105</v>
      </c>
      <c r="F14" s="70" t="s">
        <v>5512</v>
      </c>
      <c r="G14" s="70" t="s">
        <v>5096</v>
      </c>
      <c r="H14" s="70" t="s">
        <v>5506</v>
      </c>
      <c r="I14" s="70" t="s">
        <v>5507</v>
      </c>
      <c r="J14" s="70" t="s">
        <v>111</v>
      </c>
      <c r="K14" s="70" t="s">
        <v>843</v>
      </c>
      <c r="L14" s="70" t="s">
        <v>4372</v>
      </c>
      <c r="M14" s="70" t="s">
        <v>5508</v>
      </c>
      <c r="N14" s="70" t="s">
        <v>5509</v>
      </c>
    </row>
    <row r="15" spans="1:14" ht="29" customHeight="1" x14ac:dyDescent="0.2">
      <c r="A15" s="71" t="s">
        <v>5513</v>
      </c>
      <c r="B15" s="71" t="s">
        <v>135</v>
      </c>
      <c r="C15" s="71" t="s">
        <v>5160</v>
      </c>
      <c r="D15" s="71" t="s">
        <v>191</v>
      </c>
      <c r="E15" s="71" t="s">
        <v>5105</v>
      </c>
      <c r="F15" s="71" t="s">
        <v>5514</v>
      </c>
      <c r="G15" s="71" t="s">
        <v>5111</v>
      </c>
      <c r="H15" s="71" t="s">
        <v>5506</v>
      </c>
      <c r="I15" s="71" t="s">
        <v>5507</v>
      </c>
      <c r="J15" s="71" t="s">
        <v>111</v>
      </c>
      <c r="K15" s="71" t="s">
        <v>843</v>
      </c>
      <c r="L15" s="71" t="s">
        <v>4372</v>
      </c>
      <c r="M15" s="71" t="s">
        <v>5508</v>
      </c>
      <c r="N15" s="71" t="s">
        <v>5509</v>
      </c>
    </row>
    <row r="16" spans="1:14" ht="29" customHeight="1" x14ac:dyDescent="0.2">
      <c r="A16" s="70" t="s">
        <v>5515</v>
      </c>
      <c r="B16" s="70" t="s">
        <v>135</v>
      </c>
      <c r="C16" s="70" t="s">
        <v>5160</v>
      </c>
      <c r="D16" s="70" t="s">
        <v>191</v>
      </c>
      <c r="E16" s="70" t="s">
        <v>5105</v>
      </c>
      <c r="F16" s="70" t="s">
        <v>5516</v>
      </c>
      <c r="G16" s="70"/>
      <c r="H16" s="70" t="s">
        <v>5517</v>
      </c>
      <c r="I16" s="70" t="s">
        <v>5518</v>
      </c>
      <c r="J16" s="70" t="s">
        <v>111</v>
      </c>
      <c r="K16" s="70" t="s">
        <v>921</v>
      </c>
      <c r="L16" s="70" t="s">
        <v>4372</v>
      </c>
      <c r="M16" s="70" t="s">
        <v>5508</v>
      </c>
      <c r="N16" s="70" t="s">
        <v>5519</v>
      </c>
    </row>
    <row r="17" spans="1:14" ht="29" customHeight="1" x14ac:dyDescent="0.2">
      <c r="A17" s="71" t="s">
        <v>5520</v>
      </c>
      <c r="B17" s="71" t="s">
        <v>135</v>
      </c>
      <c r="C17" s="71" t="s">
        <v>5160</v>
      </c>
      <c r="D17" s="71" t="s">
        <v>191</v>
      </c>
      <c r="E17" s="71" t="s">
        <v>5105</v>
      </c>
      <c r="F17" s="71" t="s">
        <v>5521</v>
      </c>
      <c r="G17" s="71"/>
      <c r="H17" s="71" t="s">
        <v>5517</v>
      </c>
      <c r="I17" s="71" t="s">
        <v>5518</v>
      </c>
      <c r="J17" s="71" t="s">
        <v>111</v>
      </c>
      <c r="K17" s="71" t="s">
        <v>921</v>
      </c>
      <c r="L17" s="71" t="s">
        <v>4372</v>
      </c>
      <c r="M17" s="71" t="s">
        <v>5508</v>
      </c>
      <c r="N17" s="71" t="s">
        <v>5519</v>
      </c>
    </row>
    <row r="18" spans="1:14" ht="29" customHeight="1" x14ac:dyDescent="0.2">
      <c r="A18" s="70" t="s">
        <v>5522</v>
      </c>
      <c r="B18" s="70" t="s">
        <v>135</v>
      </c>
      <c r="C18" s="70" t="s">
        <v>5160</v>
      </c>
      <c r="D18" s="70" t="s">
        <v>191</v>
      </c>
      <c r="E18" s="70" t="s">
        <v>5105</v>
      </c>
      <c r="F18" s="70" t="s">
        <v>5523</v>
      </c>
      <c r="G18" s="70"/>
      <c r="H18" s="70" t="s">
        <v>5517</v>
      </c>
      <c r="I18" s="70" t="s">
        <v>5518</v>
      </c>
      <c r="J18" s="70" t="s">
        <v>111</v>
      </c>
      <c r="K18" s="70" t="s">
        <v>921</v>
      </c>
      <c r="L18" s="70" t="s">
        <v>4372</v>
      </c>
      <c r="M18" s="70" t="s">
        <v>5508</v>
      </c>
      <c r="N18" s="70" t="s">
        <v>5519</v>
      </c>
    </row>
    <row r="19" spans="1:14" ht="29" customHeight="1" x14ac:dyDescent="0.2">
      <c r="A19" s="71" t="s">
        <v>5524</v>
      </c>
      <c r="B19" s="71" t="s">
        <v>135</v>
      </c>
      <c r="C19" s="71" t="s">
        <v>5160</v>
      </c>
      <c r="D19" s="71" t="s">
        <v>191</v>
      </c>
      <c r="E19" s="71" t="s">
        <v>5105</v>
      </c>
      <c r="F19" s="71" t="s">
        <v>5525</v>
      </c>
      <c r="G19" s="71" t="s">
        <v>5111</v>
      </c>
      <c r="H19" s="71" t="s">
        <v>5526</v>
      </c>
      <c r="I19" s="71" t="s">
        <v>5527</v>
      </c>
      <c r="J19" s="71" t="s">
        <v>119</v>
      </c>
      <c r="K19" s="71" t="s">
        <v>921</v>
      </c>
      <c r="L19" s="71" t="s">
        <v>5528</v>
      </c>
      <c r="M19" s="71"/>
      <c r="N19" s="71" t="s">
        <v>5529</v>
      </c>
    </row>
    <row r="20" spans="1:14" ht="29" customHeight="1" x14ac:dyDescent="0.2">
      <c r="A20" s="70" t="s">
        <v>5530</v>
      </c>
      <c r="B20" s="70" t="s">
        <v>135</v>
      </c>
      <c r="C20" s="70" t="s">
        <v>5160</v>
      </c>
      <c r="D20" s="70" t="s">
        <v>191</v>
      </c>
      <c r="E20" s="70" t="s">
        <v>5105</v>
      </c>
      <c r="F20" s="70" t="s">
        <v>5531</v>
      </c>
      <c r="G20" s="70" t="s">
        <v>5111</v>
      </c>
      <c r="H20" s="70" t="s">
        <v>5526</v>
      </c>
      <c r="I20" s="70" t="s">
        <v>5527</v>
      </c>
      <c r="J20" s="70" t="s">
        <v>119</v>
      </c>
      <c r="K20" s="70" t="s">
        <v>921</v>
      </c>
      <c r="L20" s="70" t="s">
        <v>5532</v>
      </c>
      <c r="M20" s="70"/>
      <c r="N20" s="70" t="s">
        <v>5533</v>
      </c>
    </row>
    <row r="21" spans="1:14" ht="29" customHeight="1" x14ac:dyDescent="0.2">
      <c r="A21" s="71" t="s">
        <v>5534</v>
      </c>
      <c r="B21" s="71" t="s">
        <v>135</v>
      </c>
      <c r="C21" s="71" t="s">
        <v>5162</v>
      </c>
      <c r="D21" s="71" t="s">
        <v>5164</v>
      </c>
      <c r="E21" s="71" t="s">
        <v>5111</v>
      </c>
      <c r="F21" s="71" t="s">
        <v>5535</v>
      </c>
      <c r="G21" s="71" t="s">
        <v>5096</v>
      </c>
      <c r="H21" s="71" t="s">
        <v>5506</v>
      </c>
      <c r="I21" s="71" t="s">
        <v>5507</v>
      </c>
      <c r="J21" s="71" t="s">
        <v>111</v>
      </c>
      <c r="K21" s="71" t="s">
        <v>843</v>
      </c>
      <c r="L21" s="71" t="s">
        <v>4372</v>
      </c>
      <c r="M21" s="71" t="s">
        <v>5508</v>
      </c>
      <c r="N21" s="71" t="s">
        <v>5509</v>
      </c>
    </row>
    <row r="22" spans="1:14" ht="29" customHeight="1" x14ac:dyDescent="0.2">
      <c r="A22" s="70" t="s">
        <v>5536</v>
      </c>
      <c r="B22" s="70" t="s">
        <v>135</v>
      </c>
      <c r="C22" s="70" t="s">
        <v>5162</v>
      </c>
      <c r="D22" s="70" t="s">
        <v>5164</v>
      </c>
      <c r="E22" s="70" t="s">
        <v>5111</v>
      </c>
      <c r="F22" s="70" t="s">
        <v>5537</v>
      </c>
      <c r="G22" s="70" t="s">
        <v>5111</v>
      </c>
      <c r="H22" s="70" t="s">
        <v>5506</v>
      </c>
      <c r="I22" s="70" t="s">
        <v>5507</v>
      </c>
      <c r="J22" s="70" t="s">
        <v>111</v>
      </c>
      <c r="K22" s="70" t="s">
        <v>843</v>
      </c>
      <c r="L22" s="70" t="s">
        <v>4372</v>
      </c>
      <c r="M22" s="70" t="s">
        <v>5508</v>
      </c>
      <c r="N22" s="70" t="s">
        <v>5509</v>
      </c>
    </row>
    <row r="23" spans="1:14" ht="20" customHeight="1" x14ac:dyDescent="0.2">
      <c r="A23" s="71" t="s">
        <v>5538</v>
      </c>
      <c r="B23" s="71" t="s">
        <v>135</v>
      </c>
      <c r="C23" s="71" t="s">
        <v>5162</v>
      </c>
      <c r="D23" s="71" t="s">
        <v>5164</v>
      </c>
      <c r="E23" s="71" t="s">
        <v>5111</v>
      </c>
      <c r="F23" s="71" t="s">
        <v>5539</v>
      </c>
      <c r="G23" s="71"/>
      <c r="H23" s="71" t="s">
        <v>5517</v>
      </c>
      <c r="I23" s="71" t="s">
        <v>5518</v>
      </c>
      <c r="J23" s="71" t="s">
        <v>111</v>
      </c>
      <c r="K23" s="71" t="s">
        <v>921</v>
      </c>
      <c r="L23" s="71" t="s">
        <v>4372</v>
      </c>
      <c r="M23" s="71" t="s">
        <v>5508</v>
      </c>
      <c r="N23" s="71" t="s">
        <v>5519</v>
      </c>
    </row>
    <row r="24" spans="1:14" ht="20" customHeight="1" x14ac:dyDescent="0.2">
      <c r="A24" s="70" t="s">
        <v>5540</v>
      </c>
      <c r="B24" s="70" t="s">
        <v>135</v>
      </c>
      <c r="C24" s="70" t="s">
        <v>5162</v>
      </c>
      <c r="D24" s="70" t="s">
        <v>5164</v>
      </c>
      <c r="E24" s="70" t="s">
        <v>5111</v>
      </c>
      <c r="F24" s="70" t="s">
        <v>5541</v>
      </c>
      <c r="G24" s="70"/>
      <c r="H24" s="70" t="s">
        <v>5517</v>
      </c>
      <c r="I24" s="70" t="s">
        <v>5518</v>
      </c>
      <c r="J24" s="70" t="s">
        <v>111</v>
      </c>
      <c r="K24" s="70" t="s">
        <v>921</v>
      </c>
      <c r="L24" s="70" t="s">
        <v>4372</v>
      </c>
      <c r="M24" s="70" t="s">
        <v>5508</v>
      </c>
      <c r="N24" s="70" t="s">
        <v>5519</v>
      </c>
    </row>
    <row r="25" spans="1:14" ht="20" customHeight="1" x14ac:dyDescent="0.2">
      <c r="A25" s="71" t="s">
        <v>5542</v>
      </c>
      <c r="B25" s="71" t="s">
        <v>135</v>
      </c>
      <c r="C25" s="71" t="s">
        <v>5162</v>
      </c>
      <c r="D25" s="71" t="s">
        <v>5164</v>
      </c>
      <c r="E25" s="71" t="s">
        <v>5111</v>
      </c>
      <c r="F25" s="71" t="s">
        <v>5543</v>
      </c>
      <c r="G25" s="71"/>
      <c r="H25" s="71" t="s">
        <v>5517</v>
      </c>
      <c r="I25" s="71" t="s">
        <v>5518</v>
      </c>
      <c r="J25" s="71" t="s">
        <v>111</v>
      </c>
      <c r="K25" s="71" t="s">
        <v>921</v>
      </c>
      <c r="L25" s="71" t="s">
        <v>4372</v>
      </c>
      <c r="M25" s="71" t="s">
        <v>5508</v>
      </c>
      <c r="N25" s="71" t="s">
        <v>5519</v>
      </c>
    </row>
    <row r="26" spans="1:14" ht="29" customHeight="1" x14ac:dyDescent="0.2">
      <c r="A26" s="70" t="s">
        <v>5544</v>
      </c>
      <c r="B26" s="70" t="s">
        <v>135</v>
      </c>
      <c r="C26" s="70" t="s">
        <v>5166</v>
      </c>
      <c r="D26" s="70" t="s">
        <v>2786</v>
      </c>
      <c r="E26" s="70" t="s">
        <v>5111</v>
      </c>
      <c r="F26" s="70" t="s">
        <v>5545</v>
      </c>
      <c r="G26" s="70" t="s">
        <v>5091</v>
      </c>
      <c r="H26" s="70" t="s">
        <v>5506</v>
      </c>
      <c r="I26" s="70" t="s">
        <v>5507</v>
      </c>
      <c r="J26" s="70" t="s">
        <v>111</v>
      </c>
      <c r="K26" s="70" t="s">
        <v>843</v>
      </c>
      <c r="L26" s="70" t="s">
        <v>4372</v>
      </c>
      <c r="M26" s="70" t="s">
        <v>5508</v>
      </c>
      <c r="N26" s="70" t="s">
        <v>5509</v>
      </c>
    </row>
    <row r="27" spans="1:14" ht="29" customHeight="1" x14ac:dyDescent="0.2">
      <c r="A27" s="71" t="s">
        <v>5546</v>
      </c>
      <c r="B27" s="71" t="s">
        <v>135</v>
      </c>
      <c r="C27" s="71" t="s">
        <v>5166</v>
      </c>
      <c r="D27" s="71" t="s">
        <v>2786</v>
      </c>
      <c r="E27" s="71" t="s">
        <v>5111</v>
      </c>
      <c r="F27" s="71" t="s">
        <v>5547</v>
      </c>
      <c r="G27" s="71" t="s">
        <v>5111</v>
      </c>
      <c r="H27" s="71" t="s">
        <v>5506</v>
      </c>
      <c r="I27" s="71" t="s">
        <v>5507</v>
      </c>
      <c r="J27" s="71" t="s">
        <v>111</v>
      </c>
      <c r="K27" s="71" t="s">
        <v>843</v>
      </c>
      <c r="L27" s="71" t="s">
        <v>4372</v>
      </c>
      <c r="M27" s="71" t="s">
        <v>5508</v>
      </c>
      <c r="N27" s="71" t="s">
        <v>5509</v>
      </c>
    </row>
    <row r="28" spans="1:14" ht="29" customHeight="1" x14ac:dyDescent="0.2">
      <c r="A28" s="70" t="s">
        <v>5548</v>
      </c>
      <c r="B28" s="70" t="s">
        <v>135</v>
      </c>
      <c r="C28" s="70" t="s">
        <v>5166</v>
      </c>
      <c r="D28" s="70" t="s">
        <v>2786</v>
      </c>
      <c r="E28" s="70" t="s">
        <v>5111</v>
      </c>
      <c r="F28" s="70" t="s">
        <v>5549</v>
      </c>
      <c r="G28" s="70" t="s">
        <v>5096</v>
      </c>
      <c r="H28" s="70" t="s">
        <v>5506</v>
      </c>
      <c r="I28" s="70" t="s">
        <v>5507</v>
      </c>
      <c r="J28" s="70" t="s">
        <v>111</v>
      </c>
      <c r="K28" s="70" t="s">
        <v>843</v>
      </c>
      <c r="L28" s="70" t="s">
        <v>4372</v>
      </c>
      <c r="M28" s="70" t="s">
        <v>5508</v>
      </c>
      <c r="N28" s="70" t="s">
        <v>5509</v>
      </c>
    </row>
    <row r="29" spans="1:14" ht="20" customHeight="1" x14ac:dyDescent="0.2">
      <c r="A29" s="71" t="s">
        <v>5550</v>
      </c>
      <c r="B29" s="71" t="s">
        <v>135</v>
      </c>
      <c r="C29" s="71" t="s">
        <v>5166</v>
      </c>
      <c r="D29" s="71" t="s">
        <v>2786</v>
      </c>
      <c r="E29" s="71" t="s">
        <v>5111</v>
      </c>
      <c r="F29" s="71" t="s">
        <v>5551</v>
      </c>
      <c r="G29" s="71" t="s">
        <v>5091</v>
      </c>
      <c r="H29" s="71" t="s">
        <v>5517</v>
      </c>
      <c r="I29" s="71" t="s">
        <v>5518</v>
      </c>
      <c r="J29" s="71" t="s">
        <v>111</v>
      </c>
      <c r="K29" s="71" t="s">
        <v>921</v>
      </c>
      <c r="L29" s="71" t="s">
        <v>4372</v>
      </c>
      <c r="M29" s="71" t="s">
        <v>5508</v>
      </c>
      <c r="N29" s="71" t="s">
        <v>5519</v>
      </c>
    </row>
    <row r="30" spans="1:14" ht="20" customHeight="1" x14ac:dyDescent="0.2">
      <c r="A30" s="70" t="s">
        <v>5552</v>
      </c>
      <c r="B30" s="70" t="s">
        <v>135</v>
      </c>
      <c r="C30" s="70" t="s">
        <v>5166</v>
      </c>
      <c r="D30" s="70" t="s">
        <v>2786</v>
      </c>
      <c r="E30" s="70" t="s">
        <v>5111</v>
      </c>
      <c r="F30" s="70" t="s">
        <v>5553</v>
      </c>
      <c r="G30" s="70"/>
      <c r="H30" s="70" t="s">
        <v>5517</v>
      </c>
      <c r="I30" s="70" t="s">
        <v>5518</v>
      </c>
      <c r="J30" s="70" t="s">
        <v>111</v>
      </c>
      <c r="K30" s="70" t="s">
        <v>921</v>
      </c>
      <c r="L30" s="70" t="s">
        <v>4372</v>
      </c>
      <c r="M30" s="70" t="s">
        <v>5508</v>
      </c>
      <c r="N30" s="70" t="s">
        <v>5519</v>
      </c>
    </row>
    <row r="31" spans="1:14" ht="29" customHeight="1" x14ac:dyDescent="0.2">
      <c r="A31" s="71" t="s">
        <v>5554</v>
      </c>
      <c r="B31" s="71" t="s">
        <v>135</v>
      </c>
      <c r="C31" s="71" t="s">
        <v>5166</v>
      </c>
      <c r="D31" s="71" t="s">
        <v>2786</v>
      </c>
      <c r="E31" s="71" t="s">
        <v>5111</v>
      </c>
      <c r="F31" s="71" t="s">
        <v>5555</v>
      </c>
      <c r="G31" s="71" t="s">
        <v>5111</v>
      </c>
      <c r="H31" s="71" t="s">
        <v>5526</v>
      </c>
      <c r="I31" s="71" t="s">
        <v>5527</v>
      </c>
      <c r="J31" s="71" t="s">
        <v>119</v>
      </c>
      <c r="K31" s="71" t="s">
        <v>921</v>
      </c>
      <c r="L31" s="71" t="s">
        <v>5556</v>
      </c>
      <c r="M31" s="71"/>
      <c r="N31" s="71" t="s">
        <v>5557</v>
      </c>
    </row>
    <row r="32" spans="1:14" ht="29" customHeight="1" x14ac:dyDescent="0.2">
      <c r="A32" s="70" t="s">
        <v>5558</v>
      </c>
      <c r="B32" s="70" t="s">
        <v>135</v>
      </c>
      <c r="C32" s="70" t="s">
        <v>5169</v>
      </c>
      <c r="D32" s="70" t="s">
        <v>5171</v>
      </c>
      <c r="E32" s="70" t="s">
        <v>5111</v>
      </c>
      <c r="F32" s="70" t="s">
        <v>5559</v>
      </c>
      <c r="G32" s="70"/>
      <c r="H32" s="70" t="s">
        <v>5506</v>
      </c>
      <c r="I32" s="70" t="s">
        <v>5507</v>
      </c>
      <c r="J32" s="70" t="s">
        <v>111</v>
      </c>
      <c r="K32" s="70" t="s">
        <v>843</v>
      </c>
      <c r="L32" s="70" t="s">
        <v>4372</v>
      </c>
      <c r="M32" s="70" t="s">
        <v>5508</v>
      </c>
      <c r="N32" s="70" t="s">
        <v>5509</v>
      </c>
    </row>
    <row r="33" spans="1:14" ht="29" customHeight="1" x14ac:dyDescent="0.2">
      <c r="A33" s="71" t="s">
        <v>5560</v>
      </c>
      <c r="B33" s="71" t="s">
        <v>135</v>
      </c>
      <c r="C33" s="71" t="s">
        <v>5173</v>
      </c>
      <c r="D33" s="71" t="s">
        <v>5175</v>
      </c>
      <c r="E33" s="71" t="s">
        <v>5096</v>
      </c>
      <c r="F33" s="71" t="s">
        <v>5561</v>
      </c>
      <c r="G33" s="71"/>
      <c r="H33" s="71" t="s">
        <v>5506</v>
      </c>
      <c r="I33" s="71" t="s">
        <v>5507</v>
      </c>
      <c r="J33" s="71" t="s">
        <v>111</v>
      </c>
      <c r="K33" s="71" t="s">
        <v>843</v>
      </c>
      <c r="L33" s="71" t="s">
        <v>4372</v>
      </c>
      <c r="M33" s="71" t="s">
        <v>5508</v>
      </c>
      <c r="N33" s="71" t="s">
        <v>5509</v>
      </c>
    </row>
    <row r="34" spans="1:14" ht="29" customHeight="1" x14ac:dyDescent="0.2">
      <c r="A34" s="70" t="s">
        <v>5562</v>
      </c>
      <c r="B34" s="70" t="s">
        <v>135</v>
      </c>
      <c r="C34" s="70" t="s">
        <v>5173</v>
      </c>
      <c r="D34" s="70" t="s">
        <v>5175</v>
      </c>
      <c r="E34" s="70" t="s">
        <v>5096</v>
      </c>
      <c r="F34" s="70" t="s">
        <v>2895</v>
      </c>
      <c r="G34" s="70"/>
      <c r="H34" s="70" t="s">
        <v>5506</v>
      </c>
      <c r="I34" s="70" t="s">
        <v>5507</v>
      </c>
      <c r="J34" s="70" t="s">
        <v>111</v>
      </c>
      <c r="K34" s="70" t="s">
        <v>843</v>
      </c>
      <c r="L34" s="70" t="s">
        <v>4372</v>
      </c>
      <c r="M34" s="70" t="s">
        <v>5508</v>
      </c>
      <c r="N34" s="70" t="s">
        <v>5509</v>
      </c>
    </row>
    <row r="35" spans="1:14" ht="29" customHeight="1" x14ac:dyDescent="0.2">
      <c r="A35" s="71" t="s">
        <v>5563</v>
      </c>
      <c r="B35" s="71" t="s">
        <v>135</v>
      </c>
      <c r="C35" s="71" t="s">
        <v>5173</v>
      </c>
      <c r="D35" s="71" t="s">
        <v>5175</v>
      </c>
      <c r="E35" s="71" t="s">
        <v>5096</v>
      </c>
      <c r="F35" s="71" t="s">
        <v>5564</v>
      </c>
      <c r="G35" s="71" t="s">
        <v>5565</v>
      </c>
      <c r="H35" s="71" t="s">
        <v>5506</v>
      </c>
      <c r="I35" s="71" t="s">
        <v>5507</v>
      </c>
      <c r="J35" s="71" t="s">
        <v>111</v>
      </c>
      <c r="K35" s="71" t="s">
        <v>843</v>
      </c>
      <c r="L35" s="71" t="s">
        <v>4372</v>
      </c>
      <c r="M35" s="71" t="s">
        <v>5508</v>
      </c>
      <c r="N35" s="71" t="s">
        <v>5509</v>
      </c>
    </row>
    <row r="36" spans="1:14" ht="29" customHeight="1" x14ac:dyDescent="0.2">
      <c r="A36" s="70" t="s">
        <v>5566</v>
      </c>
      <c r="B36" s="70" t="s">
        <v>143</v>
      </c>
      <c r="C36" s="70" t="s">
        <v>5203</v>
      </c>
      <c r="D36" s="70" t="s">
        <v>5205</v>
      </c>
      <c r="E36" s="70" t="s">
        <v>5096</v>
      </c>
      <c r="F36" s="70" t="s">
        <v>5567</v>
      </c>
      <c r="G36" s="70" t="s">
        <v>5568</v>
      </c>
      <c r="H36" s="70" t="s">
        <v>5486</v>
      </c>
      <c r="I36" s="70" t="s">
        <v>5494</v>
      </c>
      <c r="J36" s="70" t="s">
        <v>119</v>
      </c>
      <c r="K36" s="70" t="s">
        <v>923</v>
      </c>
      <c r="L36" s="70" t="s">
        <v>1315</v>
      </c>
      <c r="M36" s="70" t="s">
        <v>5569</v>
      </c>
      <c r="N36" s="70" t="s">
        <v>5570</v>
      </c>
    </row>
    <row r="37" spans="1:14" ht="29" customHeight="1" x14ac:dyDescent="0.2">
      <c r="A37" s="71" t="s">
        <v>5571</v>
      </c>
      <c r="B37" s="71" t="s">
        <v>143</v>
      </c>
      <c r="C37" s="71" t="s">
        <v>5207</v>
      </c>
      <c r="D37" s="71" t="s">
        <v>3797</v>
      </c>
      <c r="E37" s="71" t="s">
        <v>5111</v>
      </c>
      <c r="F37" s="71" t="s">
        <v>5572</v>
      </c>
      <c r="G37" s="71" t="s">
        <v>5573</v>
      </c>
      <c r="H37" s="71" t="s">
        <v>5486</v>
      </c>
      <c r="I37" s="71" t="s">
        <v>5494</v>
      </c>
      <c r="J37" s="71" t="s">
        <v>119</v>
      </c>
      <c r="K37" s="71" t="s">
        <v>923</v>
      </c>
      <c r="L37" s="71" t="s">
        <v>1315</v>
      </c>
      <c r="M37" s="71" t="s">
        <v>5569</v>
      </c>
      <c r="N37" s="71" t="s">
        <v>5570</v>
      </c>
    </row>
    <row r="38" spans="1:14" ht="29" customHeight="1" x14ac:dyDescent="0.2">
      <c r="A38" s="70" t="s">
        <v>5574</v>
      </c>
      <c r="B38" s="70" t="s">
        <v>143</v>
      </c>
      <c r="C38" s="70" t="s">
        <v>5207</v>
      </c>
      <c r="D38" s="70" t="s">
        <v>3797</v>
      </c>
      <c r="E38" s="70" t="s">
        <v>5111</v>
      </c>
      <c r="F38" s="70" t="s">
        <v>5575</v>
      </c>
      <c r="G38" s="70"/>
      <c r="H38" s="70" t="s">
        <v>5486</v>
      </c>
      <c r="I38" s="70" t="s">
        <v>5494</v>
      </c>
      <c r="J38" s="70" t="s">
        <v>119</v>
      </c>
      <c r="K38" s="70" t="s">
        <v>923</v>
      </c>
      <c r="L38" s="70" t="s">
        <v>1315</v>
      </c>
      <c r="M38" s="70" t="s">
        <v>5569</v>
      </c>
      <c r="N38" s="70" t="s">
        <v>5570</v>
      </c>
    </row>
    <row r="39" spans="1:14" ht="29" customHeight="1" x14ac:dyDescent="0.2">
      <c r="A39" s="71" t="s">
        <v>5576</v>
      </c>
      <c r="B39" s="71" t="s">
        <v>143</v>
      </c>
      <c r="C39" s="71" t="s">
        <v>5207</v>
      </c>
      <c r="D39" s="71" t="s">
        <v>3797</v>
      </c>
      <c r="E39" s="71" t="s">
        <v>5111</v>
      </c>
      <c r="F39" s="71" t="s">
        <v>5577</v>
      </c>
      <c r="G39" s="71"/>
      <c r="H39" s="71" t="s">
        <v>5486</v>
      </c>
      <c r="I39" s="71" t="s">
        <v>5494</v>
      </c>
      <c r="J39" s="71" t="s">
        <v>119</v>
      </c>
      <c r="K39" s="71" t="s">
        <v>923</v>
      </c>
      <c r="L39" s="71" t="s">
        <v>1315</v>
      </c>
      <c r="M39" s="71" t="s">
        <v>5569</v>
      </c>
      <c r="N39" s="71" t="s">
        <v>5570</v>
      </c>
    </row>
    <row r="40" spans="1:14" ht="29" customHeight="1" x14ac:dyDescent="0.2">
      <c r="A40" s="70" t="s">
        <v>5578</v>
      </c>
      <c r="B40" s="70" t="s">
        <v>143</v>
      </c>
      <c r="C40" s="70" t="s">
        <v>5207</v>
      </c>
      <c r="D40" s="70" t="s">
        <v>3797</v>
      </c>
      <c r="E40" s="70" t="s">
        <v>5111</v>
      </c>
      <c r="F40" s="70" t="s">
        <v>5579</v>
      </c>
      <c r="G40" s="70"/>
      <c r="H40" s="70" t="s">
        <v>5486</v>
      </c>
      <c r="I40" s="70" t="s">
        <v>5494</v>
      </c>
      <c r="J40" s="70" t="s">
        <v>119</v>
      </c>
      <c r="K40" s="70" t="s">
        <v>923</v>
      </c>
      <c r="L40" s="70" t="s">
        <v>1315</v>
      </c>
      <c r="M40" s="70" t="s">
        <v>5569</v>
      </c>
      <c r="N40" s="70" t="s">
        <v>5570</v>
      </c>
    </row>
    <row r="41" spans="1:14" ht="29" customHeight="1" x14ac:dyDescent="0.2">
      <c r="A41" s="71" t="s">
        <v>5580</v>
      </c>
      <c r="B41" s="71" t="s">
        <v>143</v>
      </c>
      <c r="C41" s="71" t="s">
        <v>5209</v>
      </c>
      <c r="D41" s="71" t="s">
        <v>5211</v>
      </c>
      <c r="E41" s="71" t="s">
        <v>5111</v>
      </c>
      <c r="F41" s="71"/>
      <c r="G41" s="71"/>
      <c r="H41" s="71" t="s">
        <v>5486</v>
      </c>
      <c r="I41" s="71" t="s">
        <v>5487</v>
      </c>
      <c r="J41" s="71" t="s">
        <v>111</v>
      </c>
      <c r="K41" s="71" t="s">
        <v>921</v>
      </c>
      <c r="L41" s="71" t="s">
        <v>1315</v>
      </c>
      <c r="M41" s="71" t="s">
        <v>5569</v>
      </c>
      <c r="N41" s="71" t="s">
        <v>5489</v>
      </c>
    </row>
    <row r="42" spans="1:14" ht="29" customHeight="1" x14ac:dyDescent="0.2">
      <c r="A42" s="70" t="s">
        <v>5581</v>
      </c>
      <c r="B42" s="70" t="s">
        <v>143</v>
      </c>
      <c r="C42" s="70" t="s">
        <v>5212</v>
      </c>
      <c r="D42" s="70" t="s">
        <v>5214</v>
      </c>
      <c r="E42" s="70" t="s">
        <v>5111</v>
      </c>
      <c r="F42" s="70"/>
      <c r="G42" s="70"/>
      <c r="H42" s="70" t="s">
        <v>5486</v>
      </c>
      <c r="I42" s="70" t="s">
        <v>5487</v>
      </c>
      <c r="J42" s="70" t="s">
        <v>111</v>
      </c>
      <c r="K42" s="70" t="s">
        <v>921</v>
      </c>
      <c r="L42" s="70" t="s">
        <v>1315</v>
      </c>
      <c r="M42" s="70" t="s">
        <v>5569</v>
      </c>
      <c r="N42" s="70" t="s">
        <v>5489</v>
      </c>
    </row>
    <row r="43" spans="1:14" ht="29" customHeight="1" x14ac:dyDescent="0.2">
      <c r="A43" s="71" t="s">
        <v>5582</v>
      </c>
      <c r="B43" s="71" t="s">
        <v>143</v>
      </c>
      <c r="C43" s="71" t="s">
        <v>5215</v>
      </c>
      <c r="D43" s="71" t="s">
        <v>5217</v>
      </c>
      <c r="E43" s="71" t="s">
        <v>5105</v>
      </c>
      <c r="F43" s="71"/>
      <c r="G43" s="71"/>
      <c r="H43" s="71" t="s">
        <v>5486</v>
      </c>
      <c r="I43" s="71" t="s">
        <v>5487</v>
      </c>
      <c r="J43" s="71" t="s">
        <v>111</v>
      </c>
      <c r="K43" s="71" t="s">
        <v>921</v>
      </c>
      <c r="L43" s="71" t="s">
        <v>1315</v>
      </c>
      <c r="M43" s="71" t="s">
        <v>5569</v>
      </c>
      <c r="N43" s="71" t="s">
        <v>5489</v>
      </c>
    </row>
    <row r="44" spans="1:14" ht="29" customHeight="1" x14ac:dyDescent="0.2">
      <c r="A44" s="70" t="s">
        <v>5583</v>
      </c>
      <c r="B44" s="70" t="s">
        <v>159</v>
      </c>
      <c r="C44" s="70" t="s">
        <v>5258</v>
      </c>
      <c r="D44" s="70" t="s">
        <v>5260</v>
      </c>
      <c r="E44" s="70" t="s">
        <v>5105</v>
      </c>
      <c r="F44" s="70"/>
      <c r="G44" s="70"/>
      <c r="H44" s="70" t="s">
        <v>5486</v>
      </c>
      <c r="I44" s="70" t="s">
        <v>5487</v>
      </c>
      <c r="J44" s="70" t="s">
        <v>111</v>
      </c>
      <c r="K44" s="70" t="s">
        <v>921</v>
      </c>
      <c r="L44" s="70" t="s">
        <v>4392</v>
      </c>
      <c r="M44" s="70" t="s">
        <v>5584</v>
      </c>
      <c r="N44" s="70" t="s">
        <v>5489</v>
      </c>
    </row>
    <row r="45" spans="1:14" ht="29" customHeight="1" x14ac:dyDescent="0.2">
      <c r="A45" s="71" t="s">
        <v>5585</v>
      </c>
      <c r="B45" s="71" t="s">
        <v>159</v>
      </c>
      <c r="C45" s="71" t="s">
        <v>5271</v>
      </c>
      <c r="D45" s="71" t="s">
        <v>5273</v>
      </c>
      <c r="E45" s="71" t="s">
        <v>5111</v>
      </c>
      <c r="F45" s="71"/>
      <c r="G45" s="71"/>
      <c r="H45" s="71" t="s">
        <v>5486</v>
      </c>
      <c r="I45" s="71" t="s">
        <v>5487</v>
      </c>
      <c r="J45" s="71" t="s">
        <v>111</v>
      </c>
      <c r="K45" s="71" t="s">
        <v>921</v>
      </c>
      <c r="L45" s="71" t="s">
        <v>4392</v>
      </c>
      <c r="M45" s="71" t="s">
        <v>5584</v>
      </c>
      <c r="N45" s="71" t="s">
        <v>5489</v>
      </c>
    </row>
    <row r="46" spans="1:14" ht="29" customHeight="1" x14ac:dyDescent="0.2">
      <c r="A46" s="70" t="s">
        <v>5586</v>
      </c>
      <c r="B46" s="70" t="s">
        <v>165</v>
      </c>
      <c r="C46" s="70" t="s">
        <v>5288</v>
      </c>
      <c r="D46" s="70" t="s">
        <v>191</v>
      </c>
      <c r="E46" s="70" t="s">
        <v>5111</v>
      </c>
      <c r="F46" s="70" t="s">
        <v>5587</v>
      </c>
      <c r="G46" s="70" t="s">
        <v>5105</v>
      </c>
      <c r="H46" s="70" t="s">
        <v>5588</v>
      </c>
      <c r="I46" s="70" t="s">
        <v>5527</v>
      </c>
      <c r="J46" s="70" t="s">
        <v>119</v>
      </c>
      <c r="K46" s="70" t="s">
        <v>921</v>
      </c>
      <c r="L46" s="70" t="s">
        <v>5589</v>
      </c>
      <c r="M46" s="70"/>
      <c r="N46" s="70" t="s">
        <v>5590</v>
      </c>
    </row>
    <row r="47" spans="1:14" ht="29" customHeight="1" x14ac:dyDescent="0.2">
      <c r="A47" s="71" t="s">
        <v>5591</v>
      </c>
      <c r="B47" s="71" t="s">
        <v>165</v>
      </c>
      <c r="C47" s="71" t="s">
        <v>5288</v>
      </c>
      <c r="D47" s="71" t="s">
        <v>191</v>
      </c>
      <c r="E47" s="71" t="s">
        <v>5111</v>
      </c>
      <c r="F47" s="71" t="s">
        <v>5531</v>
      </c>
      <c r="G47" s="71" t="s">
        <v>5096</v>
      </c>
      <c r="H47" s="71" t="s">
        <v>5588</v>
      </c>
      <c r="I47" s="71" t="s">
        <v>5527</v>
      </c>
      <c r="J47" s="71" t="s">
        <v>119</v>
      </c>
      <c r="K47" s="71" t="s">
        <v>921</v>
      </c>
      <c r="L47" s="71" t="s">
        <v>5592</v>
      </c>
      <c r="M47" s="71"/>
      <c r="N47" s="71" t="s">
        <v>5533</v>
      </c>
    </row>
    <row r="48" spans="1:14" ht="29" customHeight="1" x14ac:dyDescent="0.2">
      <c r="A48" s="70" t="s">
        <v>5593</v>
      </c>
      <c r="B48" s="70" t="s">
        <v>165</v>
      </c>
      <c r="C48" s="70" t="s">
        <v>5299</v>
      </c>
      <c r="D48" s="70" t="s">
        <v>184</v>
      </c>
      <c r="E48" s="70" t="s">
        <v>5096</v>
      </c>
      <c r="F48" s="70" t="s">
        <v>5594</v>
      </c>
      <c r="G48" s="70" t="s">
        <v>5096</v>
      </c>
      <c r="H48" s="70" t="s">
        <v>5588</v>
      </c>
      <c r="I48" s="70" t="s">
        <v>5527</v>
      </c>
      <c r="J48" s="70" t="s">
        <v>119</v>
      </c>
      <c r="K48" s="70" t="s">
        <v>921</v>
      </c>
      <c r="L48" s="70" t="s">
        <v>5556</v>
      </c>
      <c r="M48" s="70"/>
      <c r="N48" s="70" t="s">
        <v>5557</v>
      </c>
    </row>
    <row r="49" spans="1:14" ht="29" customHeight="1" x14ac:dyDescent="0.2">
      <c r="A49" s="71" t="s">
        <v>5595</v>
      </c>
      <c r="B49" s="71" t="s">
        <v>171</v>
      </c>
      <c r="C49" s="71" t="s">
        <v>5315</v>
      </c>
      <c r="D49" s="71" t="s">
        <v>5316</v>
      </c>
      <c r="E49" s="71" t="s">
        <v>5105</v>
      </c>
      <c r="F49" s="71"/>
      <c r="G49" s="71"/>
      <c r="H49" s="71" t="s">
        <v>5486</v>
      </c>
      <c r="I49" s="71" t="s">
        <v>5487</v>
      </c>
      <c r="J49" s="71" t="s">
        <v>111</v>
      </c>
      <c r="K49" s="71" t="s">
        <v>921</v>
      </c>
      <c r="L49" s="71" t="s">
        <v>1381</v>
      </c>
      <c r="M49" s="71" t="s">
        <v>5596</v>
      </c>
      <c r="N49" s="71" t="s">
        <v>5489</v>
      </c>
    </row>
    <row r="50" spans="1:14" ht="29" customHeight="1" x14ac:dyDescent="0.2">
      <c r="A50" s="70" t="s">
        <v>5597</v>
      </c>
      <c r="B50" s="70" t="s">
        <v>171</v>
      </c>
      <c r="C50" s="70" t="s">
        <v>5318</v>
      </c>
      <c r="D50" s="70" t="s">
        <v>5320</v>
      </c>
      <c r="E50" s="70" t="s">
        <v>5096</v>
      </c>
      <c r="F50" s="70" t="s">
        <v>5598</v>
      </c>
      <c r="G50" s="70"/>
      <c r="H50" s="70" t="s">
        <v>5486</v>
      </c>
      <c r="I50" s="70" t="s">
        <v>5494</v>
      </c>
      <c r="J50" s="70" t="s">
        <v>119</v>
      </c>
      <c r="K50" s="70" t="s">
        <v>921</v>
      </c>
      <c r="L50" s="70" t="s">
        <v>1381</v>
      </c>
      <c r="M50" s="70" t="s">
        <v>5596</v>
      </c>
      <c r="N50" s="70" t="s">
        <v>5495</v>
      </c>
    </row>
    <row r="51" spans="1:14" ht="29" customHeight="1" x14ac:dyDescent="0.2">
      <c r="A51" s="71" t="s">
        <v>5599</v>
      </c>
      <c r="B51" s="71" t="s">
        <v>171</v>
      </c>
      <c r="C51" s="71" t="s">
        <v>5318</v>
      </c>
      <c r="D51" s="71" t="s">
        <v>5320</v>
      </c>
      <c r="E51" s="71" t="s">
        <v>5096</v>
      </c>
      <c r="F51" s="71" t="s">
        <v>5600</v>
      </c>
      <c r="G51" s="71"/>
      <c r="H51" s="71" t="s">
        <v>5486</v>
      </c>
      <c r="I51" s="71" t="s">
        <v>5494</v>
      </c>
      <c r="J51" s="71" t="s">
        <v>119</v>
      </c>
      <c r="K51" s="71" t="s">
        <v>921</v>
      </c>
      <c r="L51" s="71" t="s">
        <v>1381</v>
      </c>
      <c r="M51" s="71" t="s">
        <v>5596</v>
      </c>
      <c r="N51" s="71" t="s">
        <v>5495</v>
      </c>
    </row>
    <row r="52" spans="1:14" ht="20" customHeight="1" x14ac:dyDescent="0.2">
      <c r="A52" s="70" t="s">
        <v>5601</v>
      </c>
      <c r="B52" s="70" t="s">
        <v>171</v>
      </c>
      <c r="C52" s="70" t="s">
        <v>5321</v>
      </c>
      <c r="D52" s="70" t="s">
        <v>3986</v>
      </c>
      <c r="E52" s="70" t="s">
        <v>5111</v>
      </c>
      <c r="F52" s="70" t="s">
        <v>5602</v>
      </c>
      <c r="G52" s="70" t="s">
        <v>5096</v>
      </c>
      <c r="H52" s="70" t="s">
        <v>5486</v>
      </c>
      <c r="I52" s="70" t="s">
        <v>5494</v>
      </c>
      <c r="J52" s="70" t="s">
        <v>119</v>
      </c>
      <c r="K52" s="70" t="s">
        <v>921</v>
      </c>
      <c r="L52" s="70" t="s">
        <v>1381</v>
      </c>
      <c r="M52" s="70" t="s">
        <v>5596</v>
      </c>
      <c r="N52" s="70" t="s">
        <v>5495</v>
      </c>
    </row>
    <row r="53" spans="1:14" ht="20" customHeight="1" x14ac:dyDescent="0.2">
      <c r="A53" s="71" t="s">
        <v>5603</v>
      </c>
      <c r="B53" s="71" t="s">
        <v>171</v>
      </c>
      <c r="C53" s="71" t="s">
        <v>5321</v>
      </c>
      <c r="D53" s="71" t="s">
        <v>3986</v>
      </c>
      <c r="E53" s="71" t="s">
        <v>5111</v>
      </c>
      <c r="F53" s="71" t="s">
        <v>5604</v>
      </c>
      <c r="G53" s="71"/>
      <c r="H53" s="71" t="s">
        <v>5486</v>
      </c>
      <c r="I53" s="71" t="s">
        <v>5494</v>
      </c>
      <c r="J53" s="71" t="s">
        <v>119</v>
      </c>
      <c r="K53" s="71" t="s">
        <v>921</v>
      </c>
      <c r="L53" s="71" t="s">
        <v>1381</v>
      </c>
      <c r="M53" s="71" t="s">
        <v>5596</v>
      </c>
      <c r="N53" s="71" t="s">
        <v>5495</v>
      </c>
    </row>
    <row r="54" spans="1:14" ht="29" customHeight="1" x14ac:dyDescent="0.2">
      <c r="A54" s="70" t="s">
        <v>5605</v>
      </c>
      <c r="B54" s="70" t="s">
        <v>171</v>
      </c>
      <c r="C54" s="70" t="s">
        <v>5323</v>
      </c>
      <c r="D54" s="70" t="s">
        <v>5325</v>
      </c>
      <c r="E54" s="70" t="s">
        <v>5111</v>
      </c>
      <c r="F54" s="70"/>
      <c r="G54" s="70"/>
      <c r="H54" s="70" t="s">
        <v>5486</v>
      </c>
      <c r="I54" s="70" t="s">
        <v>5487</v>
      </c>
      <c r="J54" s="70" t="s">
        <v>111</v>
      </c>
      <c r="K54" s="70" t="s">
        <v>921</v>
      </c>
      <c r="L54" s="70" t="s">
        <v>1381</v>
      </c>
      <c r="M54" s="70" t="s">
        <v>5596</v>
      </c>
      <c r="N54" s="70" t="s">
        <v>5489</v>
      </c>
    </row>
    <row r="55" spans="1:14" ht="20" customHeight="1" x14ac:dyDescent="0.2">
      <c r="A55" s="71" t="s">
        <v>5606</v>
      </c>
      <c r="B55" s="71" t="s">
        <v>171</v>
      </c>
      <c r="C55" s="71" t="s">
        <v>5326</v>
      </c>
      <c r="D55" s="71" t="s">
        <v>5327</v>
      </c>
      <c r="E55" s="71" t="s">
        <v>5111</v>
      </c>
      <c r="F55" s="71" t="s">
        <v>5607</v>
      </c>
      <c r="G55" s="71"/>
      <c r="H55" s="71" t="s">
        <v>5486</v>
      </c>
      <c r="I55" s="71" t="s">
        <v>5494</v>
      </c>
      <c r="J55" s="71" t="s">
        <v>119</v>
      </c>
      <c r="K55" s="71" t="s">
        <v>921</v>
      </c>
      <c r="L55" s="71" t="s">
        <v>1381</v>
      </c>
      <c r="M55" s="71" t="s">
        <v>5596</v>
      </c>
      <c r="N55" s="71" t="s">
        <v>5495</v>
      </c>
    </row>
    <row r="56" spans="1:14" ht="29" customHeight="1" x14ac:dyDescent="0.2">
      <c r="A56" s="70" t="s">
        <v>5608</v>
      </c>
      <c r="B56" s="70" t="s">
        <v>174</v>
      </c>
      <c r="C56" s="70" t="s">
        <v>5328</v>
      </c>
      <c r="D56" s="70" t="s">
        <v>176</v>
      </c>
      <c r="E56" s="70" t="s">
        <v>5096</v>
      </c>
      <c r="F56" s="70"/>
      <c r="G56" s="70"/>
      <c r="H56" s="70" t="s">
        <v>5486</v>
      </c>
      <c r="I56" s="70" t="s">
        <v>5487</v>
      </c>
      <c r="J56" s="70" t="s">
        <v>111</v>
      </c>
      <c r="K56" s="70" t="s">
        <v>921</v>
      </c>
      <c r="L56" s="70" t="s">
        <v>4408</v>
      </c>
      <c r="M56" s="70" t="s">
        <v>5609</v>
      </c>
      <c r="N56" s="70" t="s">
        <v>5489</v>
      </c>
    </row>
    <row r="57" spans="1:14" ht="43.5" customHeight="1" x14ac:dyDescent="0.2">
      <c r="A57" s="71" t="s">
        <v>5610</v>
      </c>
      <c r="B57" s="71" t="s">
        <v>174</v>
      </c>
      <c r="C57" s="71" t="s">
        <v>5333</v>
      </c>
      <c r="D57" s="71" t="s">
        <v>2766</v>
      </c>
      <c r="E57" s="71" t="s">
        <v>5105</v>
      </c>
      <c r="F57" s="71" t="s">
        <v>5611</v>
      </c>
      <c r="G57" s="71" t="s">
        <v>5111</v>
      </c>
      <c r="H57" s="71" t="s">
        <v>5588</v>
      </c>
      <c r="I57" s="71" t="s">
        <v>5527</v>
      </c>
      <c r="J57" s="71" t="s">
        <v>119</v>
      </c>
      <c r="K57" s="71" t="s">
        <v>921</v>
      </c>
      <c r="L57" s="71" t="s">
        <v>5400</v>
      </c>
      <c r="M57" s="71"/>
      <c r="N57" s="71" t="s">
        <v>5612</v>
      </c>
    </row>
    <row r="58" spans="1:14" ht="20" customHeight="1" x14ac:dyDescent="0.2">
      <c r="A58" s="70" t="s">
        <v>5613</v>
      </c>
      <c r="B58" s="70" t="s">
        <v>182</v>
      </c>
      <c r="C58" s="70" t="s">
        <v>5350</v>
      </c>
      <c r="D58" s="70" t="s">
        <v>2786</v>
      </c>
      <c r="E58" s="70" t="s">
        <v>5111</v>
      </c>
      <c r="F58" s="70" t="s">
        <v>5614</v>
      </c>
      <c r="G58" s="70" t="s">
        <v>5573</v>
      </c>
      <c r="H58" s="70" t="s">
        <v>5486</v>
      </c>
      <c r="I58" s="70" t="s">
        <v>5494</v>
      </c>
      <c r="J58" s="70" t="s">
        <v>119</v>
      </c>
      <c r="K58" s="70" t="s">
        <v>921</v>
      </c>
      <c r="L58" s="70" t="s">
        <v>1398</v>
      </c>
      <c r="M58" s="70" t="s">
        <v>5615</v>
      </c>
      <c r="N58" s="70" t="s">
        <v>5495</v>
      </c>
    </row>
    <row r="59" spans="1:14" ht="29" customHeight="1" x14ac:dyDescent="0.2">
      <c r="A59" s="71" t="s">
        <v>5616</v>
      </c>
      <c r="B59" s="71" t="s">
        <v>182</v>
      </c>
      <c r="C59" s="71" t="s">
        <v>5350</v>
      </c>
      <c r="D59" s="71" t="s">
        <v>2786</v>
      </c>
      <c r="E59" s="71" t="s">
        <v>5111</v>
      </c>
      <c r="F59" s="71" t="s">
        <v>5617</v>
      </c>
      <c r="G59" s="71" t="s">
        <v>5111</v>
      </c>
      <c r="H59" s="71" t="s">
        <v>5618</v>
      </c>
      <c r="I59" s="71" t="s">
        <v>5527</v>
      </c>
      <c r="J59" s="71" t="s">
        <v>119</v>
      </c>
      <c r="K59" s="71" t="s">
        <v>921</v>
      </c>
      <c r="L59" s="71" t="s">
        <v>5619</v>
      </c>
      <c r="M59" s="71"/>
      <c r="N59" s="71" t="s">
        <v>5590</v>
      </c>
    </row>
    <row r="60" spans="1:14" ht="29" customHeight="1" x14ac:dyDescent="0.2">
      <c r="A60" s="70" t="s">
        <v>5620</v>
      </c>
      <c r="B60" s="70" t="s">
        <v>182</v>
      </c>
      <c r="C60" s="70" t="s">
        <v>5352</v>
      </c>
      <c r="D60" s="70" t="s">
        <v>2795</v>
      </c>
      <c r="E60" s="70" t="s">
        <v>5105</v>
      </c>
      <c r="F60" s="70" t="s">
        <v>5621</v>
      </c>
      <c r="G60" s="70" t="s">
        <v>5568</v>
      </c>
      <c r="H60" s="70" t="s">
        <v>5486</v>
      </c>
      <c r="I60" s="70" t="s">
        <v>5494</v>
      </c>
      <c r="J60" s="70" t="s">
        <v>119</v>
      </c>
      <c r="K60" s="70" t="s">
        <v>921</v>
      </c>
      <c r="L60" s="70" t="s">
        <v>1398</v>
      </c>
      <c r="M60" s="70" t="s">
        <v>5615</v>
      </c>
      <c r="N60" s="70" t="s">
        <v>5495</v>
      </c>
    </row>
    <row r="61" spans="1:14" ht="29" customHeight="1" x14ac:dyDescent="0.2">
      <c r="A61" s="71" t="s">
        <v>5622</v>
      </c>
      <c r="B61" s="71" t="s">
        <v>182</v>
      </c>
      <c r="C61" s="71" t="s">
        <v>5357</v>
      </c>
      <c r="D61" s="71" t="s">
        <v>184</v>
      </c>
      <c r="E61" s="71" t="s">
        <v>5096</v>
      </c>
      <c r="F61" s="71" t="s">
        <v>5194</v>
      </c>
      <c r="G61" s="71" t="s">
        <v>5623</v>
      </c>
      <c r="H61" s="71" t="s">
        <v>5486</v>
      </c>
      <c r="I61" s="71" t="s">
        <v>5494</v>
      </c>
      <c r="J61" s="71" t="s">
        <v>119</v>
      </c>
      <c r="K61" s="71" t="s">
        <v>921</v>
      </c>
      <c r="L61" s="71" t="s">
        <v>1398</v>
      </c>
      <c r="M61" s="71" t="s">
        <v>5615</v>
      </c>
      <c r="N61" s="71" t="s">
        <v>5495</v>
      </c>
    </row>
    <row r="62" spans="1:14" ht="29" customHeight="1" x14ac:dyDescent="0.2">
      <c r="A62" s="70" t="s">
        <v>5624</v>
      </c>
      <c r="B62" s="70" t="s">
        <v>182</v>
      </c>
      <c r="C62" s="70" t="s">
        <v>5357</v>
      </c>
      <c r="D62" s="70" t="s">
        <v>184</v>
      </c>
      <c r="E62" s="70" t="s">
        <v>5096</v>
      </c>
      <c r="F62" s="70" t="s">
        <v>5625</v>
      </c>
      <c r="G62" s="70" t="s">
        <v>5096</v>
      </c>
      <c r="H62" s="70" t="s">
        <v>5618</v>
      </c>
      <c r="I62" s="70" t="s">
        <v>5527</v>
      </c>
      <c r="J62" s="70" t="s">
        <v>119</v>
      </c>
      <c r="K62" s="70" t="s">
        <v>921</v>
      </c>
      <c r="L62" s="70" t="s">
        <v>5528</v>
      </c>
      <c r="M62" s="70"/>
      <c r="N62" s="70" t="s">
        <v>5529</v>
      </c>
    </row>
    <row r="63" spans="1:14" ht="29" customHeight="1" x14ac:dyDescent="0.2">
      <c r="A63" s="71" t="s">
        <v>5626</v>
      </c>
      <c r="B63" s="71" t="s">
        <v>190</v>
      </c>
      <c r="C63" s="71" t="s">
        <v>5381</v>
      </c>
      <c r="D63" s="71" t="s">
        <v>191</v>
      </c>
      <c r="E63" s="71" t="s">
        <v>5111</v>
      </c>
      <c r="F63" s="71" t="s">
        <v>5587</v>
      </c>
      <c r="G63" s="71" t="s">
        <v>5105</v>
      </c>
      <c r="H63" s="71" t="s">
        <v>5526</v>
      </c>
      <c r="I63" s="71" t="s">
        <v>5527</v>
      </c>
      <c r="J63" s="71" t="s">
        <v>119</v>
      </c>
      <c r="K63" s="71" t="s">
        <v>921</v>
      </c>
      <c r="L63" s="71" t="s">
        <v>5589</v>
      </c>
      <c r="M63" s="71"/>
      <c r="N63" s="71" t="s">
        <v>5590</v>
      </c>
    </row>
    <row r="64" spans="1:14" ht="29" customHeight="1" x14ac:dyDescent="0.2">
      <c r="A64" s="70" t="s">
        <v>5627</v>
      </c>
      <c r="B64" s="70" t="s">
        <v>190</v>
      </c>
      <c r="C64" s="70" t="s">
        <v>5381</v>
      </c>
      <c r="D64" s="70" t="s">
        <v>191</v>
      </c>
      <c r="E64" s="70" t="s">
        <v>5111</v>
      </c>
      <c r="F64" s="70" t="s">
        <v>5525</v>
      </c>
      <c r="G64" s="70" t="s">
        <v>5111</v>
      </c>
      <c r="H64" s="70" t="s">
        <v>5526</v>
      </c>
      <c r="I64" s="70" t="s">
        <v>5527</v>
      </c>
      <c r="J64" s="70" t="s">
        <v>119</v>
      </c>
      <c r="K64" s="70" t="s">
        <v>921</v>
      </c>
      <c r="L64" s="70" t="s">
        <v>5528</v>
      </c>
      <c r="M64" s="70"/>
      <c r="N64" s="70" t="s">
        <v>5529</v>
      </c>
    </row>
    <row r="65" spans="1:14" ht="29" customHeight="1" x14ac:dyDescent="0.2">
      <c r="A65" s="71" t="s">
        <v>5628</v>
      </c>
      <c r="B65" s="71" t="s">
        <v>196</v>
      </c>
      <c r="C65" s="71" t="s">
        <v>5383</v>
      </c>
      <c r="D65" s="71" t="s">
        <v>5384</v>
      </c>
      <c r="E65" s="71" t="s">
        <v>5096</v>
      </c>
      <c r="F65" s="71"/>
      <c r="G65" s="71"/>
      <c r="H65" s="71" t="s">
        <v>5486</v>
      </c>
      <c r="I65" s="71" t="s">
        <v>5487</v>
      </c>
      <c r="J65" s="71" t="s">
        <v>111</v>
      </c>
      <c r="K65" s="71" t="s">
        <v>921</v>
      </c>
      <c r="L65" s="71" t="s">
        <v>1423</v>
      </c>
      <c r="M65" s="71" t="s">
        <v>5629</v>
      </c>
      <c r="N65" s="71" t="s">
        <v>5489</v>
      </c>
    </row>
    <row r="66" spans="1:14" ht="29" customHeight="1" x14ac:dyDescent="0.2">
      <c r="A66" s="70" t="s">
        <v>5630</v>
      </c>
      <c r="B66" s="70" t="s">
        <v>196</v>
      </c>
      <c r="C66" s="70" t="s">
        <v>5386</v>
      </c>
      <c r="D66" s="70" t="s">
        <v>5388</v>
      </c>
      <c r="E66" s="70" t="s">
        <v>5111</v>
      </c>
      <c r="F66" s="70"/>
      <c r="G66" s="70"/>
      <c r="H66" s="70" t="s">
        <v>5486</v>
      </c>
      <c r="I66" s="70" t="s">
        <v>5487</v>
      </c>
      <c r="J66" s="70" t="s">
        <v>111</v>
      </c>
      <c r="K66" s="70" t="s">
        <v>921</v>
      </c>
      <c r="L66" s="70" t="s">
        <v>1423</v>
      </c>
      <c r="M66" s="70" t="s">
        <v>5629</v>
      </c>
      <c r="N66" s="70" t="s">
        <v>5489</v>
      </c>
    </row>
    <row r="67" spans="1:14" ht="29" customHeight="1" x14ac:dyDescent="0.2">
      <c r="A67" s="71" t="s">
        <v>5631</v>
      </c>
      <c r="B67" s="71" t="s">
        <v>196</v>
      </c>
      <c r="C67" s="71" t="s">
        <v>5389</v>
      </c>
      <c r="D67" s="71" t="s">
        <v>5391</v>
      </c>
      <c r="E67" s="71" t="s">
        <v>5111</v>
      </c>
      <c r="F67" s="71"/>
      <c r="G67" s="71"/>
      <c r="H67" s="71" t="s">
        <v>5486</v>
      </c>
      <c r="I67" s="71" t="s">
        <v>5487</v>
      </c>
      <c r="J67" s="71" t="s">
        <v>111</v>
      </c>
      <c r="K67" s="71" t="s">
        <v>921</v>
      </c>
      <c r="L67" s="71" t="s">
        <v>1423</v>
      </c>
      <c r="M67" s="71" t="s">
        <v>5629</v>
      </c>
      <c r="N67" s="71" t="s">
        <v>5489</v>
      </c>
    </row>
    <row r="68" spans="1:14" ht="29" customHeight="1" x14ac:dyDescent="0.2">
      <c r="A68" s="70" t="s">
        <v>5632</v>
      </c>
      <c r="B68" s="70" t="s">
        <v>196</v>
      </c>
      <c r="C68" s="70" t="s">
        <v>5392</v>
      </c>
      <c r="D68" s="70" t="s">
        <v>4118</v>
      </c>
      <c r="E68" s="70" t="s">
        <v>5111</v>
      </c>
      <c r="F68" s="70"/>
      <c r="G68" s="70"/>
      <c r="H68" s="70" t="s">
        <v>5486</v>
      </c>
      <c r="I68" s="70" t="s">
        <v>5487</v>
      </c>
      <c r="J68" s="70" t="s">
        <v>111</v>
      </c>
      <c r="K68" s="70" t="s">
        <v>921</v>
      </c>
      <c r="L68" s="70" t="s">
        <v>1423</v>
      </c>
      <c r="M68" s="70" t="s">
        <v>5629</v>
      </c>
      <c r="N68" s="70" t="s">
        <v>5489</v>
      </c>
    </row>
    <row r="69" spans="1:14" ht="29" customHeight="1" x14ac:dyDescent="0.2">
      <c r="A69" s="71" t="s">
        <v>5633</v>
      </c>
      <c r="B69" s="71" t="s">
        <v>196</v>
      </c>
      <c r="C69" s="71" t="s">
        <v>5394</v>
      </c>
      <c r="D69" s="71" t="s">
        <v>5396</v>
      </c>
      <c r="E69" s="71" t="s">
        <v>5105</v>
      </c>
      <c r="F69" s="71" t="s">
        <v>5634</v>
      </c>
      <c r="G69" s="71"/>
      <c r="H69" s="71" t="s">
        <v>5486</v>
      </c>
      <c r="I69" s="71" t="s">
        <v>5494</v>
      </c>
      <c r="J69" s="71" t="s">
        <v>119</v>
      </c>
      <c r="K69" s="71" t="s">
        <v>921</v>
      </c>
      <c r="L69" s="71" t="s">
        <v>1423</v>
      </c>
      <c r="M69" s="71" t="s">
        <v>5629</v>
      </c>
      <c r="N69" s="71" t="s">
        <v>5495</v>
      </c>
    </row>
    <row r="70" spans="1:14" ht="29" customHeight="1" x14ac:dyDescent="0.2">
      <c r="A70" s="70" t="s">
        <v>5635</v>
      </c>
      <c r="B70" s="70" t="s">
        <v>199</v>
      </c>
      <c r="C70" s="70" t="s">
        <v>5404</v>
      </c>
      <c r="D70" s="70" t="s">
        <v>2766</v>
      </c>
      <c r="E70" s="70" t="s">
        <v>5111</v>
      </c>
      <c r="F70" s="70" t="s">
        <v>5636</v>
      </c>
      <c r="G70" s="70" t="s">
        <v>5111</v>
      </c>
      <c r="H70" s="70" t="s">
        <v>5637</v>
      </c>
      <c r="I70" s="70" t="s">
        <v>5527</v>
      </c>
      <c r="J70" s="70" t="s">
        <v>119</v>
      </c>
      <c r="K70" s="70" t="s">
        <v>921</v>
      </c>
      <c r="L70" s="70" t="s">
        <v>5638</v>
      </c>
      <c r="M70" s="70"/>
      <c r="N70" s="70" t="s">
        <v>5639</v>
      </c>
    </row>
    <row r="71" spans="1:14" ht="29" customHeight="1" x14ac:dyDescent="0.2">
      <c r="A71" s="71" t="s">
        <v>5640</v>
      </c>
      <c r="B71" s="71" t="s">
        <v>206</v>
      </c>
      <c r="C71" s="71" t="s">
        <v>5420</v>
      </c>
      <c r="D71" s="71" t="s">
        <v>5422</v>
      </c>
      <c r="E71" s="71" t="s">
        <v>5111</v>
      </c>
      <c r="F71" s="71"/>
      <c r="G71" s="71"/>
      <c r="H71" s="71" t="s">
        <v>5486</v>
      </c>
      <c r="I71" s="71" t="s">
        <v>5487</v>
      </c>
      <c r="J71" s="71" t="s">
        <v>111</v>
      </c>
      <c r="K71" s="71" t="s">
        <v>921</v>
      </c>
      <c r="L71" s="71" t="s">
        <v>1455</v>
      </c>
      <c r="M71" s="71" t="s">
        <v>5641</v>
      </c>
      <c r="N71" s="71" t="s">
        <v>5489</v>
      </c>
    </row>
    <row r="72" spans="1:14" ht="29" customHeight="1" x14ac:dyDescent="0.2">
      <c r="A72" s="70" t="s">
        <v>5642</v>
      </c>
      <c r="B72" s="70" t="s">
        <v>206</v>
      </c>
      <c r="C72" s="70" t="s">
        <v>5424</v>
      </c>
      <c r="D72" s="70" t="s">
        <v>4193</v>
      </c>
      <c r="E72" s="70" t="s">
        <v>5105</v>
      </c>
      <c r="F72" s="70" t="s">
        <v>5643</v>
      </c>
      <c r="G72" s="70"/>
      <c r="H72" s="70" t="s">
        <v>5486</v>
      </c>
      <c r="I72" s="70" t="s">
        <v>5494</v>
      </c>
      <c r="J72" s="70" t="s">
        <v>119</v>
      </c>
      <c r="K72" s="70" t="s">
        <v>921</v>
      </c>
      <c r="L72" s="70" t="s">
        <v>1455</v>
      </c>
      <c r="M72" s="70" t="s">
        <v>5641</v>
      </c>
      <c r="N72" s="70" t="s">
        <v>5495</v>
      </c>
    </row>
    <row r="73" spans="1:14" ht="29" customHeight="1" x14ac:dyDescent="0.2">
      <c r="A73" s="71" t="s">
        <v>5644</v>
      </c>
      <c r="B73" s="71" t="s">
        <v>206</v>
      </c>
      <c r="C73" s="71" t="s">
        <v>5426</v>
      </c>
      <c r="D73" s="71" t="s">
        <v>4184</v>
      </c>
      <c r="E73" s="71" t="s">
        <v>5096</v>
      </c>
      <c r="F73" s="71" t="s">
        <v>5645</v>
      </c>
      <c r="G73" s="71"/>
      <c r="H73" s="71" t="s">
        <v>5486</v>
      </c>
      <c r="I73" s="71" t="s">
        <v>5494</v>
      </c>
      <c r="J73" s="71" t="s">
        <v>119</v>
      </c>
      <c r="K73" s="71" t="s">
        <v>921</v>
      </c>
      <c r="L73" s="71" t="s">
        <v>1455</v>
      </c>
      <c r="M73" s="71" t="s">
        <v>5641</v>
      </c>
      <c r="N73" s="71" t="s">
        <v>5495</v>
      </c>
    </row>
    <row r="74" spans="1:14" ht="29" customHeight="1" x14ac:dyDescent="0.2">
      <c r="A74" s="70" t="s">
        <v>5646</v>
      </c>
      <c r="B74" s="70" t="s">
        <v>206</v>
      </c>
      <c r="C74" s="70" t="s">
        <v>5426</v>
      </c>
      <c r="D74" s="70" t="s">
        <v>4184</v>
      </c>
      <c r="E74" s="70" t="s">
        <v>5096</v>
      </c>
      <c r="F74" s="70" t="s">
        <v>5647</v>
      </c>
      <c r="G74" s="70"/>
      <c r="H74" s="70" t="s">
        <v>5486</v>
      </c>
      <c r="I74" s="70" t="s">
        <v>5494</v>
      </c>
      <c r="J74" s="70" t="s">
        <v>119</v>
      </c>
      <c r="K74" s="70" t="s">
        <v>921</v>
      </c>
      <c r="L74" s="70" t="s">
        <v>1455</v>
      </c>
      <c r="M74" s="70" t="s">
        <v>5641</v>
      </c>
      <c r="N74" s="70" t="s">
        <v>5495</v>
      </c>
    </row>
    <row r="75" spans="1:14" ht="29" customHeight="1" x14ac:dyDescent="0.2">
      <c r="A75" s="71" t="s">
        <v>5648</v>
      </c>
      <c r="B75" s="71" t="s">
        <v>206</v>
      </c>
      <c r="C75" s="71" t="s">
        <v>5428</v>
      </c>
      <c r="D75" s="71" t="s">
        <v>5430</v>
      </c>
      <c r="E75" s="71" t="s">
        <v>5111</v>
      </c>
      <c r="F75" s="71"/>
      <c r="G75" s="71"/>
      <c r="H75" s="71" t="s">
        <v>5486</v>
      </c>
      <c r="I75" s="71" t="s">
        <v>5487</v>
      </c>
      <c r="J75" s="71" t="s">
        <v>111</v>
      </c>
      <c r="K75" s="71" t="s">
        <v>921</v>
      </c>
      <c r="L75" s="71" t="s">
        <v>1455</v>
      </c>
      <c r="M75" s="71" t="s">
        <v>5641</v>
      </c>
      <c r="N75" s="71" t="s">
        <v>5489</v>
      </c>
    </row>
    <row r="76" spans="1:14" ht="29" customHeight="1" x14ac:dyDescent="0.2">
      <c r="A76" s="70" t="s">
        <v>5649</v>
      </c>
      <c r="B76" s="70" t="s">
        <v>206</v>
      </c>
      <c r="C76" s="70" t="s">
        <v>5431</v>
      </c>
      <c r="D76" s="70" t="s">
        <v>5433</v>
      </c>
      <c r="E76" s="70" t="s">
        <v>5111</v>
      </c>
      <c r="F76" s="70"/>
      <c r="G76" s="70"/>
      <c r="H76" s="70" t="s">
        <v>5486</v>
      </c>
      <c r="I76" s="70" t="s">
        <v>5487</v>
      </c>
      <c r="J76" s="70" t="s">
        <v>111</v>
      </c>
      <c r="K76" s="70" t="s">
        <v>921</v>
      </c>
      <c r="L76" s="70" t="s">
        <v>1455</v>
      </c>
      <c r="M76" s="70" t="s">
        <v>5641</v>
      </c>
      <c r="N76" s="70" t="s">
        <v>5489</v>
      </c>
    </row>
  </sheetData>
  <mergeCells count="2">
    <mergeCell ref="A2:N2"/>
    <mergeCell ref="A1:N1"/>
  </mergeCells>
  <pageMargins left="0.75" right="0.75" top="1" bottom="1" header="0.5" footer="0.5"/>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AC206"/>
  <sheetViews>
    <sheetView showGridLines="0" rightToLeft="1" workbookViewId="0">
      <pane xSplit="5" ySplit="3" topLeftCell="F4" activePane="bottomRight" state="frozen"/>
      <selection pane="topRight"/>
      <selection pane="bottomLeft"/>
      <selection pane="bottomRight"/>
    </sheetView>
  </sheetViews>
  <sheetFormatPr baseColWidth="10" defaultColWidth="8.83203125" defaultRowHeight="15" x14ac:dyDescent="0.2"/>
  <cols>
    <col min="1" max="1" width="7" customWidth="1"/>
    <col min="2" max="2" width="8" customWidth="1"/>
    <col min="3" max="3" width="10" customWidth="1"/>
    <col min="4" max="4" width="8" customWidth="1"/>
    <col min="5" max="5" width="22" customWidth="1"/>
    <col min="6" max="6" width="24" customWidth="1"/>
    <col min="7" max="7" width="9" customWidth="1"/>
    <col min="8" max="8" width="12" customWidth="1"/>
    <col min="9" max="9" width="16" customWidth="1"/>
    <col min="10" max="10" width="14" customWidth="1"/>
    <col min="11" max="18" width="11" customWidth="1"/>
    <col min="19" max="22" width="8" customWidth="1"/>
    <col min="23" max="24" width="26" customWidth="1"/>
    <col min="25" max="25" width="11" customWidth="1"/>
    <col min="26" max="27" width="10" customWidth="1"/>
    <col min="28" max="28" width="18" customWidth="1"/>
    <col min="29" max="29" width="30" customWidth="1"/>
  </cols>
  <sheetData>
    <row r="1" spans="1:29" ht="30" customHeight="1" x14ac:dyDescent="0.2">
      <c r="A1" s="88" t="s">
        <v>5650</v>
      </c>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row>
    <row r="2" spans="1:29" ht="30" customHeight="1" x14ac:dyDescent="0.2">
      <c r="A2" s="85" t="s">
        <v>5651</v>
      </c>
      <c r="B2" s="76"/>
      <c r="C2" s="76"/>
      <c r="D2" s="76"/>
      <c r="E2" s="76"/>
      <c r="F2" s="76"/>
      <c r="G2" s="76"/>
      <c r="H2" s="76"/>
      <c r="I2" s="76"/>
      <c r="J2" s="76"/>
      <c r="K2" s="76"/>
      <c r="L2" s="76"/>
      <c r="M2" s="76"/>
      <c r="N2" s="76"/>
      <c r="O2" s="76"/>
      <c r="P2" s="76"/>
      <c r="Q2" s="76"/>
      <c r="R2" s="76"/>
      <c r="S2" s="76"/>
      <c r="T2" s="76"/>
      <c r="U2" s="76"/>
      <c r="V2" s="76"/>
      <c r="W2" s="76"/>
      <c r="X2" s="76"/>
      <c r="Y2" s="76"/>
      <c r="Z2" s="76"/>
      <c r="AA2" s="76"/>
      <c r="AB2" s="76"/>
      <c r="AC2" s="76"/>
    </row>
    <row r="3" spans="1:29" ht="42" customHeight="1" x14ac:dyDescent="0.2">
      <c r="A3" s="69" t="s">
        <v>257</v>
      </c>
      <c r="B3" s="69" t="s">
        <v>2677</v>
      </c>
      <c r="C3" s="69" t="s">
        <v>5078</v>
      </c>
      <c r="D3" s="69" t="s">
        <v>5652</v>
      </c>
      <c r="E3" s="69" t="s">
        <v>1685</v>
      </c>
      <c r="F3" s="69" t="s">
        <v>2683</v>
      </c>
      <c r="G3" s="69" t="s">
        <v>5653</v>
      </c>
      <c r="H3" s="69" t="s">
        <v>5654</v>
      </c>
      <c r="I3" s="69" t="s">
        <v>3034</v>
      </c>
      <c r="J3" s="69" t="s">
        <v>5655</v>
      </c>
      <c r="K3" s="69" t="s">
        <v>5656</v>
      </c>
      <c r="L3" s="69" t="s">
        <v>5657</v>
      </c>
      <c r="M3" s="69" t="s">
        <v>5658</v>
      </c>
      <c r="N3" s="69" t="s">
        <v>5659</v>
      </c>
      <c r="O3" s="69" t="s">
        <v>5660</v>
      </c>
      <c r="P3" s="69" t="s">
        <v>5661</v>
      </c>
      <c r="Q3" s="69" t="s">
        <v>5662</v>
      </c>
      <c r="R3" s="69" t="s">
        <v>5663</v>
      </c>
      <c r="S3" s="69" t="s">
        <v>5664</v>
      </c>
      <c r="T3" s="69" t="s">
        <v>5665</v>
      </c>
      <c r="U3" s="69" t="s">
        <v>5666</v>
      </c>
      <c r="V3" s="69" t="s">
        <v>5667</v>
      </c>
      <c r="W3" s="69" t="s">
        <v>5668</v>
      </c>
      <c r="X3" s="69" t="s">
        <v>5669</v>
      </c>
      <c r="Y3" s="69" t="s">
        <v>2689</v>
      </c>
      <c r="Z3" s="69" t="s">
        <v>5670</v>
      </c>
      <c r="AA3" s="69" t="s">
        <v>5671</v>
      </c>
      <c r="AB3" s="69" t="s">
        <v>5672</v>
      </c>
      <c r="AC3" s="69" t="s">
        <v>107</v>
      </c>
    </row>
    <row r="4" spans="1:29" ht="29" customHeight="1" x14ac:dyDescent="0.2">
      <c r="A4" s="70" t="s">
        <v>5673</v>
      </c>
      <c r="B4" s="70" t="s">
        <v>109</v>
      </c>
      <c r="C4" s="70" t="s">
        <v>5092</v>
      </c>
      <c r="D4" s="70" t="s">
        <v>3595</v>
      </c>
      <c r="E4" s="70" t="s">
        <v>5094</v>
      </c>
      <c r="F4" s="70" t="s">
        <v>5093</v>
      </c>
      <c r="G4" s="70" t="s">
        <v>5674</v>
      </c>
      <c r="H4" s="70" t="s">
        <v>5675</v>
      </c>
      <c r="I4" s="70" t="s">
        <v>5676</v>
      </c>
      <c r="J4" s="70" t="s">
        <v>5677</v>
      </c>
      <c r="K4" s="70" t="s">
        <v>5678</v>
      </c>
      <c r="L4" s="72">
        <v>45769</v>
      </c>
      <c r="M4" s="70" t="s">
        <v>5678</v>
      </c>
      <c r="N4" s="72">
        <v>45769</v>
      </c>
      <c r="O4" s="70" t="s">
        <v>5678</v>
      </c>
      <c r="P4" s="72">
        <v>45769</v>
      </c>
      <c r="Q4" s="70" t="s">
        <v>1859</v>
      </c>
      <c r="R4" s="72">
        <v>46101</v>
      </c>
      <c r="S4" s="70">
        <f t="shared" ref="S4:S67" si="0">IF(OR(J4="UNKNOWN",R4=""),"",R4-IF(J4="EXACT",L4,P4))</f>
        <v>332</v>
      </c>
      <c r="T4" s="70">
        <f t="shared" ref="T4:T67" si="1">IF(J4="EXACT",R4-L4,IF(J4="INTERVAL",R4-N4,""))</f>
        <v>332</v>
      </c>
      <c r="U4" s="70">
        <f t="shared" ref="U4:U67" si="2">IF(S4="","",S4/365.25)</f>
        <v>0.90896646132785763</v>
      </c>
      <c r="V4" s="70">
        <f t="shared" ref="V4:V67" si="3">IF(U4="","",U4^2)</f>
        <v>0.8262200278188877</v>
      </c>
      <c r="W4" s="70" t="s">
        <v>5679</v>
      </c>
      <c r="X4" s="70" t="s">
        <v>5680</v>
      </c>
      <c r="Y4" s="70" t="s">
        <v>5681</v>
      </c>
      <c r="Z4" s="70" t="s">
        <v>5682</v>
      </c>
      <c r="AA4" s="70"/>
      <c r="AB4" s="70" t="s">
        <v>5683</v>
      </c>
      <c r="AC4" s="70" t="s">
        <v>5684</v>
      </c>
    </row>
    <row r="5" spans="1:29" ht="29" customHeight="1" x14ac:dyDescent="0.2">
      <c r="A5" s="71" t="s">
        <v>5685</v>
      </c>
      <c r="B5" s="71" t="s">
        <v>109</v>
      </c>
      <c r="C5" s="71" t="s">
        <v>5092</v>
      </c>
      <c r="D5" s="71" t="s">
        <v>5686</v>
      </c>
      <c r="E5" s="71" t="s">
        <v>5094</v>
      </c>
      <c r="F5" s="71" t="s">
        <v>5093</v>
      </c>
      <c r="G5" s="71" t="s">
        <v>5674</v>
      </c>
      <c r="H5" s="71" t="s">
        <v>5675</v>
      </c>
      <c r="I5" s="71" t="s">
        <v>5096</v>
      </c>
      <c r="J5" s="71" t="s">
        <v>5677</v>
      </c>
      <c r="K5" s="71" t="s">
        <v>5678</v>
      </c>
      <c r="L5" s="73">
        <v>45769</v>
      </c>
      <c r="M5" s="71" t="s">
        <v>5678</v>
      </c>
      <c r="N5" s="73">
        <v>45769</v>
      </c>
      <c r="O5" s="71" t="s">
        <v>5678</v>
      </c>
      <c r="P5" s="73">
        <v>45769</v>
      </c>
      <c r="Q5" s="71" t="s">
        <v>1859</v>
      </c>
      <c r="R5" s="73">
        <v>46101</v>
      </c>
      <c r="S5" s="71">
        <f t="shared" si="0"/>
        <v>332</v>
      </c>
      <c r="T5" s="71">
        <f t="shared" si="1"/>
        <v>332</v>
      </c>
      <c r="U5" s="71">
        <f t="shared" si="2"/>
        <v>0.90896646132785763</v>
      </c>
      <c r="V5" s="71">
        <f t="shared" si="3"/>
        <v>0.8262200278188877</v>
      </c>
      <c r="W5" s="71" t="s">
        <v>5679</v>
      </c>
      <c r="X5" s="71" t="s">
        <v>5687</v>
      </c>
      <c r="Y5" s="71"/>
      <c r="Z5" s="71"/>
      <c r="AA5" s="71"/>
      <c r="AB5" s="71"/>
      <c r="AC5" s="71"/>
    </row>
    <row r="6" spans="1:29" ht="29" customHeight="1" x14ac:dyDescent="0.2">
      <c r="A6" s="70" t="s">
        <v>5688</v>
      </c>
      <c r="B6" s="70" t="s">
        <v>109</v>
      </c>
      <c r="C6" s="70" t="s">
        <v>5102</v>
      </c>
      <c r="D6" s="70" t="s">
        <v>3595</v>
      </c>
      <c r="E6" s="70" t="s">
        <v>5104</v>
      </c>
      <c r="F6" s="70" t="s">
        <v>5103</v>
      </c>
      <c r="G6" s="70" t="s">
        <v>5689</v>
      </c>
      <c r="H6" s="70" t="s">
        <v>5675</v>
      </c>
      <c r="I6" s="70" t="s">
        <v>5690</v>
      </c>
      <c r="J6" s="70" t="s">
        <v>5677</v>
      </c>
      <c r="K6" s="70" t="s">
        <v>5691</v>
      </c>
      <c r="L6" s="72">
        <v>45760</v>
      </c>
      <c r="M6" s="70" t="s">
        <v>5691</v>
      </c>
      <c r="N6" s="72">
        <v>45760</v>
      </c>
      <c r="O6" s="70" t="s">
        <v>5691</v>
      </c>
      <c r="P6" s="72">
        <v>45760</v>
      </c>
      <c r="Q6" s="70" t="s">
        <v>1859</v>
      </c>
      <c r="R6" s="72">
        <v>46101</v>
      </c>
      <c r="S6" s="70">
        <f t="shared" si="0"/>
        <v>341</v>
      </c>
      <c r="T6" s="70">
        <f t="shared" si="1"/>
        <v>341</v>
      </c>
      <c r="U6" s="70">
        <f t="shared" si="2"/>
        <v>0.93360711841204658</v>
      </c>
      <c r="V6" s="70">
        <f t="shared" si="3"/>
        <v>0.87162225154964512</v>
      </c>
      <c r="W6" s="70" t="s">
        <v>5679</v>
      </c>
      <c r="X6" s="70" t="s">
        <v>5680</v>
      </c>
      <c r="Y6" s="70" t="s">
        <v>5692</v>
      </c>
      <c r="Z6" s="70" t="s">
        <v>5682</v>
      </c>
      <c r="AA6" s="70"/>
      <c r="AB6" s="70" t="s">
        <v>5683</v>
      </c>
      <c r="AC6" s="70" t="s">
        <v>5693</v>
      </c>
    </row>
    <row r="7" spans="1:29" ht="29" customHeight="1" x14ac:dyDescent="0.2">
      <c r="A7" s="71" t="s">
        <v>5694</v>
      </c>
      <c r="B7" s="71" t="s">
        <v>109</v>
      </c>
      <c r="C7" s="71" t="s">
        <v>5108</v>
      </c>
      <c r="D7" s="71" t="s">
        <v>3595</v>
      </c>
      <c r="E7" s="71" t="s">
        <v>5110</v>
      </c>
      <c r="F7" s="71" t="s">
        <v>5109</v>
      </c>
      <c r="G7" s="71" t="s">
        <v>5695</v>
      </c>
      <c r="H7" s="71" t="s">
        <v>5675</v>
      </c>
      <c r="I7" s="71" t="s">
        <v>5696</v>
      </c>
      <c r="J7" s="71" t="s">
        <v>5697</v>
      </c>
      <c r="K7" s="71"/>
      <c r="L7" s="73"/>
      <c r="M7" s="71" t="s">
        <v>5698</v>
      </c>
      <c r="N7" s="73">
        <v>45683</v>
      </c>
      <c r="O7" s="71" t="s">
        <v>5699</v>
      </c>
      <c r="P7" s="73">
        <v>45802</v>
      </c>
      <c r="Q7" s="71" t="s">
        <v>1859</v>
      </c>
      <c r="R7" s="73">
        <v>46101</v>
      </c>
      <c r="S7" s="71">
        <f t="shared" si="0"/>
        <v>299</v>
      </c>
      <c r="T7" s="71">
        <f t="shared" si="1"/>
        <v>418</v>
      </c>
      <c r="U7" s="71">
        <f t="shared" si="2"/>
        <v>0.81861738535249828</v>
      </c>
      <c r="V7" s="71">
        <f t="shared" si="3"/>
        <v>0.67013442360136066</v>
      </c>
      <c r="W7" s="71" t="s">
        <v>5700</v>
      </c>
      <c r="X7" s="71" t="s">
        <v>5701</v>
      </c>
      <c r="Y7" s="71" t="s">
        <v>5698</v>
      </c>
      <c r="Z7" s="71" t="s">
        <v>5682</v>
      </c>
      <c r="AA7" s="71"/>
      <c r="AB7" s="71" t="s">
        <v>5702</v>
      </c>
      <c r="AC7" s="71" t="s">
        <v>5703</v>
      </c>
    </row>
    <row r="8" spans="1:29" ht="29" customHeight="1" x14ac:dyDescent="0.2">
      <c r="A8" s="70" t="s">
        <v>5704</v>
      </c>
      <c r="B8" s="70" t="s">
        <v>109</v>
      </c>
      <c r="C8" s="70" t="s">
        <v>5112</v>
      </c>
      <c r="D8" s="70" t="s">
        <v>3595</v>
      </c>
      <c r="E8" s="70" t="s">
        <v>5114</v>
      </c>
      <c r="F8" s="70" t="s">
        <v>5113</v>
      </c>
      <c r="G8" s="70" t="s">
        <v>5705</v>
      </c>
      <c r="H8" s="70" t="s">
        <v>5675</v>
      </c>
      <c r="I8" s="70" t="s">
        <v>5706</v>
      </c>
      <c r="J8" s="70" t="s">
        <v>5697</v>
      </c>
      <c r="K8" s="70"/>
      <c r="L8" s="72"/>
      <c r="M8" s="70" t="s">
        <v>5707</v>
      </c>
      <c r="N8" s="72">
        <v>45113</v>
      </c>
      <c r="O8" s="70" t="s">
        <v>5708</v>
      </c>
      <c r="P8" s="72">
        <v>45136</v>
      </c>
      <c r="Q8" s="70" t="s">
        <v>1859</v>
      </c>
      <c r="R8" s="72">
        <v>46101</v>
      </c>
      <c r="S8" s="70">
        <f t="shared" si="0"/>
        <v>965</v>
      </c>
      <c r="T8" s="70">
        <f t="shared" si="1"/>
        <v>988</v>
      </c>
      <c r="U8" s="70">
        <f t="shared" si="2"/>
        <v>2.6420260095824779</v>
      </c>
      <c r="V8" s="70">
        <f t="shared" si="3"/>
        <v>6.9803014353103112</v>
      </c>
      <c r="W8" s="70" t="s">
        <v>5709</v>
      </c>
      <c r="X8" s="70" t="s">
        <v>5701</v>
      </c>
      <c r="Y8" s="70" t="s">
        <v>5707</v>
      </c>
      <c r="Z8" s="70" t="s">
        <v>5682</v>
      </c>
      <c r="AA8" s="70"/>
      <c r="AB8" s="70" t="s">
        <v>5710</v>
      </c>
      <c r="AC8" s="70" t="s">
        <v>5711</v>
      </c>
    </row>
    <row r="9" spans="1:29" ht="58" customHeight="1" x14ac:dyDescent="0.2">
      <c r="A9" s="71" t="s">
        <v>5712</v>
      </c>
      <c r="B9" s="71" t="s">
        <v>109</v>
      </c>
      <c r="C9" s="71" t="s">
        <v>5116</v>
      </c>
      <c r="D9" s="71" t="s">
        <v>3595</v>
      </c>
      <c r="E9" s="71" t="s">
        <v>5118</v>
      </c>
      <c r="F9" s="71" t="s">
        <v>5117</v>
      </c>
      <c r="G9" s="71" t="s">
        <v>5713</v>
      </c>
      <c r="H9" s="71" t="s">
        <v>5675</v>
      </c>
      <c r="I9" s="71" t="s">
        <v>5696</v>
      </c>
      <c r="J9" s="71" t="s">
        <v>5677</v>
      </c>
      <c r="K9" s="71" t="s">
        <v>5714</v>
      </c>
      <c r="L9" s="73">
        <v>45872</v>
      </c>
      <c r="M9" s="71" t="s">
        <v>5714</v>
      </c>
      <c r="N9" s="73">
        <v>45872</v>
      </c>
      <c r="O9" s="71" t="s">
        <v>5714</v>
      </c>
      <c r="P9" s="73">
        <v>45872</v>
      </c>
      <c r="Q9" s="71" t="s">
        <v>1859</v>
      </c>
      <c r="R9" s="73">
        <v>46101</v>
      </c>
      <c r="S9" s="71">
        <f t="shared" si="0"/>
        <v>229</v>
      </c>
      <c r="T9" s="71">
        <f t="shared" si="1"/>
        <v>229</v>
      </c>
      <c r="U9" s="71">
        <f t="shared" si="2"/>
        <v>0.6269678302532512</v>
      </c>
      <c r="V9" s="71">
        <f t="shared" si="3"/>
        <v>0.39308866017246963</v>
      </c>
      <c r="W9" s="71" t="s">
        <v>5679</v>
      </c>
      <c r="X9" s="71" t="s">
        <v>5680</v>
      </c>
      <c r="Y9" s="71" t="s">
        <v>5714</v>
      </c>
      <c r="Z9" s="71" t="s">
        <v>5682</v>
      </c>
      <c r="AA9" s="71"/>
      <c r="AB9" s="71" t="s">
        <v>5710</v>
      </c>
      <c r="AC9" s="71" t="s">
        <v>5715</v>
      </c>
    </row>
    <row r="10" spans="1:29" ht="29" customHeight="1" x14ac:dyDescent="0.2">
      <c r="A10" s="70" t="s">
        <v>5716</v>
      </c>
      <c r="B10" s="70" t="s">
        <v>109</v>
      </c>
      <c r="C10" s="70"/>
      <c r="D10" s="70" t="s">
        <v>5717</v>
      </c>
      <c r="E10" s="70" t="s">
        <v>5104</v>
      </c>
      <c r="F10" s="70"/>
      <c r="G10" s="70" t="s">
        <v>5689</v>
      </c>
      <c r="H10" s="70" t="s">
        <v>5675</v>
      </c>
      <c r="I10" s="70" t="s">
        <v>5091</v>
      </c>
      <c r="J10" s="70" t="s">
        <v>5677</v>
      </c>
      <c r="K10" s="70" t="s">
        <v>5718</v>
      </c>
      <c r="L10" s="72">
        <v>45720</v>
      </c>
      <c r="M10" s="70" t="s">
        <v>5718</v>
      </c>
      <c r="N10" s="72">
        <v>45720</v>
      </c>
      <c r="O10" s="70" t="s">
        <v>5718</v>
      </c>
      <c r="P10" s="72">
        <v>45720</v>
      </c>
      <c r="Q10" s="70" t="s">
        <v>1859</v>
      </c>
      <c r="R10" s="72">
        <v>46101</v>
      </c>
      <c r="S10" s="70">
        <f t="shared" si="0"/>
        <v>381</v>
      </c>
      <c r="T10" s="70">
        <f t="shared" si="1"/>
        <v>381</v>
      </c>
      <c r="U10" s="70">
        <f t="shared" si="2"/>
        <v>1.0431211498973305</v>
      </c>
      <c r="V10" s="70">
        <f t="shared" si="3"/>
        <v>1.0881017333631291</v>
      </c>
      <c r="W10" s="70" t="s">
        <v>5679</v>
      </c>
      <c r="X10" s="70" t="s">
        <v>5680</v>
      </c>
      <c r="Y10" s="70" t="s">
        <v>5718</v>
      </c>
      <c r="Z10" s="70" t="s">
        <v>5682</v>
      </c>
      <c r="AA10" s="70"/>
      <c r="AB10" s="70" t="s">
        <v>5111</v>
      </c>
      <c r="AC10" s="70" t="s">
        <v>5719</v>
      </c>
    </row>
    <row r="11" spans="1:29" ht="29" customHeight="1" x14ac:dyDescent="0.2">
      <c r="A11" s="71" t="s">
        <v>5720</v>
      </c>
      <c r="B11" s="71" t="s">
        <v>117</v>
      </c>
      <c r="C11" s="71" t="s">
        <v>5119</v>
      </c>
      <c r="D11" s="71" t="s">
        <v>3595</v>
      </c>
      <c r="E11" s="71" t="s">
        <v>5121</v>
      </c>
      <c r="F11" s="71" t="s">
        <v>5120</v>
      </c>
      <c r="G11" s="71"/>
      <c r="H11" s="71" t="s">
        <v>5721</v>
      </c>
      <c r="I11" s="71" t="s">
        <v>5690</v>
      </c>
      <c r="J11" s="71" t="s">
        <v>2016</v>
      </c>
      <c r="K11" s="71"/>
      <c r="L11" s="73"/>
      <c r="M11" s="71"/>
      <c r="N11" s="73"/>
      <c r="O11" s="71"/>
      <c r="P11" s="73"/>
      <c r="Q11" s="71" t="s">
        <v>4357</v>
      </c>
      <c r="R11" s="73">
        <v>45798</v>
      </c>
      <c r="S11" s="71" t="str">
        <f t="shared" si="0"/>
        <v/>
      </c>
      <c r="T11" s="71" t="str">
        <f t="shared" si="1"/>
        <v/>
      </c>
      <c r="U11" s="71" t="str">
        <f t="shared" si="2"/>
        <v/>
      </c>
      <c r="V11" s="71" t="str">
        <f t="shared" si="3"/>
        <v/>
      </c>
      <c r="W11" s="71" t="s">
        <v>5722</v>
      </c>
      <c r="X11" s="71" t="s">
        <v>2274</v>
      </c>
      <c r="Y11" s="71"/>
      <c r="Z11" s="71"/>
      <c r="AA11" s="71"/>
      <c r="AB11" s="71" t="s">
        <v>5723</v>
      </c>
      <c r="AC11" s="71" t="s">
        <v>5724</v>
      </c>
    </row>
    <row r="12" spans="1:29" ht="29" customHeight="1" x14ac:dyDescent="0.2">
      <c r="A12" s="70" t="s">
        <v>5725</v>
      </c>
      <c r="B12" s="70" t="s">
        <v>117</v>
      </c>
      <c r="C12" s="70" t="s">
        <v>5123</v>
      </c>
      <c r="D12" s="70" t="s">
        <v>3595</v>
      </c>
      <c r="E12" s="70" t="s">
        <v>2711</v>
      </c>
      <c r="F12" s="70" t="s">
        <v>5124</v>
      </c>
      <c r="G12" s="70" t="s">
        <v>5726</v>
      </c>
      <c r="H12" s="70" t="s">
        <v>5675</v>
      </c>
      <c r="I12" s="70" t="s">
        <v>5696</v>
      </c>
      <c r="J12" s="70" t="s">
        <v>5677</v>
      </c>
      <c r="K12" s="70" t="s">
        <v>5727</v>
      </c>
      <c r="L12" s="72">
        <v>45550</v>
      </c>
      <c r="M12" s="70" t="s">
        <v>5727</v>
      </c>
      <c r="N12" s="72">
        <v>45550</v>
      </c>
      <c r="O12" s="70" t="s">
        <v>5727</v>
      </c>
      <c r="P12" s="72">
        <v>45550</v>
      </c>
      <c r="Q12" s="70" t="s">
        <v>4357</v>
      </c>
      <c r="R12" s="72">
        <v>45798</v>
      </c>
      <c r="S12" s="70">
        <f t="shared" si="0"/>
        <v>248</v>
      </c>
      <c r="T12" s="70">
        <f t="shared" si="1"/>
        <v>248</v>
      </c>
      <c r="U12" s="70">
        <f t="shared" si="2"/>
        <v>0.67898699520876116</v>
      </c>
      <c r="V12" s="70">
        <f t="shared" si="3"/>
        <v>0.46102333966262227</v>
      </c>
      <c r="W12" s="70" t="s">
        <v>5679</v>
      </c>
      <c r="X12" s="70" t="s">
        <v>5728</v>
      </c>
      <c r="Y12" s="70"/>
      <c r="Z12" s="70"/>
      <c r="AA12" s="70"/>
      <c r="AB12" s="70" t="s">
        <v>5723</v>
      </c>
      <c r="AC12" s="70"/>
    </row>
    <row r="13" spans="1:29" ht="29" customHeight="1" x14ac:dyDescent="0.2">
      <c r="A13" s="71" t="s">
        <v>5729</v>
      </c>
      <c r="B13" s="71" t="s">
        <v>117</v>
      </c>
      <c r="C13" s="71" t="s">
        <v>5125</v>
      </c>
      <c r="D13" s="71" t="s">
        <v>3595</v>
      </c>
      <c r="E13" s="71" t="s">
        <v>121</v>
      </c>
      <c r="F13" s="71" t="s">
        <v>5126</v>
      </c>
      <c r="G13" s="71" t="s">
        <v>5730</v>
      </c>
      <c r="H13" s="71" t="s">
        <v>5675</v>
      </c>
      <c r="I13" s="71" t="s">
        <v>5696</v>
      </c>
      <c r="J13" s="71" t="s">
        <v>5677</v>
      </c>
      <c r="K13" s="71" t="s">
        <v>3048</v>
      </c>
      <c r="L13" s="73">
        <v>45710</v>
      </c>
      <c r="M13" s="71" t="s">
        <v>3048</v>
      </c>
      <c r="N13" s="73">
        <v>45710</v>
      </c>
      <c r="O13" s="71" t="s">
        <v>3048</v>
      </c>
      <c r="P13" s="73">
        <v>45710</v>
      </c>
      <c r="Q13" s="71" t="s">
        <v>4357</v>
      </c>
      <c r="R13" s="73">
        <v>45798</v>
      </c>
      <c r="S13" s="71">
        <f t="shared" si="0"/>
        <v>88</v>
      </c>
      <c r="T13" s="71">
        <f t="shared" si="1"/>
        <v>88</v>
      </c>
      <c r="U13" s="71">
        <f t="shared" si="2"/>
        <v>0.24093086926762491</v>
      </c>
      <c r="V13" s="71">
        <f t="shared" si="3"/>
        <v>5.8047683766053369E-2</v>
      </c>
      <c r="W13" s="71" t="s">
        <v>5679</v>
      </c>
      <c r="X13" s="71" t="s">
        <v>5680</v>
      </c>
      <c r="Y13" s="71" t="s">
        <v>3048</v>
      </c>
      <c r="Z13" s="71" t="s">
        <v>5682</v>
      </c>
      <c r="AA13" s="71"/>
      <c r="AB13" s="71" t="s">
        <v>5723</v>
      </c>
      <c r="AC13" s="71" t="s">
        <v>5731</v>
      </c>
    </row>
    <row r="14" spans="1:29" ht="29" customHeight="1" x14ac:dyDescent="0.2">
      <c r="A14" s="70" t="s">
        <v>5732</v>
      </c>
      <c r="B14" s="70" t="s">
        <v>117</v>
      </c>
      <c r="C14" s="70" t="s">
        <v>5127</v>
      </c>
      <c r="D14" s="70" t="s">
        <v>3595</v>
      </c>
      <c r="E14" s="70" t="s">
        <v>2723</v>
      </c>
      <c r="F14" s="70" t="s">
        <v>5128</v>
      </c>
      <c r="G14" s="70" t="s">
        <v>5733</v>
      </c>
      <c r="H14" s="70" t="s">
        <v>5675</v>
      </c>
      <c r="I14" s="70" t="s">
        <v>5696</v>
      </c>
      <c r="J14" s="70" t="s">
        <v>5677</v>
      </c>
      <c r="K14" s="70" t="s">
        <v>5734</v>
      </c>
      <c r="L14" s="72">
        <v>45669</v>
      </c>
      <c r="M14" s="70" t="s">
        <v>5734</v>
      </c>
      <c r="N14" s="72">
        <v>45669</v>
      </c>
      <c r="O14" s="70" t="s">
        <v>5734</v>
      </c>
      <c r="P14" s="72">
        <v>45669</v>
      </c>
      <c r="Q14" s="70" t="s">
        <v>4357</v>
      </c>
      <c r="R14" s="72">
        <v>45798</v>
      </c>
      <c r="S14" s="70">
        <f t="shared" si="0"/>
        <v>129</v>
      </c>
      <c r="T14" s="70">
        <f t="shared" si="1"/>
        <v>129</v>
      </c>
      <c r="U14" s="70">
        <f t="shared" si="2"/>
        <v>0.35318275154004108</v>
      </c>
      <c r="V14" s="70">
        <f t="shared" si="3"/>
        <v>0.12473805598539439</v>
      </c>
      <c r="W14" s="70" t="s">
        <v>5679</v>
      </c>
      <c r="X14" s="70" t="s">
        <v>5680</v>
      </c>
      <c r="Y14" s="70" t="s">
        <v>5734</v>
      </c>
      <c r="Z14" s="70" t="s">
        <v>5682</v>
      </c>
      <c r="AA14" s="70"/>
      <c r="AB14" s="70" t="s">
        <v>5723</v>
      </c>
      <c r="AC14" s="70" t="s">
        <v>5735</v>
      </c>
    </row>
    <row r="15" spans="1:29" ht="29" customHeight="1" x14ac:dyDescent="0.2">
      <c r="A15" s="71" t="s">
        <v>5736</v>
      </c>
      <c r="B15" s="71" t="s">
        <v>117</v>
      </c>
      <c r="C15" s="71" t="s">
        <v>5129</v>
      </c>
      <c r="D15" s="71" t="s">
        <v>3595</v>
      </c>
      <c r="E15" s="71" t="s">
        <v>120</v>
      </c>
      <c r="F15" s="71" t="s">
        <v>5130</v>
      </c>
      <c r="G15" s="71" t="s">
        <v>5737</v>
      </c>
      <c r="H15" s="71" t="s">
        <v>5675</v>
      </c>
      <c r="I15" s="71" t="s">
        <v>5676</v>
      </c>
      <c r="J15" s="71" t="s">
        <v>5677</v>
      </c>
      <c r="K15" s="71" t="s">
        <v>5734</v>
      </c>
      <c r="L15" s="73">
        <v>45669</v>
      </c>
      <c r="M15" s="71" t="s">
        <v>5734</v>
      </c>
      <c r="N15" s="73">
        <v>45669</v>
      </c>
      <c r="O15" s="71" t="s">
        <v>5734</v>
      </c>
      <c r="P15" s="73">
        <v>45669</v>
      </c>
      <c r="Q15" s="71" t="s">
        <v>4357</v>
      </c>
      <c r="R15" s="73">
        <v>45798</v>
      </c>
      <c r="S15" s="71">
        <f t="shared" si="0"/>
        <v>129</v>
      </c>
      <c r="T15" s="71">
        <f t="shared" si="1"/>
        <v>129</v>
      </c>
      <c r="U15" s="71">
        <f t="shared" si="2"/>
        <v>0.35318275154004108</v>
      </c>
      <c r="V15" s="71">
        <f t="shared" si="3"/>
        <v>0.12473805598539439</v>
      </c>
      <c r="W15" s="71" t="s">
        <v>5679</v>
      </c>
      <c r="X15" s="71" t="s">
        <v>5680</v>
      </c>
      <c r="Y15" s="71" t="s">
        <v>5734</v>
      </c>
      <c r="Z15" s="71" t="s">
        <v>5682</v>
      </c>
      <c r="AA15" s="71"/>
      <c r="AB15" s="71" t="s">
        <v>5723</v>
      </c>
      <c r="AC15" s="71" t="s">
        <v>5735</v>
      </c>
    </row>
    <row r="16" spans="1:29" ht="29" customHeight="1" x14ac:dyDescent="0.2">
      <c r="A16" s="70" t="s">
        <v>5738</v>
      </c>
      <c r="B16" s="70" t="s">
        <v>117</v>
      </c>
      <c r="C16" s="70" t="s">
        <v>5129</v>
      </c>
      <c r="D16" s="70" t="s">
        <v>5686</v>
      </c>
      <c r="E16" s="70" t="s">
        <v>120</v>
      </c>
      <c r="F16" s="70" t="s">
        <v>5130</v>
      </c>
      <c r="G16" s="70" t="s">
        <v>5737</v>
      </c>
      <c r="H16" s="70" t="s">
        <v>5675</v>
      </c>
      <c r="I16" s="70" t="s">
        <v>5096</v>
      </c>
      <c r="J16" s="70" t="s">
        <v>5677</v>
      </c>
      <c r="K16" s="70" t="s">
        <v>5734</v>
      </c>
      <c r="L16" s="72">
        <v>45669</v>
      </c>
      <c r="M16" s="70" t="s">
        <v>5734</v>
      </c>
      <c r="N16" s="72">
        <v>45669</v>
      </c>
      <c r="O16" s="70" t="s">
        <v>5734</v>
      </c>
      <c r="P16" s="72">
        <v>45669</v>
      </c>
      <c r="Q16" s="70" t="s">
        <v>4357</v>
      </c>
      <c r="R16" s="72">
        <v>45798</v>
      </c>
      <c r="S16" s="70">
        <f t="shared" si="0"/>
        <v>129</v>
      </c>
      <c r="T16" s="70">
        <f t="shared" si="1"/>
        <v>129</v>
      </c>
      <c r="U16" s="70">
        <f t="shared" si="2"/>
        <v>0.35318275154004108</v>
      </c>
      <c r="V16" s="70">
        <f t="shared" si="3"/>
        <v>0.12473805598539439</v>
      </c>
      <c r="W16" s="70" t="s">
        <v>5679</v>
      </c>
      <c r="X16" s="70" t="s">
        <v>5687</v>
      </c>
      <c r="Y16" s="70"/>
      <c r="Z16" s="70"/>
      <c r="AA16" s="70"/>
      <c r="AB16" s="70"/>
      <c r="AC16" s="70"/>
    </row>
    <row r="17" spans="1:29" ht="29" customHeight="1" x14ac:dyDescent="0.2">
      <c r="A17" s="71" t="s">
        <v>5739</v>
      </c>
      <c r="B17" s="71" t="s">
        <v>117</v>
      </c>
      <c r="C17" s="71"/>
      <c r="D17" s="71" t="s">
        <v>5717</v>
      </c>
      <c r="E17" s="71" t="s">
        <v>5740</v>
      </c>
      <c r="F17" s="71"/>
      <c r="G17" s="71" t="s">
        <v>5741</v>
      </c>
      <c r="H17" s="71" t="s">
        <v>5675</v>
      </c>
      <c r="I17" s="71" t="s">
        <v>5742</v>
      </c>
      <c r="J17" s="71" t="s">
        <v>5677</v>
      </c>
      <c r="K17" s="71" t="s">
        <v>5692</v>
      </c>
      <c r="L17" s="73">
        <v>45759</v>
      </c>
      <c r="M17" s="71" t="s">
        <v>5692</v>
      </c>
      <c r="N17" s="73">
        <v>45759</v>
      </c>
      <c r="O17" s="71" t="s">
        <v>5692</v>
      </c>
      <c r="P17" s="73">
        <v>45759</v>
      </c>
      <c r="Q17" s="71" t="s">
        <v>4357</v>
      </c>
      <c r="R17" s="73">
        <v>45798</v>
      </c>
      <c r="S17" s="71">
        <f t="shared" si="0"/>
        <v>39</v>
      </c>
      <c r="T17" s="71">
        <f t="shared" si="1"/>
        <v>39</v>
      </c>
      <c r="U17" s="71">
        <f t="shared" si="2"/>
        <v>0.10677618069815195</v>
      </c>
      <c r="V17" s="71">
        <f t="shared" si="3"/>
        <v>1.1401152764484397E-2</v>
      </c>
      <c r="W17" s="71" t="s">
        <v>5679</v>
      </c>
      <c r="X17" s="71" t="s">
        <v>5728</v>
      </c>
      <c r="Y17" s="71"/>
      <c r="Z17" s="71"/>
      <c r="AA17" s="71"/>
      <c r="AB17" s="71" t="s">
        <v>5743</v>
      </c>
      <c r="AC17" s="71"/>
    </row>
    <row r="18" spans="1:29" ht="29" customHeight="1" x14ac:dyDescent="0.2">
      <c r="A18" s="70" t="s">
        <v>5744</v>
      </c>
      <c r="B18" s="70" t="s">
        <v>126</v>
      </c>
      <c r="C18" s="70" t="s">
        <v>5131</v>
      </c>
      <c r="D18" s="70" t="s">
        <v>3595</v>
      </c>
      <c r="E18" s="70" t="s">
        <v>5133</v>
      </c>
      <c r="F18" s="70" t="s">
        <v>5132</v>
      </c>
      <c r="G18" s="70" t="s">
        <v>5745</v>
      </c>
      <c r="H18" s="70" t="s">
        <v>5675</v>
      </c>
      <c r="I18" s="70" t="s">
        <v>5706</v>
      </c>
      <c r="J18" s="70" t="s">
        <v>5677</v>
      </c>
      <c r="K18" s="70" t="s">
        <v>3999</v>
      </c>
      <c r="L18" s="72">
        <v>45691</v>
      </c>
      <c r="M18" s="70" t="s">
        <v>3999</v>
      </c>
      <c r="N18" s="72">
        <v>45691</v>
      </c>
      <c r="O18" s="70" t="s">
        <v>3999</v>
      </c>
      <c r="P18" s="72">
        <v>45691</v>
      </c>
      <c r="Q18" s="70" t="s">
        <v>4364</v>
      </c>
      <c r="R18" s="72">
        <v>45829</v>
      </c>
      <c r="S18" s="70">
        <f t="shared" si="0"/>
        <v>138</v>
      </c>
      <c r="T18" s="70">
        <f t="shared" si="1"/>
        <v>138</v>
      </c>
      <c r="U18" s="70">
        <f t="shared" si="2"/>
        <v>0.37782340862422997</v>
      </c>
      <c r="V18" s="70">
        <f t="shared" si="3"/>
        <v>0.14275052810443187</v>
      </c>
      <c r="W18" s="70" t="s">
        <v>5746</v>
      </c>
      <c r="X18" s="70" t="s">
        <v>5747</v>
      </c>
      <c r="Y18" s="70" t="s">
        <v>3999</v>
      </c>
      <c r="Z18" s="70" t="s">
        <v>5682</v>
      </c>
      <c r="AA18" s="70"/>
      <c r="AB18" s="70" t="s">
        <v>5748</v>
      </c>
      <c r="AC18" s="70" t="s">
        <v>5749</v>
      </c>
    </row>
    <row r="19" spans="1:29" ht="29" customHeight="1" x14ac:dyDescent="0.2">
      <c r="A19" s="71" t="s">
        <v>5750</v>
      </c>
      <c r="B19" s="71" t="s">
        <v>126</v>
      </c>
      <c r="C19" s="71" t="s">
        <v>5135</v>
      </c>
      <c r="D19" s="71" t="s">
        <v>3595</v>
      </c>
      <c r="E19" s="71" t="s">
        <v>5137</v>
      </c>
      <c r="F19" s="71" t="s">
        <v>5136</v>
      </c>
      <c r="G19" s="71" t="s">
        <v>5751</v>
      </c>
      <c r="H19" s="71" t="s">
        <v>5675</v>
      </c>
      <c r="I19" s="71" t="s">
        <v>5696</v>
      </c>
      <c r="J19" s="71" t="s">
        <v>5697</v>
      </c>
      <c r="K19" s="71"/>
      <c r="L19" s="73"/>
      <c r="M19" s="71" t="s">
        <v>5752</v>
      </c>
      <c r="N19" s="73">
        <v>45328</v>
      </c>
      <c r="O19" s="71" t="s">
        <v>5753</v>
      </c>
      <c r="P19" s="73">
        <v>45474</v>
      </c>
      <c r="Q19" s="71" t="s">
        <v>4364</v>
      </c>
      <c r="R19" s="73">
        <v>45829</v>
      </c>
      <c r="S19" s="71">
        <f t="shared" si="0"/>
        <v>355</v>
      </c>
      <c r="T19" s="71">
        <f t="shared" si="1"/>
        <v>501</v>
      </c>
      <c r="U19" s="71">
        <f t="shared" si="2"/>
        <v>0.97193702943189597</v>
      </c>
      <c r="V19" s="71">
        <f t="shared" si="3"/>
        <v>0.94466158918089826</v>
      </c>
      <c r="W19" s="71" t="s">
        <v>5754</v>
      </c>
      <c r="X19" s="71" t="s">
        <v>5701</v>
      </c>
      <c r="Y19" s="71" t="s">
        <v>5752</v>
      </c>
      <c r="Z19" s="71" t="s">
        <v>5682</v>
      </c>
      <c r="AA19" s="71"/>
      <c r="AB19" s="71" t="s">
        <v>5748</v>
      </c>
      <c r="AC19" s="71" t="s">
        <v>5755</v>
      </c>
    </row>
    <row r="20" spans="1:29" ht="43.5" customHeight="1" x14ac:dyDescent="0.2">
      <c r="A20" s="70" t="s">
        <v>5756</v>
      </c>
      <c r="B20" s="70" t="s">
        <v>126</v>
      </c>
      <c r="C20" s="70" t="s">
        <v>5138</v>
      </c>
      <c r="D20" s="70" t="s">
        <v>3595</v>
      </c>
      <c r="E20" s="70" t="s">
        <v>5140</v>
      </c>
      <c r="F20" s="70" t="s">
        <v>5139</v>
      </c>
      <c r="G20" s="70" t="s">
        <v>5757</v>
      </c>
      <c r="H20" s="70" t="s">
        <v>5675</v>
      </c>
      <c r="I20" s="70" t="s">
        <v>5696</v>
      </c>
      <c r="J20" s="70" t="s">
        <v>5758</v>
      </c>
      <c r="K20" s="70"/>
      <c r="L20" s="72"/>
      <c r="M20" s="70"/>
      <c r="N20" s="72"/>
      <c r="O20" s="70" t="s">
        <v>5759</v>
      </c>
      <c r="P20" s="72">
        <v>45203</v>
      </c>
      <c r="Q20" s="70" t="s">
        <v>4364</v>
      </c>
      <c r="R20" s="72">
        <v>45829</v>
      </c>
      <c r="S20" s="70">
        <f t="shared" si="0"/>
        <v>626</v>
      </c>
      <c r="T20" s="70" t="str">
        <f t="shared" si="1"/>
        <v/>
      </c>
      <c r="U20" s="70">
        <f t="shared" si="2"/>
        <v>1.7138945927446954</v>
      </c>
      <c r="V20" s="70">
        <f t="shared" si="3"/>
        <v>2.9374346750395053</v>
      </c>
      <c r="W20" s="70" t="s">
        <v>5760</v>
      </c>
      <c r="X20" s="70" t="s">
        <v>5761</v>
      </c>
      <c r="Y20" s="70" t="s">
        <v>5759</v>
      </c>
      <c r="Z20" s="70" t="s">
        <v>5682</v>
      </c>
      <c r="AA20" s="70"/>
      <c r="AB20" s="70" t="s">
        <v>5762</v>
      </c>
      <c r="AC20" s="70" t="s">
        <v>5763</v>
      </c>
    </row>
    <row r="21" spans="1:29" ht="29" customHeight="1" x14ac:dyDescent="0.2">
      <c r="A21" s="71" t="s">
        <v>5764</v>
      </c>
      <c r="B21" s="71" t="s">
        <v>126</v>
      </c>
      <c r="C21" s="71" t="s">
        <v>5143</v>
      </c>
      <c r="D21" s="71" t="s">
        <v>3595</v>
      </c>
      <c r="E21" s="71" t="s">
        <v>5145</v>
      </c>
      <c r="F21" s="71" t="s">
        <v>5144</v>
      </c>
      <c r="G21" s="71" t="s">
        <v>5765</v>
      </c>
      <c r="H21" s="71" t="s">
        <v>5675</v>
      </c>
      <c r="I21" s="71" t="s">
        <v>5676</v>
      </c>
      <c r="J21" s="71" t="s">
        <v>5677</v>
      </c>
      <c r="K21" s="71" t="s">
        <v>3687</v>
      </c>
      <c r="L21" s="73">
        <v>45796</v>
      </c>
      <c r="M21" s="71" t="s">
        <v>3687</v>
      </c>
      <c r="N21" s="73">
        <v>45796</v>
      </c>
      <c r="O21" s="71" t="s">
        <v>3687</v>
      </c>
      <c r="P21" s="73">
        <v>45796</v>
      </c>
      <c r="Q21" s="71" t="s">
        <v>4364</v>
      </c>
      <c r="R21" s="73">
        <v>45829</v>
      </c>
      <c r="S21" s="71">
        <f t="shared" si="0"/>
        <v>33</v>
      </c>
      <c r="T21" s="71">
        <f t="shared" si="1"/>
        <v>33</v>
      </c>
      <c r="U21" s="71">
        <f t="shared" si="2"/>
        <v>9.034907597535935E-2</v>
      </c>
      <c r="V21" s="71">
        <f t="shared" si="3"/>
        <v>8.1629555296012565E-3</v>
      </c>
      <c r="W21" s="71" t="s">
        <v>5679</v>
      </c>
      <c r="X21" s="71" t="s">
        <v>5680</v>
      </c>
      <c r="Y21" s="71" t="s">
        <v>3687</v>
      </c>
      <c r="Z21" s="71" t="s">
        <v>5682</v>
      </c>
      <c r="AA21" s="71"/>
      <c r="AB21" s="71" t="s">
        <v>5748</v>
      </c>
      <c r="AC21" s="71" t="s">
        <v>5766</v>
      </c>
    </row>
    <row r="22" spans="1:29" ht="29" customHeight="1" x14ac:dyDescent="0.2">
      <c r="A22" s="70" t="s">
        <v>5767</v>
      </c>
      <c r="B22" s="70" t="s">
        <v>126</v>
      </c>
      <c r="C22" s="70" t="s">
        <v>5143</v>
      </c>
      <c r="D22" s="70" t="s">
        <v>5686</v>
      </c>
      <c r="E22" s="70" t="s">
        <v>5145</v>
      </c>
      <c r="F22" s="70" t="s">
        <v>5144</v>
      </c>
      <c r="G22" s="70" t="s">
        <v>5765</v>
      </c>
      <c r="H22" s="70" t="s">
        <v>5675</v>
      </c>
      <c r="I22" s="70" t="s">
        <v>5096</v>
      </c>
      <c r="J22" s="70" t="s">
        <v>5677</v>
      </c>
      <c r="K22" s="70" t="s">
        <v>3687</v>
      </c>
      <c r="L22" s="72">
        <v>45796</v>
      </c>
      <c r="M22" s="70" t="s">
        <v>3687</v>
      </c>
      <c r="N22" s="72">
        <v>45796</v>
      </c>
      <c r="O22" s="70" t="s">
        <v>3687</v>
      </c>
      <c r="P22" s="72">
        <v>45796</v>
      </c>
      <c r="Q22" s="70" t="s">
        <v>4364</v>
      </c>
      <c r="R22" s="72">
        <v>45829</v>
      </c>
      <c r="S22" s="70">
        <f t="shared" si="0"/>
        <v>33</v>
      </c>
      <c r="T22" s="70">
        <f t="shared" si="1"/>
        <v>33</v>
      </c>
      <c r="U22" s="70">
        <f t="shared" si="2"/>
        <v>9.034907597535935E-2</v>
      </c>
      <c r="V22" s="70">
        <f t="shared" si="3"/>
        <v>8.1629555296012565E-3</v>
      </c>
      <c r="W22" s="70" t="s">
        <v>5679</v>
      </c>
      <c r="X22" s="70" t="s">
        <v>5687</v>
      </c>
      <c r="Y22" s="70"/>
      <c r="Z22" s="70"/>
      <c r="AA22" s="70"/>
      <c r="AB22" s="70"/>
      <c r="AC22" s="70"/>
    </row>
    <row r="23" spans="1:29" ht="43.5" customHeight="1" x14ac:dyDescent="0.2">
      <c r="A23" s="71" t="s">
        <v>5768</v>
      </c>
      <c r="B23" s="71" t="s">
        <v>126</v>
      </c>
      <c r="C23" s="71" t="s">
        <v>5146</v>
      </c>
      <c r="D23" s="71" t="s">
        <v>3595</v>
      </c>
      <c r="E23" s="71" t="s">
        <v>5148</v>
      </c>
      <c r="F23" s="71" t="s">
        <v>5147</v>
      </c>
      <c r="G23" s="71" t="s">
        <v>5769</v>
      </c>
      <c r="H23" s="71" t="s">
        <v>5675</v>
      </c>
      <c r="I23" s="71" t="s">
        <v>5690</v>
      </c>
      <c r="J23" s="71" t="s">
        <v>5677</v>
      </c>
      <c r="K23" s="71" t="s">
        <v>5770</v>
      </c>
      <c r="L23" s="73">
        <v>45628</v>
      </c>
      <c r="M23" s="71" t="s">
        <v>5770</v>
      </c>
      <c r="N23" s="73">
        <v>45628</v>
      </c>
      <c r="O23" s="71" t="s">
        <v>5770</v>
      </c>
      <c r="P23" s="73">
        <v>45628</v>
      </c>
      <c r="Q23" s="71" t="s">
        <v>4364</v>
      </c>
      <c r="R23" s="73">
        <v>45829</v>
      </c>
      <c r="S23" s="71">
        <f t="shared" si="0"/>
        <v>201</v>
      </c>
      <c r="T23" s="71">
        <f t="shared" si="1"/>
        <v>201</v>
      </c>
      <c r="U23" s="71">
        <f t="shared" si="2"/>
        <v>0.55030800821355241</v>
      </c>
      <c r="V23" s="71">
        <f t="shared" si="3"/>
        <v>0.30283890390396728</v>
      </c>
      <c r="W23" s="71" t="s">
        <v>5679</v>
      </c>
      <c r="X23" s="71" t="s">
        <v>5680</v>
      </c>
      <c r="Y23" s="71" t="s">
        <v>5771</v>
      </c>
      <c r="Z23" s="71" t="s">
        <v>5682</v>
      </c>
      <c r="AA23" s="71"/>
      <c r="AB23" s="71" t="s">
        <v>5762</v>
      </c>
      <c r="AC23" s="71" t="s">
        <v>5772</v>
      </c>
    </row>
    <row r="24" spans="1:29" ht="29" customHeight="1" x14ac:dyDescent="0.2">
      <c r="A24" s="70" t="s">
        <v>5773</v>
      </c>
      <c r="B24" s="70" t="s">
        <v>126</v>
      </c>
      <c r="C24" s="70"/>
      <c r="D24" s="70" t="s">
        <v>5717</v>
      </c>
      <c r="E24" s="70" t="s">
        <v>5148</v>
      </c>
      <c r="F24" s="70"/>
      <c r="G24" s="70" t="s">
        <v>5769</v>
      </c>
      <c r="H24" s="70" t="s">
        <v>5675</v>
      </c>
      <c r="I24" s="70" t="s">
        <v>5091</v>
      </c>
      <c r="J24" s="70" t="s">
        <v>5677</v>
      </c>
      <c r="K24" s="70" t="s">
        <v>5770</v>
      </c>
      <c r="L24" s="72">
        <v>45628</v>
      </c>
      <c r="M24" s="70" t="s">
        <v>5770</v>
      </c>
      <c r="N24" s="72">
        <v>45628</v>
      </c>
      <c r="O24" s="70" t="s">
        <v>5770</v>
      </c>
      <c r="P24" s="72">
        <v>45628</v>
      </c>
      <c r="Q24" s="70" t="s">
        <v>4364</v>
      </c>
      <c r="R24" s="72">
        <v>45829</v>
      </c>
      <c r="S24" s="70">
        <f t="shared" si="0"/>
        <v>201</v>
      </c>
      <c r="T24" s="70">
        <f t="shared" si="1"/>
        <v>201</v>
      </c>
      <c r="U24" s="70">
        <f t="shared" si="2"/>
        <v>0.55030800821355241</v>
      </c>
      <c r="V24" s="70">
        <f t="shared" si="3"/>
        <v>0.30283890390396728</v>
      </c>
      <c r="W24" s="70" t="s">
        <v>5679</v>
      </c>
      <c r="X24" s="70" t="s">
        <v>5728</v>
      </c>
      <c r="Y24" s="70"/>
      <c r="Z24" s="70"/>
      <c r="AA24" s="70"/>
      <c r="AB24" s="70" t="s">
        <v>5111</v>
      </c>
      <c r="AC24" s="70"/>
    </row>
    <row r="25" spans="1:29" ht="29" customHeight="1" x14ac:dyDescent="0.2">
      <c r="A25" s="71" t="s">
        <v>5774</v>
      </c>
      <c r="B25" s="71" t="s">
        <v>131</v>
      </c>
      <c r="C25" s="71" t="s">
        <v>5149</v>
      </c>
      <c r="D25" s="71" t="s">
        <v>3595</v>
      </c>
      <c r="E25" s="71" t="s">
        <v>5150</v>
      </c>
      <c r="F25" s="71" t="s">
        <v>2842</v>
      </c>
      <c r="G25" s="71" t="s">
        <v>5775</v>
      </c>
      <c r="H25" s="71" t="s">
        <v>5675</v>
      </c>
      <c r="I25" s="71" t="s">
        <v>5696</v>
      </c>
      <c r="J25" s="71" t="s">
        <v>5677</v>
      </c>
      <c r="K25" s="71" t="s">
        <v>3105</v>
      </c>
      <c r="L25" s="73">
        <v>45697</v>
      </c>
      <c r="M25" s="71" t="s">
        <v>3105</v>
      </c>
      <c r="N25" s="73">
        <v>45697</v>
      </c>
      <c r="O25" s="71" t="s">
        <v>3105</v>
      </c>
      <c r="P25" s="73">
        <v>45697</v>
      </c>
      <c r="Q25" s="71" t="s">
        <v>1859</v>
      </c>
      <c r="R25" s="73">
        <v>46101</v>
      </c>
      <c r="S25" s="71">
        <f t="shared" si="0"/>
        <v>404</v>
      </c>
      <c r="T25" s="71">
        <f t="shared" si="1"/>
        <v>404</v>
      </c>
      <c r="U25" s="71">
        <f t="shared" si="2"/>
        <v>1.106091718001369</v>
      </c>
      <c r="V25" s="71">
        <f t="shared" si="3"/>
        <v>1.22343888863122</v>
      </c>
      <c r="W25" s="71" t="s">
        <v>5679</v>
      </c>
      <c r="X25" s="71" t="s">
        <v>5680</v>
      </c>
      <c r="Y25" s="71" t="s">
        <v>5776</v>
      </c>
      <c r="Z25" s="71" t="s">
        <v>5682</v>
      </c>
      <c r="AA25" s="71"/>
      <c r="AB25" s="71" t="s">
        <v>5777</v>
      </c>
      <c r="AC25" s="71" t="s">
        <v>5778</v>
      </c>
    </row>
    <row r="26" spans="1:29" ht="29" customHeight="1" x14ac:dyDescent="0.2">
      <c r="A26" s="70" t="s">
        <v>5779</v>
      </c>
      <c r="B26" s="70" t="s">
        <v>131</v>
      </c>
      <c r="C26" s="70" t="s">
        <v>5152</v>
      </c>
      <c r="D26" s="70" t="s">
        <v>3595</v>
      </c>
      <c r="E26" s="70" t="s">
        <v>2879</v>
      </c>
      <c r="F26" s="70" t="s">
        <v>5153</v>
      </c>
      <c r="G26" s="70" t="s">
        <v>5780</v>
      </c>
      <c r="H26" s="70" t="s">
        <v>5675</v>
      </c>
      <c r="I26" s="70" t="s">
        <v>5706</v>
      </c>
      <c r="J26" s="70" t="s">
        <v>5677</v>
      </c>
      <c r="K26" s="70" t="s">
        <v>3105</v>
      </c>
      <c r="L26" s="72">
        <v>45697</v>
      </c>
      <c r="M26" s="70" t="s">
        <v>3105</v>
      </c>
      <c r="N26" s="72">
        <v>45697</v>
      </c>
      <c r="O26" s="70" t="s">
        <v>3105</v>
      </c>
      <c r="P26" s="72">
        <v>45697</v>
      </c>
      <c r="Q26" s="70" t="s">
        <v>1859</v>
      </c>
      <c r="R26" s="72">
        <v>46101</v>
      </c>
      <c r="S26" s="70">
        <f t="shared" si="0"/>
        <v>404</v>
      </c>
      <c r="T26" s="70">
        <f t="shared" si="1"/>
        <v>404</v>
      </c>
      <c r="U26" s="70">
        <f t="shared" si="2"/>
        <v>1.106091718001369</v>
      </c>
      <c r="V26" s="70">
        <f t="shared" si="3"/>
        <v>1.22343888863122</v>
      </c>
      <c r="W26" s="70" t="s">
        <v>5679</v>
      </c>
      <c r="X26" s="70" t="s">
        <v>5680</v>
      </c>
      <c r="Y26" s="70" t="s">
        <v>5776</v>
      </c>
      <c r="Z26" s="70" t="s">
        <v>5682</v>
      </c>
      <c r="AA26" s="70"/>
      <c r="AB26" s="70" t="s">
        <v>5777</v>
      </c>
      <c r="AC26" s="70" t="s">
        <v>5778</v>
      </c>
    </row>
    <row r="27" spans="1:29" ht="29" customHeight="1" x14ac:dyDescent="0.2">
      <c r="A27" s="71" t="s">
        <v>5781</v>
      </c>
      <c r="B27" s="71" t="s">
        <v>131</v>
      </c>
      <c r="C27" s="71" t="s">
        <v>5154</v>
      </c>
      <c r="D27" s="71" t="s">
        <v>3595</v>
      </c>
      <c r="E27" s="71" t="s">
        <v>2883</v>
      </c>
      <c r="F27" s="71" t="s">
        <v>5155</v>
      </c>
      <c r="G27" s="71" t="s">
        <v>5782</v>
      </c>
      <c r="H27" s="71" t="s">
        <v>5675</v>
      </c>
      <c r="I27" s="71" t="s">
        <v>5696</v>
      </c>
      <c r="J27" s="71" t="s">
        <v>5677</v>
      </c>
      <c r="K27" s="71" t="s">
        <v>2885</v>
      </c>
      <c r="L27" s="73">
        <v>45941</v>
      </c>
      <c r="M27" s="71" t="s">
        <v>2885</v>
      </c>
      <c r="N27" s="73">
        <v>45941</v>
      </c>
      <c r="O27" s="71" t="s">
        <v>2885</v>
      </c>
      <c r="P27" s="73">
        <v>45941</v>
      </c>
      <c r="Q27" s="71" t="s">
        <v>1859</v>
      </c>
      <c r="R27" s="73">
        <v>46101</v>
      </c>
      <c r="S27" s="71">
        <f t="shared" si="0"/>
        <v>160</v>
      </c>
      <c r="T27" s="71">
        <f t="shared" si="1"/>
        <v>160</v>
      </c>
      <c r="U27" s="71">
        <f t="shared" si="2"/>
        <v>0.43805612594113619</v>
      </c>
      <c r="V27" s="71">
        <f t="shared" si="3"/>
        <v>0.19189316947455656</v>
      </c>
      <c r="W27" s="71" t="s">
        <v>5679</v>
      </c>
      <c r="X27" s="71" t="s">
        <v>5680</v>
      </c>
      <c r="Y27" s="71" t="s">
        <v>2885</v>
      </c>
      <c r="Z27" s="71" t="s">
        <v>5682</v>
      </c>
      <c r="AA27" s="71"/>
      <c r="AB27" s="71" t="s">
        <v>5777</v>
      </c>
      <c r="AC27" s="71" t="s">
        <v>5783</v>
      </c>
    </row>
    <row r="28" spans="1:29" ht="29" customHeight="1" x14ac:dyDescent="0.2">
      <c r="A28" s="70" t="s">
        <v>5784</v>
      </c>
      <c r="B28" s="70" t="s">
        <v>131</v>
      </c>
      <c r="C28" s="70" t="s">
        <v>5156</v>
      </c>
      <c r="D28" s="70" t="s">
        <v>3595</v>
      </c>
      <c r="E28" s="70" t="s">
        <v>132</v>
      </c>
      <c r="F28" s="70" t="s">
        <v>5157</v>
      </c>
      <c r="G28" s="70" t="s">
        <v>5785</v>
      </c>
      <c r="H28" s="70" t="s">
        <v>5675</v>
      </c>
      <c r="I28" s="70" t="s">
        <v>5676</v>
      </c>
      <c r="J28" s="70" t="s">
        <v>5677</v>
      </c>
      <c r="K28" s="70" t="s">
        <v>3105</v>
      </c>
      <c r="L28" s="72">
        <v>45697</v>
      </c>
      <c r="M28" s="70" t="s">
        <v>3105</v>
      </c>
      <c r="N28" s="72">
        <v>45697</v>
      </c>
      <c r="O28" s="70" t="s">
        <v>3105</v>
      </c>
      <c r="P28" s="72">
        <v>45697</v>
      </c>
      <c r="Q28" s="70" t="s">
        <v>1859</v>
      </c>
      <c r="R28" s="72">
        <v>46101</v>
      </c>
      <c r="S28" s="70">
        <f t="shared" si="0"/>
        <v>404</v>
      </c>
      <c r="T28" s="70">
        <f t="shared" si="1"/>
        <v>404</v>
      </c>
      <c r="U28" s="70">
        <f t="shared" si="2"/>
        <v>1.106091718001369</v>
      </c>
      <c r="V28" s="70">
        <f t="shared" si="3"/>
        <v>1.22343888863122</v>
      </c>
      <c r="W28" s="70" t="s">
        <v>5679</v>
      </c>
      <c r="X28" s="70" t="s">
        <v>5680</v>
      </c>
      <c r="Y28" s="70" t="s">
        <v>5776</v>
      </c>
      <c r="Z28" s="70" t="s">
        <v>5682</v>
      </c>
      <c r="AA28" s="70"/>
      <c r="AB28" s="70" t="s">
        <v>5777</v>
      </c>
      <c r="AC28" s="70" t="s">
        <v>5778</v>
      </c>
    </row>
    <row r="29" spans="1:29" ht="29" customHeight="1" x14ac:dyDescent="0.2">
      <c r="A29" s="71" t="s">
        <v>5786</v>
      </c>
      <c r="B29" s="71" t="s">
        <v>131</v>
      </c>
      <c r="C29" s="71" t="s">
        <v>5156</v>
      </c>
      <c r="D29" s="71" t="s">
        <v>5686</v>
      </c>
      <c r="E29" s="71" t="s">
        <v>132</v>
      </c>
      <c r="F29" s="71" t="s">
        <v>5157</v>
      </c>
      <c r="G29" s="71" t="s">
        <v>5785</v>
      </c>
      <c r="H29" s="71" t="s">
        <v>5675</v>
      </c>
      <c r="I29" s="71" t="s">
        <v>5096</v>
      </c>
      <c r="J29" s="71" t="s">
        <v>5677</v>
      </c>
      <c r="K29" s="71" t="s">
        <v>3105</v>
      </c>
      <c r="L29" s="73">
        <v>45697</v>
      </c>
      <c r="M29" s="71" t="s">
        <v>3105</v>
      </c>
      <c r="N29" s="73">
        <v>45697</v>
      </c>
      <c r="O29" s="71" t="s">
        <v>3105</v>
      </c>
      <c r="P29" s="73">
        <v>45697</v>
      </c>
      <c r="Q29" s="71" t="s">
        <v>1859</v>
      </c>
      <c r="R29" s="73">
        <v>46101</v>
      </c>
      <c r="S29" s="71">
        <f t="shared" si="0"/>
        <v>404</v>
      </c>
      <c r="T29" s="71">
        <f t="shared" si="1"/>
        <v>404</v>
      </c>
      <c r="U29" s="71">
        <f t="shared" si="2"/>
        <v>1.106091718001369</v>
      </c>
      <c r="V29" s="71">
        <f t="shared" si="3"/>
        <v>1.22343888863122</v>
      </c>
      <c r="W29" s="71" t="s">
        <v>5679</v>
      </c>
      <c r="X29" s="71" t="s">
        <v>5687</v>
      </c>
      <c r="Y29" s="71"/>
      <c r="Z29" s="71"/>
      <c r="AA29" s="71"/>
      <c r="AB29" s="71"/>
      <c r="AC29" s="71"/>
    </row>
    <row r="30" spans="1:29" ht="29" customHeight="1" x14ac:dyDescent="0.2">
      <c r="A30" s="70" t="s">
        <v>5787</v>
      </c>
      <c r="B30" s="70" t="s">
        <v>131</v>
      </c>
      <c r="C30" s="70" t="s">
        <v>5158</v>
      </c>
      <c r="D30" s="70" t="s">
        <v>3595</v>
      </c>
      <c r="E30" s="70" t="s">
        <v>5159</v>
      </c>
      <c r="F30" s="70" t="s">
        <v>2890</v>
      </c>
      <c r="G30" s="70" t="s">
        <v>5788</v>
      </c>
      <c r="H30" s="70" t="s">
        <v>5675</v>
      </c>
      <c r="I30" s="70" t="s">
        <v>5690</v>
      </c>
      <c r="J30" s="70" t="s">
        <v>5677</v>
      </c>
      <c r="K30" s="70" t="s">
        <v>5789</v>
      </c>
      <c r="L30" s="72">
        <v>44985</v>
      </c>
      <c r="M30" s="70" t="s">
        <v>5789</v>
      </c>
      <c r="N30" s="72">
        <v>44985</v>
      </c>
      <c r="O30" s="70" t="s">
        <v>5789</v>
      </c>
      <c r="P30" s="72">
        <v>44985</v>
      </c>
      <c r="Q30" s="70" t="s">
        <v>1859</v>
      </c>
      <c r="R30" s="72">
        <v>46101</v>
      </c>
      <c r="S30" s="70">
        <f t="shared" si="0"/>
        <v>1116</v>
      </c>
      <c r="T30" s="70">
        <f t="shared" si="1"/>
        <v>1116</v>
      </c>
      <c r="U30" s="70">
        <f t="shared" si="2"/>
        <v>3.055441478439425</v>
      </c>
      <c r="V30" s="70">
        <f t="shared" si="3"/>
        <v>9.3357226281680994</v>
      </c>
      <c r="W30" s="70" t="s">
        <v>5679</v>
      </c>
      <c r="X30" s="70" t="s">
        <v>5728</v>
      </c>
      <c r="Y30" s="70"/>
      <c r="Z30" s="70"/>
      <c r="AA30" s="70"/>
      <c r="AB30" s="70" t="s">
        <v>5777</v>
      </c>
      <c r="AC30" s="70"/>
    </row>
    <row r="31" spans="1:29" ht="29" customHeight="1" x14ac:dyDescent="0.2">
      <c r="A31" s="71" t="s">
        <v>5790</v>
      </c>
      <c r="B31" s="71" t="s">
        <v>131</v>
      </c>
      <c r="C31" s="71"/>
      <c r="D31" s="71" t="s">
        <v>5717</v>
      </c>
      <c r="E31" s="71" t="s">
        <v>2879</v>
      </c>
      <c r="F31" s="71"/>
      <c r="G31" s="71" t="s">
        <v>5780</v>
      </c>
      <c r="H31" s="71" t="s">
        <v>5675</v>
      </c>
      <c r="I31" s="71" t="s">
        <v>5091</v>
      </c>
      <c r="J31" s="71" t="s">
        <v>5677</v>
      </c>
      <c r="K31" s="71" t="s">
        <v>3105</v>
      </c>
      <c r="L31" s="73">
        <v>45697</v>
      </c>
      <c r="M31" s="71" t="s">
        <v>3105</v>
      </c>
      <c r="N31" s="73">
        <v>45697</v>
      </c>
      <c r="O31" s="71" t="s">
        <v>3105</v>
      </c>
      <c r="P31" s="73">
        <v>45697</v>
      </c>
      <c r="Q31" s="71" t="s">
        <v>1859</v>
      </c>
      <c r="R31" s="73">
        <v>46101</v>
      </c>
      <c r="S31" s="71">
        <f t="shared" si="0"/>
        <v>404</v>
      </c>
      <c r="T31" s="71">
        <f t="shared" si="1"/>
        <v>404</v>
      </c>
      <c r="U31" s="71">
        <f t="shared" si="2"/>
        <v>1.106091718001369</v>
      </c>
      <c r="V31" s="71">
        <f t="shared" si="3"/>
        <v>1.22343888863122</v>
      </c>
      <c r="W31" s="71" t="s">
        <v>5679</v>
      </c>
      <c r="X31" s="71" t="s">
        <v>5728</v>
      </c>
      <c r="Y31" s="71"/>
      <c r="Z31" s="71"/>
      <c r="AA31" s="71"/>
      <c r="AB31" s="71" t="s">
        <v>5111</v>
      </c>
      <c r="AC31" s="71"/>
    </row>
    <row r="32" spans="1:29" ht="29" customHeight="1" x14ac:dyDescent="0.2">
      <c r="A32" s="70" t="s">
        <v>5791</v>
      </c>
      <c r="B32" s="70" t="s">
        <v>135</v>
      </c>
      <c r="C32" s="70" t="s">
        <v>5160</v>
      </c>
      <c r="D32" s="70" t="s">
        <v>3595</v>
      </c>
      <c r="E32" s="70" t="s">
        <v>191</v>
      </c>
      <c r="F32" s="70" t="s">
        <v>2895</v>
      </c>
      <c r="G32" s="70" t="s">
        <v>5792</v>
      </c>
      <c r="H32" s="70" t="s">
        <v>5675</v>
      </c>
      <c r="I32" s="70" t="s">
        <v>5690</v>
      </c>
      <c r="J32" s="70" t="s">
        <v>5793</v>
      </c>
      <c r="K32" s="70"/>
      <c r="L32" s="72"/>
      <c r="M32" s="70"/>
      <c r="N32" s="72"/>
      <c r="O32" s="70" t="s">
        <v>5794</v>
      </c>
      <c r="P32" s="72">
        <v>44669</v>
      </c>
      <c r="Q32" s="70" t="s">
        <v>1859</v>
      </c>
      <c r="R32" s="72">
        <v>46101</v>
      </c>
      <c r="S32" s="70">
        <f t="shared" si="0"/>
        <v>1432</v>
      </c>
      <c r="T32" s="70" t="str">
        <f t="shared" si="1"/>
        <v/>
      </c>
      <c r="U32" s="70">
        <f t="shared" si="2"/>
        <v>3.9206023271731691</v>
      </c>
      <c r="V32" s="70">
        <f t="shared" si="3"/>
        <v>15.37112260783567</v>
      </c>
      <c r="W32" s="70" t="s">
        <v>5795</v>
      </c>
      <c r="X32" s="70" t="s">
        <v>5728</v>
      </c>
      <c r="Y32" s="70" t="s">
        <v>5796</v>
      </c>
      <c r="Z32" s="70" t="s">
        <v>5797</v>
      </c>
      <c r="AA32" s="70"/>
      <c r="AB32" s="70" t="s">
        <v>5798</v>
      </c>
      <c r="AC32" s="70"/>
    </row>
    <row r="33" spans="1:29" ht="29" customHeight="1" x14ac:dyDescent="0.2">
      <c r="A33" s="71" t="s">
        <v>5799</v>
      </c>
      <c r="B33" s="71" t="s">
        <v>135</v>
      </c>
      <c r="C33" s="71" t="s">
        <v>5162</v>
      </c>
      <c r="D33" s="71" t="s">
        <v>3595</v>
      </c>
      <c r="E33" s="71" t="s">
        <v>5164</v>
      </c>
      <c r="F33" s="71" t="s">
        <v>5163</v>
      </c>
      <c r="G33" s="71" t="s">
        <v>5800</v>
      </c>
      <c r="H33" s="71" t="s">
        <v>5675</v>
      </c>
      <c r="I33" s="71" t="s">
        <v>5696</v>
      </c>
      <c r="J33" s="71" t="s">
        <v>5793</v>
      </c>
      <c r="K33" s="71"/>
      <c r="L33" s="73"/>
      <c r="M33" s="71"/>
      <c r="N33" s="73"/>
      <c r="O33" s="71" t="s">
        <v>5794</v>
      </c>
      <c r="P33" s="73">
        <v>44669</v>
      </c>
      <c r="Q33" s="71" t="s">
        <v>1859</v>
      </c>
      <c r="R33" s="73">
        <v>46101</v>
      </c>
      <c r="S33" s="71">
        <f t="shared" si="0"/>
        <v>1432</v>
      </c>
      <c r="T33" s="71" t="str">
        <f t="shared" si="1"/>
        <v/>
      </c>
      <c r="U33" s="71">
        <f t="shared" si="2"/>
        <v>3.9206023271731691</v>
      </c>
      <c r="V33" s="71">
        <f t="shared" si="3"/>
        <v>15.37112260783567</v>
      </c>
      <c r="W33" s="71" t="s">
        <v>5795</v>
      </c>
      <c r="X33" s="71" t="s">
        <v>5728</v>
      </c>
      <c r="Y33" s="71" t="s">
        <v>5796</v>
      </c>
      <c r="Z33" s="71" t="s">
        <v>5797</v>
      </c>
      <c r="AA33" s="71"/>
      <c r="AB33" s="71" t="s">
        <v>5798</v>
      </c>
      <c r="AC33" s="71"/>
    </row>
    <row r="34" spans="1:29" ht="29" customHeight="1" x14ac:dyDescent="0.2">
      <c r="A34" s="70" t="s">
        <v>5801</v>
      </c>
      <c r="B34" s="70" t="s">
        <v>135</v>
      </c>
      <c r="C34" s="70" t="s">
        <v>5166</v>
      </c>
      <c r="D34" s="70" t="s">
        <v>3595</v>
      </c>
      <c r="E34" s="70" t="s">
        <v>2786</v>
      </c>
      <c r="F34" s="70" t="s">
        <v>5167</v>
      </c>
      <c r="G34" s="70" t="s">
        <v>5802</v>
      </c>
      <c r="H34" s="70" t="s">
        <v>5675</v>
      </c>
      <c r="I34" s="70" t="s">
        <v>5696</v>
      </c>
      <c r="J34" s="70" t="s">
        <v>5793</v>
      </c>
      <c r="K34" s="70"/>
      <c r="L34" s="72"/>
      <c r="M34" s="70"/>
      <c r="N34" s="72"/>
      <c r="O34" s="70" t="s">
        <v>5794</v>
      </c>
      <c r="P34" s="72">
        <v>44669</v>
      </c>
      <c r="Q34" s="70" t="s">
        <v>1859</v>
      </c>
      <c r="R34" s="72">
        <v>46101</v>
      </c>
      <c r="S34" s="70">
        <f t="shared" si="0"/>
        <v>1432</v>
      </c>
      <c r="T34" s="70" t="str">
        <f t="shared" si="1"/>
        <v/>
      </c>
      <c r="U34" s="70">
        <f t="shared" si="2"/>
        <v>3.9206023271731691</v>
      </c>
      <c r="V34" s="70">
        <f t="shared" si="3"/>
        <v>15.37112260783567</v>
      </c>
      <c r="W34" s="70" t="s">
        <v>5795</v>
      </c>
      <c r="X34" s="70" t="s">
        <v>5728</v>
      </c>
      <c r="Y34" s="70" t="s">
        <v>5796</v>
      </c>
      <c r="Z34" s="70" t="s">
        <v>5797</v>
      </c>
      <c r="AA34" s="70"/>
      <c r="AB34" s="70" t="s">
        <v>5798</v>
      </c>
      <c r="AC34" s="70"/>
    </row>
    <row r="35" spans="1:29" ht="29" customHeight="1" x14ac:dyDescent="0.2">
      <c r="A35" s="71" t="s">
        <v>5803</v>
      </c>
      <c r="B35" s="71" t="s">
        <v>135</v>
      </c>
      <c r="C35" s="71" t="s">
        <v>5169</v>
      </c>
      <c r="D35" s="71" t="s">
        <v>3595</v>
      </c>
      <c r="E35" s="71" t="s">
        <v>5171</v>
      </c>
      <c r="F35" s="71" t="s">
        <v>5170</v>
      </c>
      <c r="G35" s="71" t="s">
        <v>5804</v>
      </c>
      <c r="H35" s="71" t="s">
        <v>5675</v>
      </c>
      <c r="I35" s="71" t="s">
        <v>5696</v>
      </c>
      <c r="J35" s="71" t="s">
        <v>5677</v>
      </c>
      <c r="K35" s="71" t="s">
        <v>5805</v>
      </c>
      <c r="L35" s="73">
        <v>45980</v>
      </c>
      <c r="M35" s="71" t="s">
        <v>5805</v>
      </c>
      <c r="N35" s="73">
        <v>45980</v>
      </c>
      <c r="O35" s="71" t="s">
        <v>5805</v>
      </c>
      <c r="P35" s="73">
        <v>45980</v>
      </c>
      <c r="Q35" s="71" t="s">
        <v>1859</v>
      </c>
      <c r="R35" s="73">
        <v>46101</v>
      </c>
      <c r="S35" s="71">
        <f t="shared" si="0"/>
        <v>121</v>
      </c>
      <c r="T35" s="71">
        <f t="shared" si="1"/>
        <v>121</v>
      </c>
      <c r="U35" s="71">
        <f t="shared" si="2"/>
        <v>0.33127994524298426</v>
      </c>
      <c r="V35" s="71">
        <f t="shared" si="3"/>
        <v>0.10974640212019465</v>
      </c>
      <c r="W35" s="71" t="s">
        <v>5679</v>
      </c>
      <c r="X35" s="71" t="s">
        <v>5728</v>
      </c>
      <c r="Y35" s="71" t="s">
        <v>5805</v>
      </c>
      <c r="Z35" s="71" t="s">
        <v>5797</v>
      </c>
      <c r="AA35" s="71"/>
      <c r="AB35" s="71" t="s">
        <v>5798</v>
      </c>
      <c r="AC35" s="71"/>
    </row>
    <row r="36" spans="1:29" ht="29" customHeight="1" x14ac:dyDescent="0.2">
      <c r="A36" s="70" t="s">
        <v>5806</v>
      </c>
      <c r="B36" s="70" t="s">
        <v>135</v>
      </c>
      <c r="C36" s="70" t="s">
        <v>5173</v>
      </c>
      <c r="D36" s="70" t="s">
        <v>3595</v>
      </c>
      <c r="E36" s="70" t="s">
        <v>5175</v>
      </c>
      <c r="F36" s="70" t="s">
        <v>5174</v>
      </c>
      <c r="G36" s="70" t="s">
        <v>5807</v>
      </c>
      <c r="H36" s="70" t="s">
        <v>5675</v>
      </c>
      <c r="I36" s="70" t="s">
        <v>5676</v>
      </c>
      <c r="J36" s="70" t="s">
        <v>5677</v>
      </c>
      <c r="K36" s="70" t="s">
        <v>5808</v>
      </c>
      <c r="L36" s="72">
        <v>45952</v>
      </c>
      <c r="M36" s="70" t="s">
        <v>5808</v>
      </c>
      <c r="N36" s="72">
        <v>45952</v>
      </c>
      <c r="O36" s="70" t="s">
        <v>5808</v>
      </c>
      <c r="P36" s="72">
        <v>45952</v>
      </c>
      <c r="Q36" s="70" t="s">
        <v>1859</v>
      </c>
      <c r="R36" s="72">
        <v>46101</v>
      </c>
      <c r="S36" s="70">
        <f t="shared" si="0"/>
        <v>149</v>
      </c>
      <c r="T36" s="70">
        <f t="shared" si="1"/>
        <v>149</v>
      </c>
      <c r="U36" s="70">
        <f t="shared" si="2"/>
        <v>0.40793976728268311</v>
      </c>
      <c r="V36" s="70">
        <f t="shared" si="3"/>
        <v>0.16641485373064965</v>
      </c>
      <c r="W36" s="70" t="s">
        <v>5679</v>
      </c>
      <c r="X36" s="70" t="s">
        <v>5728</v>
      </c>
      <c r="Y36" s="70" t="s">
        <v>5808</v>
      </c>
      <c r="Z36" s="70" t="s">
        <v>5797</v>
      </c>
      <c r="AA36" s="70"/>
      <c r="AB36" s="70" t="s">
        <v>5798</v>
      </c>
      <c r="AC36" s="70"/>
    </row>
    <row r="37" spans="1:29" ht="29" customHeight="1" x14ac:dyDescent="0.2">
      <c r="A37" s="71" t="s">
        <v>5809</v>
      </c>
      <c r="B37" s="71" t="s">
        <v>135</v>
      </c>
      <c r="C37" s="71" t="s">
        <v>5173</v>
      </c>
      <c r="D37" s="71" t="s">
        <v>5686</v>
      </c>
      <c r="E37" s="71" t="s">
        <v>5175</v>
      </c>
      <c r="F37" s="71" t="s">
        <v>5174</v>
      </c>
      <c r="G37" s="71" t="s">
        <v>5807</v>
      </c>
      <c r="H37" s="71" t="s">
        <v>5675</v>
      </c>
      <c r="I37" s="71" t="s">
        <v>5096</v>
      </c>
      <c r="J37" s="71" t="s">
        <v>5677</v>
      </c>
      <c r="K37" s="71" t="s">
        <v>5808</v>
      </c>
      <c r="L37" s="73">
        <v>45952</v>
      </c>
      <c r="M37" s="71" t="s">
        <v>5808</v>
      </c>
      <c r="N37" s="73">
        <v>45952</v>
      </c>
      <c r="O37" s="71" t="s">
        <v>5808</v>
      </c>
      <c r="P37" s="73">
        <v>45952</v>
      </c>
      <c r="Q37" s="71" t="s">
        <v>1859</v>
      </c>
      <c r="R37" s="73">
        <v>46101</v>
      </c>
      <c r="S37" s="71">
        <f t="shared" si="0"/>
        <v>149</v>
      </c>
      <c r="T37" s="71">
        <f t="shared" si="1"/>
        <v>149</v>
      </c>
      <c r="U37" s="71">
        <f t="shared" si="2"/>
        <v>0.40793976728268311</v>
      </c>
      <c r="V37" s="71">
        <f t="shared" si="3"/>
        <v>0.16641485373064965</v>
      </c>
      <c r="W37" s="71" t="s">
        <v>5679</v>
      </c>
      <c r="X37" s="71" t="s">
        <v>5687</v>
      </c>
      <c r="Y37" s="71"/>
      <c r="Z37" s="71"/>
      <c r="AA37" s="71"/>
      <c r="AB37" s="71"/>
      <c r="AC37" s="71"/>
    </row>
    <row r="38" spans="1:29" ht="29" customHeight="1" x14ac:dyDescent="0.2">
      <c r="A38" s="70" t="s">
        <v>5810</v>
      </c>
      <c r="B38" s="70" t="s">
        <v>135</v>
      </c>
      <c r="C38" s="70"/>
      <c r="D38" s="70" t="s">
        <v>5717</v>
      </c>
      <c r="E38" s="70" t="s">
        <v>191</v>
      </c>
      <c r="F38" s="70"/>
      <c r="G38" s="70" t="s">
        <v>5792</v>
      </c>
      <c r="H38" s="70" t="s">
        <v>5675</v>
      </c>
      <c r="I38" s="70" t="s">
        <v>5091</v>
      </c>
      <c r="J38" s="70" t="s">
        <v>5793</v>
      </c>
      <c r="K38" s="70"/>
      <c r="L38" s="72"/>
      <c r="M38" s="70"/>
      <c r="N38" s="72"/>
      <c r="O38" s="70" t="s">
        <v>5811</v>
      </c>
      <c r="P38" s="72">
        <v>45137</v>
      </c>
      <c r="Q38" s="70" t="s">
        <v>1859</v>
      </c>
      <c r="R38" s="72">
        <v>46101</v>
      </c>
      <c r="S38" s="70">
        <f t="shared" si="0"/>
        <v>964</v>
      </c>
      <c r="T38" s="70" t="str">
        <f t="shared" si="1"/>
        <v/>
      </c>
      <c r="U38" s="70">
        <f t="shared" si="2"/>
        <v>2.6392881587953458</v>
      </c>
      <c r="V38" s="70">
        <f t="shared" si="3"/>
        <v>6.9658419851573266</v>
      </c>
      <c r="W38" s="70" t="s">
        <v>5795</v>
      </c>
      <c r="X38" s="70" t="s">
        <v>5728</v>
      </c>
      <c r="Y38" s="70"/>
      <c r="Z38" s="70"/>
      <c r="AA38" s="70"/>
      <c r="AB38" s="70" t="s">
        <v>5111</v>
      </c>
      <c r="AC38" s="70"/>
    </row>
    <row r="39" spans="1:29" ht="29" customHeight="1" x14ac:dyDescent="0.2">
      <c r="A39" s="71" t="s">
        <v>5812</v>
      </c>
      <c r="B39" s="71" t="s">
        <v>137</v>
      </c>
      <c r="C39" s="71" t="s">
        <v>5177</v>
      </c>
      <c r="D39" s="71" t="s">
        <v>3595</v>
      </c>
      <c r="E39" s="71" t="s">
        <v>5179</v>
      </c>
      <c r="F39" s="71" t="s">
        <v>5178</v>
      </c>
      <c r="G39" s="71" t="s">
        <v>5813</v>
      </c>
      <c r="H39" s="71" t="s">
        <v>5675</v>
      </c>
      <c r="I39" s="71" t="s">
        <v>5706</v>
      </c>
      <c r="J39" s="71" t="s">
        <v>5793</v>
      </c>
      <c r="K39" s="71"/>
      <c r="L39" s="73"/>
      <c r="M39" s="71"/>
      <c r="N39" s="73"/>
      <c r="O39" s="71" t="s">
        <v>5814</v>
      </c>
      <c r="P39" s="73">
        <v>44971</v>
      </c>
      <c r="Q39" s="71" t="s">
        <v>1859</v>
      </c>
      <c r="R39" s="73">
        <v>46101</v>
      </c>
      <c r="S39" s="71">
        <f t="shared" si="0"/>
        <v>1130</v>
      </c>
      <c r="T39" s="71" t="str">
        <f t="shared" si="1"/>
        <v/>
      </c>
      <c r="U39" s="71">
        <f t="shared" si="2"/>
        <v>3.0937713894592744</v>
      </c>
      <c r="V39" s="71">
        <f t="shared" si="3"/>
        <v>9.5714214102367698</v>
      </c>
      <c r="W39" s="71" t="s">
        <v>5795</v>
      </c>
      <c r="X39" s="71" t="s">
        <v>5728</v>
      </c>
      <c r="Y39" s="71"/>
      <c r="Z39" s="71"/>
      <c r="AA39" s="71"/>
      <c r="AB39" s="71" t="s">
        <v>5815</v>
      </c>
      <c r="AC39" s="71"/>
    </row>
    <row r="40" spans="1:29" ht="29" customHeight="1" x14ac:dyDescent="0.2">
      <c r="A40" s="70" t="s">
        <v>5816</v>
      </c>
      <c r="B40" s="70" t="s">
        <v>137</v>
      </c>
      <c r="C40" s="70" t="s">
        <v>5181</v>
      </c>
      <c r="D40" s="70" t="s">
        <v>3595</v>
      </c>
      <c r="E40" s="70" t="s">
        <v>5183</v>
      </c>
      <c r="F40" s="70" t="s">
        <v>5182</v>
      </c>
      <c r="G40" s="70" t="s">
        <v>5817</v>
      </c>
      <c r="H40" s="70" t="s">
        <v>5675</v>
      </c>
      <c r="I40" s="70" t="s">
        <v>5690</v>
      </c>
      <c r="J40" s="70" t="s">
        <v>5677</v>
      </c>
      <c r="K40" s="70" t="s">
        <v>5818</v>
      </c>
      <c r="L40" s="72">
        <v>45313</v>
      </c>
      <c r="M40" s="70" t="s">
        <v>5818</v>
      </c>
      <c r="N40" s="72">
        <v>45313</v>
      </c>
      <c r="O40" s="70" t="s">
        <v>5818</v>
      </c>
      <c r="P40" s="72">
        <v>45313</v>
      </c>
      <c r="Q40" s="70" t="s">
        <v>1859</v>
      </c>
      <c r="R40" s="72">
        <v>46101</v>
      </c>
      <c r="S40" s="70">
        <f t="shared" si="0"/>
        <v>788</v>
      </c>
      <c r="T40" s="70">
        <f t="shared" si="1"/>
        <v>788</v>
      </c>
      <c r="U40" s="70">
        <f t="shared" si="2"/>
        <v>2.1574264202600957</v>
      </c>
      <c r="V40" s="70">
        <f t="shared" si="3"/>
        <v>4.6544887588362913</v>
      </c>
      <c r="W40" s="70" t="s">
        <v>5679</v>
      </c>
      <c r="X40" s="70" t="s">
        <v>5728</v>
      </c>
      <c r="Y40" s="70"/>
      <c r="Z40" s="70"/>
      <c r="AA40" s="70"/>
      <c r="AB40" s="70" t="s">
        <v>5815</v>
      </c>
      <c r="AC40" s="70"/>
    </row>
    <row r="41" spans="1:29" ht="29" customHeight="1" x14ac:dyDescent="0.2">
      <c r="A41" s="71" t="s">
        <v>5819</v>
      </c>
      <c r="B41" s="71" t="s">
        <v>137</v>
      </c>
      <c r="C41" s="71" t="s">
        <v>5184</v>
      </c>
      <c r="D41" s="71" t="s">
        <v>3595</v>
      </c>
      <c r="E41" s="71" t="s">
        <v>5186</v>
      </c>
      <c r="F41" s="71" t="s">
        <v>5185</v>
      </c>
      <c r="G41" s="71" t="s">
        <v>5820</v>
      </c>
      <c r="H41" s="71" t="s">
        <v>5675</v>
      </c>
      <c r="I41" s="71" t="s">
        <v>5696</v>
      </c>
      <c r="J41" s="71" t="s">
        <v>5677</v>
      </c>
      <c r="K41" s="71" t="s">
        <v>3749</v>
      </c>
      <c r="L41" s="73">
        <v>45733</v>
      </c>
      <c r="M41" s="71" t="s">
        <v>3749</v>
      </c>
      <c r="N41" s="73">
        <v>45733</v>
      </c>
      <c r="O41" s="71" t="s">
        <v>3749</v>
      </c>
      <c r="P41" s="73">
        <v>45733</v>
      </c>
      <c r="Q41" s="71" t="s">
        <v>1859</v>
      </c>
      <c r="R41" s="73">
        <v>46101</v>
      </c>
      <c r="S41" s="71">
        <f t="shared" si="0"/>
        <v>368</v>
      </c>
      <c r="T41" s="71">
        <f t="shared" si="1"/>
        <v>368</v>
      </c>
      <c r="U41" s="71">
        <f t="shared" si="2"/>
        <v>1.0075290896646132</v>
      </c>
      <c r="V41" s="71">
        <f t="shared" si="3"/>
        <v>1.0151148665204042</v>
      </c>
      <c r="W41" s="71" t="s">
        <v>5679</v>
      </c>
      <c r="X41" s="71" t="s">
        <v>5728</v>
      </c>
      <c r="Y41" s="71"/>
      <c r="Z41" s="71"/>
      <c r="AA41" s="71"/>
      <c r="AB41" s="71" t="s">
        <v>5821</v>
      </c>
      <c r="AC41" s="71"/>
    </row>
    <row r="42" spans="1:29" ht="29" customHeight="1" x14ac:dyDescent="0.2">
      <c r="A42" s="70" t="s">
        <v>5822</v>
      </c>
      <c r="B42" s="70" t="s">
        <v>137</v>
      </c>
      <c r="C42" s="70" t="s">
        <v>5187</v>
      </c>
      <c r="D42" s="70" t="s">
        <v>3595</v>
      </c>
      <c r="E42" s="70" t="s">
        <v>3753</v>
      </c>
      <c r="F42" s="70" t="s">
        <v>5188</v>
      </c>
      <c r="G42" s="70" t="s">
        <v>5823</v>
      </c>
      <c r="H42" s="70" t="s">
        <v>5675</v>
      </c>
      <c r="I42" s="70" t="s">
        <v>5676</v>
      </c>
      <c r="J42" s="70" t="s">
        <v>5677</v>
      </c>
      <c r="K42" s="70" t="s">
        <v>3756</v>
      </c>
      <c r="L42" s="72">
        <v>45887</v>
      </c>
      <c r="M42" s="70" t="s">
        <v>3756</v>
      </c>
      <c r="N42" s="72">
        <v>45887</v>
      </c>
      <c r="O42" s="70" t="s">
        <v>3756</v>
      </c>
      <c r="P42" s="72">
        <v>45887</v>
      </c>
      <c r="Q42" s="70" t="s">
        <v>1859</v>
      </c>
      <c r="R42" s="72">
        <v>46101</v>
      </c>
      <c r="S42" s="70">
        <f t="shared" si="0"/>
        <v>214</v>
      </c>
      <c r="T42" s="70">
        <f t="shared" si="1"/>
        <v>214</v>
      </c>
      <c r="U42" s="70">
        <f t="shared" si="2"/>
        <v>0.58590006844626963</v>
      </c>
      <c r="V42" s="70">
        <f t="shared" si="3"/>
        <v>0.34327889020534341</v>
      </c>
      <c r="W42" s="70" t="s">
        <v>5679</v>
      </c>
      <c r="X42" s="70" t="s">
        <v>5728</v>
      </c>
      <c r="Y42" s="70"/>
      <c r="Z42" s="70"/>
      <c r="AA42" s="70"/>
      <c r="AB42" s="70" t="s">
        <v>5824</v>
      </c>
      <c r="AC42" s="70"/>
    </row>
    <row r="43" spans="1:29" ht="29" customHeight="1" x14ac:dyDescent="0.2">
      <c r="A43" s="71" t="s">
        <v>5825</v>
      </c>
      <c r="B43" s="71" t="s">
        <v>137</v>
      </c>
      <c r="C43" s="71" t="s">
        <v>5187</v>
      </c>
      <c r="D43" s="71" t="s">
        <v>5686</v>
      </c>
      <c r="E43" s="71" t="s">
        <v>3753</v>
      </c>
      <c r="F43" s="71" t="s">
        <v>5188</v>
      </c>
      <c r="G43" s="71" t="s">
        <v>5823</v>
      </c>
      <c r="H43" s="71" t="s">
        <v>5675</v>
      </c>
      <c r="I43" s="71" t="s">
        <v>5096</v>
      </c>
      <c r="J43" s="71" t="s">
        <v>5677</v>
      </c>
      <c r="K43" s="71" t="s">
        <v>3756</v>
      </c>
      <c r="L43" s="73">
        <v>45887</v>
      </c>
      <c r="M43" s="71" t="s">
        <v>3756</v>
      </c>
      <c r="N43" s="73">
        <v>45887</v>
      </c>
      <c r="O43" s="71" t="s">
        <v>3756</v>
      </c>
      <c r="P43" s="73">
        <v>45887</v>
      </c>
      <c r="Q43" s="71" t="s">
        <v>1859</v>
      </c>
      <c r="R43" s="73">
        <v>46101</v>
      </c>
      <c r="S43" s="71">
        <f t="shared" si="0"/>
        <v>214</v>
      </c>
      <c r="T43" s="71">
        <f t="shared" si="1"/>
        <v>214</v>
      </c>
      <c r="U43" s="71">
        <f t="shared" si="2"/>
        <v>0.58590006844626963</v>
      </c>
      <c r="V43" s="71">
        <f t="shared" si="3"/>
        <v>0.34327889020534341</v>
      </c>
      <c r="W43" s="71" t="s">
        <v>5679</v>
      </c>
      <c r="X43" s="71" t="s">
        <v>5687</v>
      </c>
      <c r="Y43" s="71"/>
      <c r="Z43" s="71"/>
      <c r="AA43" s="71"/>
      <c r="AB43" s="71"/>
      <c r="AC43" s="71"/>
    </row>
    <row r="44" spans="1:29" ht="29" customHeight="1" x14ac:dyDescent="0.2">
      <c r="A44" s="70" t="s">
        <v>5826</v>
      </c>
      <c r="B44" s="70" t="s">
        <v>137</v>
      </c>
      <c r="C44" s="70" t="s">
        <v>5189</v>
      </c>
      <c r="D44" s="70" t="s">
        <v>3595</v>
      </c>
      <c r="E44" s="70" t="s">
        <v>5190</v>
      </c>
      <c r="F44" s="70" t="s">
        <v>5167</v>
      </c>
      <c r="G44" s="70" t="s">
        <v>5827</v>
      </c>
      <c r="H44" s="70" t="s">
        <v>5675</v>
      </c>
      <c r="I44" s="70" t="s">
        <v>5696</v>
      </c>
      <c r="J44" s="70" t="s">
        <v>5677</v>
      </c>
      <c r="K44" s="70" t="s">
        <v>5828</v>
      </c>
      <c r="L44" s="72">
        <v>46030</v>
      </c>
      <c r="M44" s="70" t="s">
        <v>5828</v>
      </c>
      <c r="N44" s="72">
        <v>46030</v>
      </c>
      <c r="O44" s="70" t="s">
        <v>5828</v>
      </c>
      <c r="P44" s="72">
        <v>46030</v>
      </c>
      <c r="Q44" s="70" t="s">
        <v>1859</v>
      </c>
      <c r="R44" s="72">
        <v>46101</v>
      </c>
      <c r="S44" s="70">
        <f t="shared" si="0"/>
        <v>71</v>
      </c>
      <c r="T44" s="70">
        <f t="shared" si="1"/>
        <v>71</v>
      </c>
      <c r="U44" s="70">
        <f t="shared" si="2"/>
        <v>0.19438740588637921</v>
      </c>
      <c r="V44" s="70">
        <f t="shared" si="3"/>
        <v>3.7786463567235931E-2</v>
      </c>
      <c r="W44" s="70" t="s">
        <v>5679</v>
      </c>
      <c r="X44" s="70" t="s">
        <v>5728</v>
      </c>
      <c r="Y44" s="70"/>
      <c r="Z44" s="70"/>
      <c r="AA44" s="70"/>
      <c r="AB44" s="70" t="s">
        <v>5824</v>
      </c>
      <c r="AC44" s="70"/>
    </row>
    <row r="45" spans="1:29" ht="29" customHeight="1" x14ac:dyDescent="0.2">
      <c r="A45" s="71" t="s">
        <v>5829</v>
      </c>
      <c r="B45" s="71" t="s">
        <v>137</v>
      </c>
      <c r="C45" s="71"/>
      <c r="D45" s="71" t="s">
        <v>5717</v>
      </c>
      <c r="E45" s="71" t="s">
        <v>5183</v>
      </c>
      <c r="F45" s="71"/>
      <c r="G45" s="71" t="s">
        <v>5817</v>
      </c>
      <c r="H45" s="71" t="s">
        <v>5675</v>
      </c>
      <c r="I45" s="71" t="s">
        <v>5091</v>
      </c>
      <c r="J45" s="71" t="s">
        <v>5793</v>
      </c>
      <c r="K45" s="71"/>
      <c r="L45" s="73"/>
      <c r="M45" s="71"/>
      <c r="N45" s="73"/>
      <c r="O45" s="71" t="s">
        <v>5830</v>
      </c>
      <c r="P45" s="73">
        <v>45318</v>
      </c>
      <c r="Q45" s="71" t="s">
        <v>1859</v>
      </c>
      <c r="R45" s="73">
        <v>46101</v>
      </c>
      <c r="S45" s="71">
        <f t="shared" si="0"/>
        <v>783</v>
      </c>
      <c r="T45" s="71" t="str">
        <f t="shared" si="1"/>
        <v/>
      </c>
      <c r="U45" s="71">
        <f t="shared" si="2"/>
        <v>2.1437371663244353</v>
      </c>
      <c r="V45" s="71">
        <f t="shared" si="3"/>
        <v>4.5956090382807195</v>
      </c>
      <c r="W45" s="71" t="s">
        <v>5795</v>
      </c>
      <c r="X45" s="71" t="s">
        <v>5728</v>
      </c>
      <c r="Y45" s="71"/>
      <c r="Z45" s="71"/>
      <c r="AA45" s="71"/>
      <c r="AB45" s="71" t="s">
        <v>5111</v>
      </c>
      <c r="AC45" s="71"/>
    </row>
    <row r="46" spans="1:29" ht="29" customHeight="1" x14ac:dyDescent="0.2">
      <c r="A46" s="70" t="s">
        <v>5831</v>
      </c>
      <c r="B46" s="70" t="s">
        <v>140</v>
      </c>
      <c r="C46" s="70" t="s">
        <v>5191</v>
      </c>
      <c r="D46" s="70" t="s">
        <v>3595</v>
      </c>
      <c r="E46" s="70" t="s">
        <v>3738</v>
      </c>
      <c r="F46" s="70" t="s">
        <v>2895</v>
      </c>
      <c r="G46" s="70" t="s">
        <v>5832</v>
      </c>
      <c r="H46" s="70" t="s">
        <v>5675</v>
      </c>
      <c r="I46" s="70" t="s">
        <v>5696</v>
      </c>
      <c r="J46" s="70" t="s">
        <v>5677</v>
      </c>
      <c r="K46" s="70" t="s">
        <v>5833</v>
      </c>
      <c r="L46" s="72">
        <v>45766</v>
      </c>
      <c r="M46" s="70" t="s">
        <v>5833</v>
      </c>
      <c r="N46" s="72">
        <v>45766</v>
      </c>
      <c r="O46" s="70" t="s">
        <v>5833</v>
      </c>
      <c r="P46" s="72">
        <v>45766</v>
      </c>
      <c r="Q46" s="70" t="s">
        <v>1859</v>
      </c>
      <c r="R46" s="72">
        <v>46101</v>
      </c>
      <c r="S46" s="70">
        <f t="shared" si="0"/>
        <v>335</v>
      </c>
      <c r="T46" s="70">
        <f t="shared" si="1"/>
        <v>335</v>
      </c>
      <c r="U46" s="70">
        <f t="shared" si="2"/>
        <v>0.91718001368925395</v>
      </c>
      <c r="V46" s="70">
        <f t="shared" si="3"/>
        <v>0.84121917751102004</v>
      </c>
      <c r="W46" s="70" t="s">
        <v>5679</v>
      </c>
      <c r="X46" s="70" t="s">
        <v>5728</v>
      </c>
      <c r="Y46" s="70"/>
      <c r="Z46" s="70"/>
      <c r="AA46" s="70"/>
      <c r="AB46" s="70" t="s">
        <v>5834</v>
      </c>
      <c r="AC46" s="70"/>
    </row>
    <row r="47" spans="1:29" ht="29" customHeight="1" x14ac:dyDescent="0.2">
      <c r="A47" s="71" t="s">
        <v>5835</v>
      </c>
      <c r="B47" s="71" t="s">
        <v>140</v>
      </c>
      <c r="C47" s="71" t="s">
        <v>5193</v>
      </c>
      <c r="D47" s="71" t="s">
        <v>3595</v>
      </c>
      <c r="E47" s="71" t="s">
        <v>5195</v>
      </c>
      <c r="F47" s="71" t="s">
        <v>5194</v>
      </c>
      <c r="G47" s="71" t="s">
        <v>5836</v>
      </c>
      <c r="H47" s="71" t="s">
        <v>5675</v>
      </c>
      <c r="I47" s="71" t="s">
        <v>5696</v>
      </c>
      <c r="J47" s="71" t="s">
        <v>5677</v>
      </c>
      <c r="K47" s="71" t="s">
        <v>5837</v>
      </c>
      <c r="L47" s="73">
        <v>45518</v>
      </c>
      <c r="M47" s="71" t="s">
        <v>5837</v>
      </c>
      <c r="N47" s="73">
        <v>45518</v>
      </c>
      <c r="O47" s="71" t="s">
        <v>5837</v>
      </c>
      <c r="P47" s="73">
        <v>45518</v>
      </c>
      <c r="Q47" s="71" t="s">
        <v>1859</v>
      </c>
      <c r="R47" s="73">
        <v>46101</v>
      </c>
      <c r="S47" s="71">
        <f t="shared" si="0"/>
        <v>583</v>
      </c>
      <c r="T47" s="71">
        <f t="shared" si="1"/>
        <v>583</v>
      </c>
      <c r="U47" s="71">
        <f t="shared" si="2"/>
        <v>1.5961670088980151</v>
      </c>
      <c r="V47" s="71">
        <f t="shared" si="3"/>
        <v>2.5477491202944362</v>
      </c>
      <c r="W47" s="71" t="s">
        <v>5679</v>
      </c>
      <c r="X47" s="71" t="s">
        <v>5728</v>
      </c>
      <c r="Y47" s="71"/>
      <c r="Z47" s="71"/>
      <c r="AA47" s="71"/>
      <c r="AB47" s="71" t="s">
        <v>5834</v>
      </c>
      <c r="AC47" s="71"/>
    </row>
    <row r="48" spans="1:29" ht="29" customHeight="1" x14ac:dyDescent="0.2">
      <c r="A48" s="70" t="s">
        <v>5838</v>
      </c>
      <c r="B48" s="70" t="s">
        <v>140</v>
      </c>
      <c r="C48" s="70" t="s">
        <v>5196</v>
      </c>
      <c r="D48" s="70" t="s">
        <v>3595</v>
      </c>
      <c r="E48" s="70" t="s">
        <v>5198</v>
      </c>
      <c r="F48" s="70" t="s">
        <v>5197</v>
      </c>
      <c r="G48" s="70" t="s">
        <v>5839</v>
      </c>
      <c r="H48" s="70" t="s">
        <v>5675</v>
      </c>
      <c r="I48" s="70" t="s">
        <v>5676</v>
      </c>
      <c r="J48" s="70" t="s">
        <v>5677</v>
      </c>
      <c r="K48" s="70" t="s">
        <v>5840</v>
      </c>
      <c r="L48" s="72">
        <v>45948</v>
      </c>
      <c r="M48" s="70" t="s">
        <v>5840</v>
      </c>
      <c r="N48" s="72">
        <v>45948</v>
      </c>
      <c r="O48" s="70" t="s">
        <v>5840</v>
      </c>
      <c r="P48" s="72">
        <v>45948</v>
      </c>
      <c r="Q48" s="70" t="s">
        <v>1859</v>
      </c>
      <c r="R48" s="72">
        <v>46101</v>
      </c>
      <c r="S48" s="70">
        <f t="shared" si="0"/>
        <v>153</v>
      </c>
      <c r="T48" s="70">
        <f t="shared" si="1"/>
        <v>153</v>
      </c>
      <c r="U48" s="70">
        <f t="shared" si="2"/>
        <v>0.41889117043121149</v>
      </c>
      <c r="V48" s="70">
        <f t="shared" si="3"/>
        <v>0.17546981266523026</v>
      </c>
      <c r="W48" s="70" t="s">
        <v>5679</v>
      </c>
      <c r="X48" s="70" t="s">
        <v>5728</v>
      </c>
      <c r="Y48" s="70"/>
      <c r="Z48" s="70"/>
      <c r="AA48" s="70"/>
      <c r="AB48" s="70" t="s">
        <v>5834</v>
      </c>
      <c r="AC48" s="70"/>
    </row>
    <row r="49" spans="1:29" ht="29" customHeight="1" x14ac:dyDescent="0.2">
      <c r="A49" s="71" t="s">
        <v>5841</v>
      </c>
      <c r="B49" s="71" t="s">
        <v>140</v>
      </c>
      <c r="C49" s="71" t="s">
        <v>5196</v>
      </c>
      <c r="D49" s="71" t="s">
        <v>5686</v>
      </c>
      <c r="E49" s="71" t="s">
        <v>5198</v>
      </c>
      <c r="F49" s="71" t="s">
        <v>5197</v>
      </c>
      <c r="G49" s="71" t="s">
        <v>5839</v>
      </c>
      <c r="H49" s="71" t="s">
        <v>5675</v>
      </c>
      <c r="I49" s="71" t="s">
        <v>5096</v>
      </c>
      <c r="J49" s="71" t="s">
        <v>5677</v>
      </c>
      <c r="K49" s="71" t="s">
        <v>5840</v>
      </c>
      <c r="L49" s="73">
        <v>45948</v>
      </c>
      <c r="M49" s="71" t="s">
        <v>5840</v>
      </c>
      <c r="N49" s="73">
        <v>45948</v>
      </c>
      <c r="O49" s="71" t="s">
        <v>5840</v>
      </c>
      <c r="P49" s="73">
        <v>45948</v>
      </c>
      <c r="Q49" s="71" t="s">
        <v>1859</v>
      </c>
      <c r="R49" s="73">
        <v>46101</v>
      </c>
      <c r="S49" s="71">
        <f t="shared" si="0"/>
        <v>153</v>
      </c>
      <c r="T49" s="71">
        <f t="shared" si="1"/>
        <v>153</v>
      </c>
      <c r="U49" s="71">
        <f t="shared" si="2"/>
        <v>0.41889117043121149</v>
      </c>
      <c r="V49" s="71">
        <f t="shared" si="3"/>
        <v>0.17546981266523026</v>
      </c>
      <c r="W49" s="71" t="s">
        <v>5679</v>
      </c>
      <c r="X49" s="71" t="s">
        <v>5687</v>
      </c>
      <c r="Y49" s="71"/>
      <c r="Z49" s="71"/>
      <c r="AA49" s="71"/>
      <c r="AB49" s="71"/>
      <c r="AC49" s="71"/>
    </row>
    <row r="50" spans="1:29" ht="29" customHeight="1" x14ac:dyDescent="0.2">
      <c r="A50" s="70" t="s">
        <v>5842</v>
      </c>
      <c r="B50" s="70" t="s">
        <v>140</v>
      </c>
      <c r="C50" s="70" t="s">
        <v>5199</v>
      </c>
      <c r="D50" s="70" t="s">
        <v>3595</v>
      </c>
      <c r="E50" s="70" t="s">
        <v>2797</v>
      </c>
      <c r="F50" s="70" t="s">
        <v>5200</v>
      </c>
      <c r="G50" s="70" t="s">
        <v>5843</v>
      </c>
      <c r="H50" s="70" t="s">
        <v>5675</v>
      </c>
      <c r="I50" s="70" t="s">
        <v>5696</v>
      </c>
      <c r="J50" s="70" t="s">
        <v>5677</v>
      </c>
      <c r="K50" s="70" t="s">
        <v>5844</v>
      </c>
      <c r="L50" s="72">
        <v>45664</v>
      </c>
      <c r="M50" s="70" t="s">
        <v>5844</v>
      </c>
      <c r="N50" s="72">
        <v>45664</v>
      </c>
      <c r="O50" s="70" t="s">
        <v>5844</v>
      </c>
      <c r="P50" s="72">
        <v>45664</v>
      </c>
      <c r="Q50" s="70" t="s">
        <v>1859</v>
      </c>
      <c r="R50" s="72">
        <v>46101</v>
      </c>
      <c r="S50" s="70">
        <f t="shared" si="0"/>
        <v>437</v>
      </c>
      <c r="T50" s="70">
        <f t="shared" si="1"/>
        <v>437</v>
      </c>
      <c r="U50" s="70">
        <f t="shared" si="2"/>
        <v>1.1964407939767283</v>
      </c>
      <c r="V50" s="70">
        <f t="shared" si="3"/>
        <v>1.431470573491664</v>
      </c>
      <c r="W50" s="70" t="s">
        <v>5679</v>
      </c>
      <c r="X50" s="70" t="s">
        <v>5728</v>
      </c>
      <c r="Y50" s="70"/>
      <c r="Z50" s="70"/>
      <c r="AA50" s="70"/>
      <c r="AB50" s="70" t="s">
        <v>5834</v>
      </c>
      <c r="AC50" s="70"/>
    </row>
    <row r="51" spans="1:29" ht="29" customHeight="1" x14ac:dyDescent="0.2">
      <c r="A51" s="71" t="s">
        <v>5845</v>
      </c>
      <c r="B51" s="71" t="s">
        <v>140</v>
      </c>
      <c r="C51" s="71" t="s">
        <v>5201</v>
      </c>
      <c r="D51" s="71" t="s">
        <v>3595</v>
      </c>
      <c r="E51" s="71" t="s">
        <v>2699</v>
      </c>
      <c r="F51" s="71" t="s">
        <v>5202</v>
      </c>
      <c r="G51" s="71" t="s">
        <v>5846</v>
      </c>
      <c r="H51" s="71" t="s">
        <v>5675</v>
      </c>
      <c r="I51" s="71" t="s">
        <v>5690</v>
      </c>
      <c r="J51" s="71" t="s">
        <v>5677</v>
      </c>
      <c r="K51" s="71" t="s">
        <v>2819</v>
      </c>
      <c r="L51" s="73">
        <v>45895</v>
      </c>
      <c r="M51" s="71" t="s">
        <v>2819</v>
      </c>
      <c r="N51" s="73">
        <v>45895</v>
      </c>
      <c r="O51" s="71" t="s">
        <v>2819</v>
      </c>
      <c r="P51" s="73">
        <v>45895</v>
      </c>
      <c r="Q51" s="71" t="s">
        <v>1859</v>
      </c>
      <c r="R51" s="73">
        <v>46101</v>
      </c>
      <c r="S51" s="71">
        <f t="shared" si="0"/>
        <v>206</v>
      </c>
      <c r="T51" s="71">
        <f t="shared" si="1"/>
        <v>206</v>
      </c>
      <c r="U51" s="71">
        <f t="shared" si="2"/>
        <v>0.56399726214921286</v>
      </c>
      <c r="V51" s="71">
        <f t="shared" si="3"/>
        <v>0.31809291171180792</v>
      </c>
      <c r="W51" s="71" t="s">
        <v>5679</v>
      </c>
      <c r="X51" s="71" t="s">
        <v>5728</v>
      </c>
      <c r="Y51" s="71"/>
      <c r="Z51" s="71"/>
      <c r="AA51" s="71"/>
      <c r="AB51" s="71" t="s">
        <v>5834</v>
      </c>
      <c r="AC51" s="71"/>
    </row>
    <row r="52" spans="1:29" ht="20" customHeight="1" x14ac:dyDescent="0.2">
      <c r="A52" s="70" t="s">
        <v>5847</v>
      </c>
      <c r="B52" s="70" t="s">
        <v>140</v>
      </c>
      <c r="C52" s="70"/>
      <c r="D52" s="70" t="s">
        <v>5717</v>
      </c>
      <c r="E52" s="70" t="s">
        <v>2699</v>
      </c>
      <c r="F52" s="70"/>
      <c r="G52" s="70" t="s">
        <v>5846</v>
      </c>
      <c r="H52" s="70" t="s">
        <v>5675</v>
      </c>
      <c r="I52" s="70" t="s">
        <v>5091</v>
      </c>
      <c r="J52" s="70" t="s">
        <v>5697</v>
      </c>
      <c r="K52" s="70"/>
      <c r="L52" s="72"/>
      <c r="M52" s="70" t="s">
        <v>5678</v>
      </c>
      <c r="N52" s="72">
        <v>45769</v>
      </c>
      <c r="O52" s="70" t="s">
        <v>5848</v>
      </c>
      <c r="P52" s="72">
        <v>45902</v>
      </c>
      <c r="Q52" s="70" t="s">
        <v>1859</v>
      </c>
      <c r="R52" s="72">
        <v>46101</v>
      </c>
      <c r="S52" s="70">
        <f t="shared" si="0"/>
        <v>199</v>
      </c>
      <c r="T52" s="70">
        <f t="shared" si="1"/>
        <v>332</v>
      </c>
      <c r="U52" s="70">
        <f t="shared" si="2"/>
        <v>0.54483230663928817</v>
      </c>
      <c r="V52" s="70">
        <f t="shared" si="3"/>
        <v>0.29684224235788731</v>
      </c>
      <c r="W52" s="70" t="s">
        <v>5849</v>
      </c>
      <c r="X52" s="70" t="s">
        <v>5728</v>
      </c>
      <c r="Y52" s="70"/>
      <c r="Z52" s="70"/>
      <c r="AA52" s="70"/>
      <c r="AB52" s="70" t="s">
        <v>5111</v>
      </c>
      <c r="AC52" s="70"/>
    </row>
    <row r="53" spans="1:29" ht="29" customHeight="1" x14ac:dyDescent="0.2">
      <c r="A53" s="71" t="s">
        <v>5850</v>
      </c>
      <c r="B53" s="71" t="s">
        <v>143</v>
      </c>
      <c r="C53" s="71" t="s">
        <v>5203</v>
      </c>
      <c r="D53" s="71" t="s">
        <v>3595</v>
      </c>
      <c r="E53" s="71" t="s">
        <v>5205</v>
      </c>
      <c r="F53" s="71" t="s">
        <v>5204</v>
      </c>
      <c r="G53" s="71" t="s">
        <v>5851</v>
      </c>
      <c r="H53" s="71" t="s">
        <v>5675</v>
      </c>
      <c r="I53" s="71" t="s">
        <v>5676</v>
      </c>
      <c r="J53" s="71" t="s">
        <v>5677</v>
      </c>
      <c r="K53" s="71" t="s">
        <v>5852</v>
      </c>
      <c r="L53" s="73">
        <v>45602</v>
      </c>
      <c r="M53" s="71" t="s">
        <v>5852</v>
      </c>
      <c r="N53" s="73">
        <v>45602</v>
      </c>
      <c r="O53" s="71" t="s">
        <v>5852</v>
      </c>
      <c r="P53" s="73">
        <v>45602</v>
      </c>
      <c r="Q53" s="71" t="s">
        <v>1859</v>
      </c>
      <c r="R53" s="73">
        <v>46101</v>
      </c>
      <c r="S53" s="71">
        <f t="shared" si="0"/>
        <v>499</v>
      </c>
      <c r="T53" s="71">
        <f t="shared" si="1"/>
        <v>499</v>
      </c>
      <c r="U53" s="71">
        <f t="shared" si="2"/>
        <v>1.3661875427789185</v>
      </c>
      <c r="V53" s="71">
        <f t="shared" si="3"/>
        <v>1.8664684020442994</v>
      </c>
      <c r="W53" s="71" t="s">
        <v>5679</v>
      </c>
      <c r="X53" s="71" t="s">
        <v>5728</v>
      </c>
      <c r="Y53" s="71"/>
      <c r="Z53" s="71"/>
      <c r="AA53" s="71"/>
      <c r="AB53" s="71" t="s">
        <v>5853</v>
      </c>
      <c r="AC53" s="71"/>
    </row>
    <row r="54" spans="1:29" ht="29" customHeight="1" x14ac:dyDescent="0.2">
      <c r="A54" s="70" t="s">
        <v>5854</v>
      </c>
      <c r="B54" s="70" t="s">
        <v>143</v>
      </c>
      <c r="C54" s="70" t="s">
        <v>5203</v>
      </c>
      <c r="D54" s="70" t="s">
        <v>5686</v>
      </c>
      <c r="E54" s="70" t="s">
        <v>5205</v>
      </c>
      <c r="F54" s="70" t="s">
        <v>5204</v>
      </c>
      <c r="G54" s="70" t="s">
        <v>5851</v>
      </c>
      <c r="H54" s="70" t="s">
        <v>5675</v>
      </c>
      <c r="I54" s="70" t="s">
        <v>5096</v>
      </c>
      <c r="J54" s="70" t="s">
        <v>5677</v>
      </c>
      <c r="K54" s="70" t="s">
        <v>5852</v>
      </c>
      <c r="L54" s="72">
        <v>45602</v>
      </c>
      <c r="M54" s="70" t="s">
        <v>5852</v>
      </c>
      <c r="N54" s="72">
        <v>45602</v>
      </c>
      <c r="O54" s="70" t="s">
        <v>5852</v>
      </c>
      <c r="P54" s="72">
        <v>45602</v>
      </c>
      <c r="Q54" s="70" t="s">
        <v>1859</v>
      </c>
      <c r="R54" s="72">
        <v>46101</v>
      </c>
      <c r="S54" s="70">
        <f t="shared" si="0"/>
        <v>499</v>
      </c>
      <c r="T54" s="70">
        <f t="shared" si="1"/>
        <v>499</v>
      </c>
      <c r="U54" s="70">
        <f t="shared" si="2"/>
        <v>1.3661875427789185</v>
      </c>
      <c r="V54" s="70">
        <f t="shared" si="3"/>
        <v>1.8664684020442994</v>
      </c>
      <c r="W54" s="70" t="s">
        <v>5679</v>
      </c>
      <c r="X54" s="70" t="s">
        <v>5687</v>
      </c>
      <c r="Y54" s="70"/>
      <c r="Z54" s="70"/>
      <c r="AA54" s="70"/>
      <c r="AB54" s="70"/>
      <c r="AC54" s="70"/>
    </row>
    <row r="55" spans="1:29" ht="29" customHeight="1" x14ac:dyDescent="0.2">
      <c r="A55" s="71" t="s">
        <v>5855</v>
      </c>
      <c r="B55" s="71" t="s">
        <v>143</v>
      </c>
      <c r="C55" s="71" t="s">
        <v>5207</v>
      </c>
      <c r="D55" s="71" t="s">
        <v>3595</v>
      </c>
      <c r="E55" s="71" t="s">
        <v>3797</v>
      </c>
      <c r="F55" s="71" t="s">
        <v>5208</v>
      </c>
      <c r="G55" s="71" t="s">
        <v>5856</v>
      </c>
      <c r="H55" s="71" t="s">
        <v>5675</v>
      </c>
      <c r="I55" s="71" t="s">
        <v>5696</v>
      </c>
      <c r="J55" s="71" t="s">
        <v>5677</v>
      </c>
      <c r="K55" s="71" t="s">
        <v>5852</v>
      </c>
      <c r="L55" s="73">
        <v>45602</v>
      </c>
      <c r="M55" s="71" t="s">
        <v>5852</v>
      </c>
      <c r="N55" s="73">
        <v>45602</v>
      </c>
      <c r="O55" s="71" t="s">
        <v>5852</v>
      </c>
      <c r="P55" s="73">
        <v>45602</v>
      </c>
      <c r="Q55" s="71" t="s">
        <v>1859</v>
      </c>
      <c r="R55" s="73">
        <v>46101</v>
      </c>
      <c r="S55" s="71">
        <f t="shared" si="0"/>
        <v>499</v>
      </c>
      <c r="T55" s="71">
        <f t="shared" si="1"/>
        <v>499</v>
      </c>
      <c r="U55" s="71">
        <f t="shared" si="2"/>
        <v>1.3661875427789185</v>
      </c>
      <c r="V55" s="71">
        <f t="shared" si="3"/>
        <v>1.8664684020442994</v>
      </c>
      <c r="W55" s="71" t="s">
        <v>5679</v>
      </c>
      <c r="X55" s="71" t="s">
        <v>5728</v>
      </c>
      <c r="Y55" s="71"/>
      <c r="Z55" s="71"/>
      <c r="AA55" s="71"/>
      <c r="AB55" s="71" t="s">
        <v>5853</v>
      </c>
      <c r="AC55" s="71"/>
    </row>
    <row r="56" spans="1:29" ht="29" customHeight="1" x14ac:dyDescent="0.2">
      <c r="A56" s="70" t="s">
        <v>5857</v>
      </c>
      <c r="B56" s="70" t="s">
        <v>143</v>
      </c>
      <c r="C56" s="70" t="s">
        <v>5209</v>
      </c>
      <c r="D56" s="70" t="s">
        <v>3595</v>
      </c>
      <c r="E56" s="70" t="s">
        <v>5211</v>
      </c>
      <c r="F56" s="70" t="s">
        <v>5210</v>
      </c>
      <c r="G56" s="70" t="s">
        <v>5858</v>
      </c>
      <c r="H56" s="70" t="s">
        <v>5675</v>
      </c>
      <c r="I56" s="70" t="s">
        <v>5706</v>
      </c>
      <c r="J56" s="70" t="s">
        <v>5677</v>
      </c>
      <c r="K56" s="70" t="s">
        <v>5859</v>
      </c>
      <c r="L56" s="72">
        <v>45873</v>
      </c>
      <c r="M56" s="70" t="s">
        <v>5859</v>
      </c>
      <c r="N56" s="72">
        <v>45873</v>
      </c>
      <c r="O56" s="70" t="s">
        <v>5859</v>
      </c>
      <c r="P56" s="72">
        <v>45873</v>
      </c>
      <c r="Q56" s="70" t="s">
        <v>1859</v>
      </c>
      <c r="R56" s="72">
        <v>46101</v>
      </c>
      <c r="S56" s="70">
        <f t="shared" si="0"/>
        <v>228</v>
      </c>
      <c r="T56" s="70">
        <f t="shared" si="1"/>
        <v>228</v>
      </c>
      <c r="U56" s="70">
        <f t="shared" si="2"/>
        <v>0.62422997946611913</v>
      </c>
      <c r="V56" s="70">
        <f t="shared" si="3"/>
        <v>0.38966306726427152</v>
      </c>
      <c r="W56" s="70" t="s">
        <v>5679</v>
      </c>
      <c r="X56" s="70" t="s">
        <v>5728</v>
      </c>
      <c r="Y56" s="70"/>
      <c r="Z56" s="70"/>
      <c r="AA56" s="70"/>
      <c r="AB56" s="70" t="s">
        <v>5853</v>
      </c>
      <c r="AC56" s="70"/>
    </row>
    <row r="57" spans="1:29" ht="29" customHeight="1" x14ac:dyDescent="0.2">
      <c r="A57" s="71" t="s">
        <v>5860</v>
      </c>
      <c r="B57" s="71" t="s">
        <v>143</v>
      </c>
      <c r="C57" s="71" t="s">
        <v>5212</v>
      </c>
      <c r="D57" s="71" t="s">
        <v>3595</v>
      </c>
      <c r="E57" s="71" t="s">
        <v>5214</v>
      </c>
      <c r="F57" s="71" t="s">
        <v>5213</v>
      </c>
      <c r="G57" s="71" t="s">
        <v>5861</v>
      </c>
      <c r="H57" s="71" t="s">
        <v>5675</v>
      </c>
      <c r="I57" s="71" t="s">
        <v>5706</v>
      </c>
      <c r="J57" s="71" t="s">
        <v>5677</v>
      </c>
      <c r="K57" s="71" t="s">
        <v>5862</v>
      </c>
      <c r="L57" s="73">
        <v>44956</v>
      </c>
      <c r="M57" s="71" t="s">
        <v>5862</v>
      </c>
      <c r="N57" s="73">
        <v>44956</v>
      </c>
      <c r="O57" s="71" t="s">
        <v>5862</v>
      </c>
      <c r="P57" s="73">
        <v>44956</v>
      </c>
      <c r="Q57" s="71" t="s">
        <v>1859</v>
      </c>
      <c r="R57" s="73">
        <v>46101</v>
      </c>
      <c r="S57" s="71">
        <f t="shared" si="0"/>
        <v>1145</v>
      </c>
      <c r="T57" s="71">
        <f t="shared" si="1"/>
        <v>1145</v>
      </c>
      <c r="U57" s="71">
        <f t="shared" si="2"/>
        <v>3.1348391512662559</v>
      </c>
      <c r="V57" s="71">
        <f t="shared" si="3"/>
        <v>9.827216504311739</v>
      </c>
      <c r="W57" s="71" t="s">
        <v>5679</v>
      </c>
      <c r="X57" s="71" t="s">
        <v>5728</v>
      </c>
      <c r="Y57" s="71"/>
      <c r="Z57" s="71"/>
      <c r="AA57" s="71"/>
      <c r="AB57" s="71" t="s">
        <v>5853</v>
      </c>
      <c r="AC57" s="71"/>
    </row>
    <row r="58" spans="1:29" ht="29" customHeight="1" x14ac:dyDescent="0.2">
      <c r="A58" s="70" t="s">
        <v>5863</v>
      </c>
      <c r="B58" s="70" t="s">
        <v>143</v>
      </c>
      <c r="C58" s="70" t="s">
        <v>5215</v>
      </c>
      <c r="D58" s="70" t="s">
        <v>3595</v>
      </c>
      <c r="E58" s="70" t="s">
        <v>5217</v>
      </c>
      <c r="F58" s="70" t="s">
        <v>5216</v>
      </c>
      <c r="G58" s="70" t="s">
        <v>5864</v>
      </c>
      <c r="H58" s="70" t="s">
        <v>5675</v>
      </c>
      <c r="I58" s="70" t="s">
        <v>5865</v>
      </c>
      <c r="J58" s="70" t="s">
        <v>5677</v>
      </c>
      <c r="K58" s="70" t="s">
        <v>5866</v>
      </c>
      <c r="L58" s="72">
        <v>45717</v>
      </c>
      <c r="M58" s="70" t="s">
        <v>5866</v>
      </c>
      <c r="N58" s="72">
        <v>45717</v>
      </c>
      <c r="O58" s="70" t="s">
        <v>5866</v>
      </c>
      <c r="P58" s="72">
        <v>45717</v>
      </c>
      <c r="Q58" s="70" t="s">
        <v>1859</v>
      </c>
      <c r="R58" s="72">
        <v>46101</v>
      </c>
      <c r="S58" s="70">
        <f t="shared" si="0"/>
        <v>384</v>
      </c>
      <c r="T58" s="70">
        <f t="shared" si="1"/>
        <v>384</v>
      </c>
      <c r="U58" s="70">
        <f t="shared" si="2"/>
        <v>1.0513347022587269</v>
      </c>
      <c r="V58" s="70">
        <f t="shared" si="3"/>
        <v>1.1053046561734461</v>
      </c>
      <c r="W58" s="70" t="s">
        <v>5679</v>
      </c>
      <c r="X58" s="70" t="s">
        <v>5728</v>
      </c>
      <c r="Y58" s="70"/>
      <c r="Z58" s="70"/>
      <c r="AA58" s="70"/>
      <c r="AB58" s="70" t="s">
        <v>5853</v>
      </c>
      <c r="AC58" s="70"/>
    </row>
    <row r="59" spans="1:29" ht="29" customHeight="1" x14ac:dyDescent="0.2">
      <c r="A59" s="71" t="s">
        <v>5867</v>
      </c>
      <c r="B59" s="71" t="s">
        <v>143</v>
      </c>
      <c r="C59" s="71"/>
      <c r="D59" s="71" t="s">
        <v>5717</v>
      </c>
      <c r="E59" s="71" t="s">
        <v>5211</v>
      </c>
      <c r="F59" s="71"/>
      <c r="G59" s="71" t="s">
        <v>5858</v>
      </c>
      <c r="H59" s="71" t="s">
        <v>5675</v>
      </c>
      <c r="I59" s="71" t="s">
        <v>5091</v>
      </c>
      <c r="J59" s="71" t="s">
        <v>5677</v>
      </c>
      <c r="K59" s="71" t="s">
        <v>5770</v>
      </c>
      <c r="L59" s="73">
        <v>45628</v>
      </c>
      <c r="M59" s="71" t="s">
        <v>5770</v>
      </c>
      <c r="N59" s="73">
        <v>45628</v>
      </c>
      <c r="O59" s="71" t="s">
        <v>5770</v>
      </c>
      <c r="P59" s="73">
        <v>45628</v>
      </c>
      <c r="Q59" s="71" t="s">
        <v>1859</v>
      </c>
      <c r="R59" s="73">
        <v>46101</v>
      </c>
      <c r="S59" s="71">
        <f t="shared" si="0"/>
        <v>473</v>
      </c>
      <c r="T59" s="71">
        <f t="shared" si="1"/>
        <v>473</v>
      </c>
      <c r="U59" s="71">
        <f t="shared" si="2"/>
        <v>1.2950034223134839</v>
      </c>
      <c r="V59" s="71">
        <f t="shared" si="3"/>
        <v>1.6770338638036355</v>
      </c>
      <c r="W59" s="71" t="s">
        <v>5679</v>
      </c>
      <c r="X59" s="71" t="s">
        <v>5728</v>
      </c>
      <c r="Y59" s="71"/>
      <c r="Z59" s="71"/>
      <c r="AA59" s="71"/>
      <c r="AB59" s="71" t="s">
        <v>5111</v>
      </c>
      <c r="AC59" s="71"/>
    </row>
    <row r="60" spans="1:29" ht="43.5" customHeight="1" x14ac:dyDescent="0.2">
      <c r="A60" s="70" t="s">
        <v>5868</v>
      </c>
      <c r="B60" s="70" t="s">
        <v>20</v>
      </c>
      <c r="C60" s="70" t="s">
        <v>5218</v>
      </c>
      <c r="D60" s="70" t="s">
        <v>3595</v>
      </c>
      <c r="E60" s="70" t="s">
        <v>5219</v>
      </c>
      <c r="F60" s="70"/>
      <c r="G60" s="70" t="s">
        <v>5869</v>
      </c>
      <c r="H60" s="70" t="s">
        <v>5675</v>
      </c>
      <c r="I60" s="70" t="s">
        <v>5706</v>
      </c>
      <c r="J60" s="70" t="s">
        <v>5677</v>
      </c>
      <c r="K60" s="70" t="s">
        <v>5870</v>
      </c>
      <c r="L60" s="72">
        <v>44590</v>
      </c>
      <c r="M60" s="70" t="s">
        <v>5870</v>
      </c>
      <c r="N60" s="72">
        <v>44590</v>
      </c>
      <c r="O60" s="70" t="s">
        <v>5870</v>
      </c>
      <c r="P60" s="72">
        <v>44590</v>
      </c>
      <c r="Q60" s="70" t="s">
        <v>1859</v>
      </c>
      <c r="R60" s="72">
        <v>46101</v>
      </c>
      <c r="S60" s="70">
        <f t="shared" si="0"/>
        <v>1511</v>
      </c>
      <c r="T60" s="70">
        <f t="shared" si="1"/>
        <v>1511</v>
      </c>
      <c r="U60" s="70">
        <f t="shared" si="2"/>
        <v>4.1368925393566052</v>
      </c>
      <c r="V60" s="70">
        <f t="shared" si="3"/>
        <v>17.113879882184342</v>
      </c>
      <c r="W60" s="70" t="s">
        <v>5871</v>
      </c>
      <c r="X60" s="70" t="s">
        <v>5872</v>
      </c>
      <c r="Y60" s="70" t="s">
        <v>5870</v>
      </c>
      <c r="Z60" s="70" t="s">
        <v>5682</v>
      </c>
      <c r="AA60" s="70"/>
      <c r="AB60" s="70" t="s">
        <v>5683</v>
      </c>
      <c r="AC60" s="70" t="s">
        <v>5873</v>
      </c>
    </row>
    <row r="61" spans="1:29" ht="43.5" customHeight="1" x14ac:dyDescent="0.2">
      <c r="A61" s="71" t="s">
        <v>5874</v>
      </c>
      <c r="B61" s="71" t="s">
        <v>20</v>
      </c>
      <c r="C61" s="71" t="s">
        <v>5222</v>
      </c>
      <c r="D61" s="71" t="s">
        <v>3595</v>
      </c>
      <c r="E61" s="71" t="s">
        <v>5223</v>
      </c>
      <c r="F61" s="71"/>
      <c r="G61" s="71" t="s">
        <v>5875</v>
      </c>
      <c r="H61" s="71" t="s">
        <v>5675</v>
      </c>
      <c r="I61" s="71" t="s">
        <v>5876</v>
      </c>
      <c r="J61" s="71" t="s">
        <v>5758</v>
      </c>
      <c r="K61" s="71"/>
      <c r="L61" s="73"/>
      <c r="M61" s="71"/>
      <c r="N61" s="73"/>
      <c r="O61" s="71" t="s">
        <v>5877</v>
      </c>
      <c r="P61" s="73">
        <v>45001</v>
      </c>
      <c r="Q61" s="71" t="s">
        <v>1859</v>
      </c>
      <c r="R61" s="73">
        <v>46101</v>
      </c>
      <c r="S61" s="71">
        <f t="shared" si="0"/>
        <v>1100</v>
      </c>
      <c r="T61" s="71" t="str">
        <f t="shared" si="1"/>
        <v/>
      </c>
      <c r="U61" s="71">
        <f t="shared" si="2"/>
        <v>3.0116358658453115</v>
      </c>
      <c r="V61" s="71">
        <f t="shared" si="3"/>
        <v>9.06995058844584</v>
      </c>
      <c r="W61" s="71" t="s">
        <v>5760</v>
      </c>
      <c r="X61" s="71" t="s">
        <v>5761</v>
      </c>
      <c r="Y61" s="71" t="s">
        <v>5877</v>
      </c>
      <c r="Z61" s="71" t="s">
        <v>5682</v>
      </c>
      <c r="AA61" s="71"/>
      <c r="AB61" s="71" t="s">
        <v>5683</v>
      </c>
      <c r="AC61" s="71" t="s">
        <v>5878</v>
      </c>
    </row>
    <row r="62" spans="1:29" ht="29" customHeight="1" x14ac:dyDescent="0.2">
      <c r="A62" s="70" t="s">
        <v>5879</v>
      </c>
      <c r="B62" s="70" t="s">
        <v>20</v>
      </c>
      <c r="C62" s="70" t="s">
        <v>5222</v>
      </c>
      <c r="D62" s="70" t="s">
        <v>5686</v>
      </c>
      <c r="E62" s="70" t="s">
        <v>5223</v>
      </c>
      <c r="F62" s="70" t="s">
        <v>5223</v>
      </c>
      <c r="G62" s="70" t="s">
        <v>5875</v>
      </c>
      <c r="H62" s="70" t="s">
        <v>5675</v>
      </c>
      <c r="I62" s="70" t="s">
        <v>5096</v>
      </c>
      <c r="J62" s="70" t="s">
        <v>5677</v>
      </c>
      <c r="K62" s="70" t="s">
        <v>5880</v>
      </c>
      <c r="L62" s="72">
        <v>45003</v>
      </c>
      <c r="M62" s="70" t="s">
        <v>5880</v>
      </c>
      <c r="N62" s="72">
        <v>45003</v>
      </c>
      <c r="O62" s="70" t="s">
        <v>5880</v>
      </c>
      <c r="P62" s="72">
        <v>45003</v>
      </c>
      <c r="Q62" s="70" t="s">
        <v>1859</v>
      </c>
      <c r="R62" s="72">
        <v>46101</v>
      </c>
      <c r="S62" s="70">
        <f t="shared" si="0"/>
        <v>1098</v>
      </c>
      <c r="T62" s="70">
        <f t="shared" si="1"/>
        <v>1098</v>
      </c>
      <c r="U62" s="70">
        <f t="shared" si="2"/>
        <v>3.0061601642710474</v>
      </c>
      <c r="V62" s="70">
        <f t="shared" si="3"/>
        <v>9.0369989332501302</v>
      </c>
      <c r="W62" s="70" t="s">
        <v>5679</v>
      </c>
      <c r="X62" s="70" t="s">
        <v>5687</v>
      </c>
      <c r="Y62" s="70"/>
      <c r="Z62" s="70"/>
      <c r="AA62" s="70"/>
      <c r="AB62" s="70"/>
      <c r="AC62" s="70"/>
    </row>
    <row r="63" spans="1:29" ht="43.5" customHeight="1" x14ac:dyDescent="0.2">
      <c r="A63" s="71" t="s">
        <v>5881</v>
      </c>
      <c r="B63" s="71" t="s">
        <v>20</v>
      </c>
      <c r="C63" s="71" t="s">
        <v>5224</v>
      </c>
      <c r="D63" s="71" t="s">
        <v>3595</v>
      </c>
      <c r="E63" s="71" t="s">
        <v>5225</v>
      </c>
      <c r="F63" s="71"/>
      <c r="G63" s="71" t="s">
        <v>5882</v>
      </c>
      <c r="H63" s="71" t="s">
        <v>5675</v>
      </c>
      <c r="I63" s="71" t="s">
        <v>5706</v>
      </c>
      <c r="J63" s="71" t="s">
        <v>5677</v>
      </c>
      <c r="K63" s="71" t="s">
        <v>5870</v>
      </c>
      <c r="L63" s="73">
        <v>44590</v>
      </c>
      <c r="M63" s="71" t="s">
        <v>5870</v>
      </c>
      <c r="N63" s="73">
        <v>44590</v>
      </c>
      <c r="O63" s="71" t="s">
        <v>5870</v>
      </c>
      <c r="P63" s="73">
        <v>44590</v>
      </c>
      <c r="Q63" s="71" t="s">
        <v>1859</v>
      </c>
      <c r="R63" s="73">
        <v>46101</v>
      </c>
      <c r="S63" s="71">
        <f t="shared" si="0"/>
        <v>1511</v>
      </c>
      <c r="T63" s="71">
        <f t="shared" si="1"/>
        <v>1511</v>
      </c>
      <c r="U63" s="71">
        <f t="shared" si="2"/>
        <v>4.1368925393566052</v>
      </c>
      <c r="V63" s="71">
        <f t="shared" si="3"/>
        <v>17.113879882184342</v>
      </c>
      <c r="W63" s="71" t="s">
        <v>5871</v>
      </c>
      <c r="X63" s="71" t="s">
        <v>5872</v>
      </c>
      <c r="Y63" s="71" t="s">
        <v>5870</v>
      </c>
      <c r="Z63" s="71" t="s">
        <v>5682</v>
      </c>
      <c r="AA63" s="71"/>
      <c r="AB63" s="71" t="s">
        <v>5683</v>
      </c>
      <c r="AC63" s="71" t="s">
        <v>5873</v>
      </c>
    </row>
    <row r="64" spans="1:29" ht="29" customHeight="1" x14ac:dyDescent="0.2">
      <c r="A64" s="70" t="s">
        <v>5883</v>
      </c>
      <c r="B64" s="70" t="s">
        <v>20</v>
      </c>
      <c r="C64" s="70" t="s">
        <v>5226</v>
      </c>
      <c r="D64" s="70" t="s">
        <v>3595</v>
      </c>
      <c r="E64" s="70" t="s">
        <v>5227</v>
      </c>
      <c r="F64" s="70"/>
      <c r="G64" s="70" t="s">
        <v>5884</v>
      </c>
      <c r="H64" s="70" t="s">
        <v>5675</v>
      </c>
      <c r="I64" s="70" t="s">
        <v>5706</v>
      </c>
      <c r="J64" s="70" t="s">
        <v>5677</v>
      </c>
      <c r="K64" s="70" t="s">
        <v>5885</v>
      </c>
      <c r="L64" s="72">
        <v>45341</v>
      </c>
      <c r="M64" s="70" t="s">
        <v>5885</v>
      </c>
      <c r="N64" s="72">
        <v>45341</v>
      </c>
      <c r="O64" s="70" t="s">
        <v>5885</v>
      </c>
      <c r="P64" s="72">
        <v>45341</v>
      </c>
      <c r="Q64" s="70" t="s">
        <v>1859</v>
      </c>
      <c r="R64" s="72">
        <v>46101</v>
      </c>
      <c r="S64" s="70">
        <f t="shared" si="0"/>
        <v>760</v>
      </c>
      <c r="T64" s="70">
        <f t="shared" si="1"/>
        <v>760</v>
      </c>
      <c r="U64" s="70">
        <f t="shared" si="2"/>
        <v>2.0807665982203969</v>
      </c>
      <c r="V64" s="70">
        <f t="shared" si="3"/>
        <v>4.3295896362696826</v>
      </c>
      <c r="W64" s="70" t="s">
        <v>5679</v>
      </c>
      <c r="X64" s="70" t="s">
        <v>5680</v>
      </c>
      <c r="Y64" s="70" t="s">
        <v>5885</v>
      </c>
      <c r="Z64" s="70" t="s">
        <v>5682</v>
      </c>
      <c r="AA64" s="70"/>
      <c r="AB64" s="70" t="s">
        <v>5886</v>
      </c>
      <c r="AC64" s="70" t="s">
        <v>5887</v>
      </c>
    </row>
    <row r="65" spans="1:29" ht="29" customHeight="1" x14ac:dyDescent="0.2">
      <c r="A65" s="71" t="s">
        <v>5888</v>
      </c>
      <c r="B65" s="71" t="s">
        <v>20</v>
      </c>
      <c r="C65" s="71"/>
      <c r="D65" s="71" t="s">
        <v>5717</v>
      </c>
      <c r="E65" s="71" t="s">
        <v>5225</v>
      </c>
      <c r="F65" s="71"/>
      <c r="G65" s="71" t="s">
        <v>5882</v>
      </c>
      <c r="H65" s="71" t="s">
        <v>5675</v>
      </c>
      <c r="I65" s="71" t="s">
        <v>5091</v>
      </c>
      <c r="J65" s="71" t="s">
        <v>5793</v>
      </c>
      <c r="K65" s="71"/>
      <c r="L65" s="73"/>
      <c r="M65" s="71"/>
      <c r="N65" s="73"/>
      <c r="O65" s="71" t="s">
        <v>3867</v>
      </c>
      <c r="P65" s="73">
        <v>44934</v>
      </c>
      <c r="Q65" s="71" t="s">
        <v>1859</v>
      </c>
      <c r="R65" s="73">
        <v>46101</v>
      </c>
      <c r="S65" s="71">
        <f t="shared" si="0"/>
        <v>1167</v>
      </c>
      <c r="T65" s="71" t="str">
        <f t="shared" si="1"/>
        <v/>
      </c>
      <c r="U65" s="71">
        <f t="shared" si="2"/>
        <v>3.1950718685831623</v>
      </c>
      <c r="V65" s="71">
        <f t="shared" si="3"/>
        <v>10.208484245411499</v>
      </c>
      <c r="W65" s="71" t="s">
        <v>5795</v>
      </c>
      <c r="X65" s="71" t="s">
        <v>5728</v>
      </c>
      <c r="Y65" s="71"/>
      <c r="Z65" s="71"/>
      <c r="AA65" s="71"/>
      <c r="AB65" s="71" t="s">
        <v>5111</v>
      </c>
      <c r="AC65" s="71"/>
    </row>
    <row r="66" spans="1:29" ht="29" customHeight="1" x14ac:dyDescent="0.2">
      <c r="A66" s="70" t="s">
        <v>5889</v>
      </c>
      <c r="B66" s="70" t="s">
        <v>151</v>
      </c>
      <c r="C66" s="70" t="s">
        <v>5228</v>
      </c>
      <c r="D66" s="70" t="s">
        <v>3595</v>
      </c>
      <c r="E66" s="70" t="s">
        <v>3843</v>
      </c>
      <c r="F66" s="70" t="s">
        <v>5229</v>
      </c>
      <c r="G66" s="70" t="s">
        <v>5890</v>
      </c>
      <c r="H66" s="70" t="s">
        <v>5675</v>
      </c>
      <c r="I66" s="70" t="s">
        <v>5676</v>
      </c>
      <c r="J66" s="70" t="s">
        <v>5677</v>
      </c>
      <c r="K66" s="70" t="s">
        <v>5891</v>
      </c>
      <c r="L66" s="72">
        <v>45788</v>
      </c>
      <c r="M66" s="70" t="s">
        <v>5891</v>
      </c>
      <c r="N66" s="72">
        <v>45788</v>
      </c>
      <c r="O66" s="70" t="s">
        <v>5891</v>
      </c>
      <c r="P66" s="72">
        <v>45788</v>
      </c>
      <c r="Q66" s="70" t="s">
        <v>1859</v>
      </c>
      <c r="R66" s="72">
        <v>46101</v>
      </c>
      <c r="S66" s="70">
        <f t="shared" si="0"/>
        <v>313</v>
      </c>
      <c r="T66" s="70">
        <f t="shared" si="1"/>
        <v>313</v>
      </c>
      <c r="U66" s="70">
        <f t="shared" si="2"/>
        <v>0.85694729637234768</v>
      </c>
      <c r="V66" s="70">
        <f t="shared" si="3"/>
        <v>0.73435866875987632</v>
      </c>
      <c r="W66" s="70" t="s">
        <v>5679</v>
      </c>
      <c r="X66" s="70" t="s">
        <v>5728</v>
      </c>
      <c r="Y66" s="70"/>
      <c r="Z66" s="70"/>
      <c r="AA66" s="70"/>
      <c r="AB66" s="70" t="s">
        <v>5892</v>
      </c>
      <c r="AC66" s="70"/>
    </row>
    <row r="67" spans="1:29" ht="29" customHeight="1" x14ac:dyDescent="0.2">
      <c r="A67" s="71" t="s">
        <v>5893</v>
      </c>
      <c r="B67" s="71" t="s">
        <v>151</v>
      </c>
      <c r="C67" s="71" t="s">
        <v>5228</v>
      </c>
      <c r="D67" s="71" t="s">
        <v>5686</v>
      </c>
      <c r="E67" s="71" t="s">
        <v>3843</v>
      </c>
      <c r="F67" s="71" t="s">
        <v>5229</v>
      </c>
      <c r="G67" s="71" t="s">
        <v>5890</v>
      </c>
      <c r="H67" s="71" t="s">
        <v>5675</v>
      </c>
      <c r="I67" s="71" t="s">
        <v>5096</v>
      </c>
      <c r="J67" s="71" t="s">
        <v>5677</v>
      </c>
      <c r="K67" s="71" t="s">
        <v>5891</v>
      </c>
      <c r="L67" s="73">
        <v>45788</v>
      </c>
      <c r="M67" s="71" t="s">
        <v>5891</v>
      </c>
      <c r="N67" s="73">
        <v>45788</v>
      </c>
      <c r="O67" s="71" t="s">
        <v>5891</v>
      </c>
      <c r="P67" s="73">
        <v>45788</v>
      </c>
      <c r="Q67" s="71" t="s">
        <v>1859</v>
      </c>
      <c r="R67" s="73">
        <v>46101</v>
      </c>
      <c r="S67" s="71">
        <f t="shared" si="0"/>
        <v>313</v>
      </c>
      <c r="T67" s="71">
        <f t="shared" si="1"/>
        <v>313</v>
      </c>
      <c r="U67" s="71">
        <f t="shared" si="2"/>
        <v>0.85694729637234768</v>
      </c>
      <c r="V67" s="71">
        <f t="shared" si="3"/>
        <v>0.73435866875987632</v>
      </c>
      <c r="W67" s="71" t="s">
        <v>5679</v>
      </c>
      <c r="X67" s="71" t="s">
        <v>5687</v>
      </c>
      <c r="Y67" s="71"/>
      <c r="Z67" s="71"/>
      <c r="AA67" s="71"/>
      <c r="AB67" s="71"/>
      <c r="AC67" s="71"/>
    </row>
    <row r="68" spans="1:29" ht="29" customHeight="1" x14ac:dyDescent="0.2">
      <c r="A68" s="70" t="s">
        <v>5894</v>
      </c>
      <c r="B68" s="70" t="s">
        <v>151</v>
      </c>
      <c r="C68" s="70" t="s">
        <v>5231</v>
      </c>
      <c r="D68" s="70" t="s">
        <v>3595</v>
      </c>
      <c r="E68" s="70" t="s">
        <v>5233</v>
      </c>
      <c r="F68" s="70" t="s">
        <v>5232</v>
      </c>
      <c r="G68" s="70" t="s">
        <v>5895</v>
      </c>
      <c r="H68" s="70" t="s">
        <v>5675</v>
      </c>
      <c r="I68" s="70" t="s">
        <v>5696</v>
      </c>
      <c r="J68" s="70" t="s">
        <v>5677</v>
      </c>
      <c r="K68" s="70" t="s">
        <v>5896</v>
      </c>
      <c r="L68" s="72">
        <v>46040</v>
      </c>
      <c r="M68" s="70" t="s">
        <v>5896</v>
      </c>
      <c r="N68" s="72">
        <v>46040</v>
      </c>
      <c r="O68" s="70" t="s">
        <v>5896</v>
      </c>
      <c r="P68" s="72">
        <v>46040</v>
      </c>
      <c r="Q68" s="70" t="s">
        <v>1859</v>
      </c>
      <c r="R68" s="72">
        <v>46101</v>
      </c>
      <c r="S68" s="70">
        <f t="shared" ref="S68:S131" si="4">IF(OR(J68="UNKNOWN",R68=""),"",R68-IF(J68="EXACT",L68,P68))</f>
        <v>61</v>
      </c>
      <c r="T68" s="70">
        <f t="shared" ref="T68:T131" si="5">IF(J68="EXACT",R68-L68,IF(J68="INTERVAL",R68-N68,""))</f>
        <v>61</v>
      </c>
      <c r="U68" s="70">
        <f t="shared" ref="U68:U131" si="6">IF(S68="","",S68/365.25)</f>
        <v>0.16700889801505817</v>
      </c>
      <c r="V68" s="70">
        <f t="shared" ref="V68:V131" si="7">IF(U68="","",U68^2)</f>
        <v>2.7891972016204098E-2</v>
      </c>
      <c r="W68" s="70" t="s">
        <v>5679</v>
      </c>
      <c r="X68" s="70" t="s">
        <v>5728</v>
      </c>
      <c r="Y68" s="70"/>
      <c r="Z68" s="70"/>
      <c r="AA68" s="70"/>
      <c r="AB68" s="70" t="s">
        <v>5897</v>
      </c>
      <c r="AC68" s="70"/>
    </row>
    <row r="69" spans="1:29" ht="43.5" customHeight="1" x14ac:dyDescent="0.2">
      <c r="A69" s="71" t="s">
        <v>5898</v>
      </c>
      <c r="B69" s="71" t="s">
        <v>151</v>
      </c>
      <c r="C69" s="71" t="s">
        <v>5234</v>
      </c>
      <c r="D69" s="71" t="s">
        <v>3595</v>
      </c>
      <c r="E69" s="71" t="s">
        <v>5236</v>
      </c>
      <c r="F69" s="71" t="s">
        <v>5235</v>
      </c>
      <c r="G69" s="71" t="s">
        <v>5899</v>
      </c>
      <c r="H69" s="71" t="s">
        <v>5675</v>
      </c>
      <c r="I69" s="71" t="s">
        <v>5690</v>
      </c>
      <c r="J69" s="71" t="s">
        <v>5697</v>
      </c>
      <c r="K69" s="71"/>
      <c r="L69" s="73"/>
      <c r="M69" s="71" t="s">
        <v>5900</v>
      </c>
      <c r="N69" s="73">
        <v>45104</v>
      </c>
      <c r="O69" s="71" t="s">
        <v>3862</v>
      </c>
      <c r="P69" s="73">
        <v>45116</v>
      </c>
      <c r="Q69" s="71" t="s">
        <v>1859</v>
      </c>
      <c r="R69" s="73">
        <v>46101</v>
      </c>
      <c r="S69" s="71">
        <f t="shared" si="4"/>
        <v>985</v>
      </c>
      <c r="T69" s="71">
        <f t="shared" si="5"/>
        <v>997</v>
      </c>
      <c r="U69" s="71">
        <f t="shared" si="6"/>
        <v>2.6967830253251197</v>
      </c>
      <c r="V69" s="71">
        <f t="shared" si="7"/>
        <v>7.2726386856817049</v>
      </c>
      <c r="W69" s="71" t="s">
        <v>5901</v>
      </c>
      <c r="X69" s="71" t="s">
        <v>5728</v>
      </c>
      <c r="Y69" s="71"/>
      <c r="Z69" s="71"/>
      <c r="AA69" s="71"/>
      <c r="AB69" s="71" t="s">
        <v>5902</v>
      </c>
      <c r="AC69" s="71" t="s">
        <v>5903</v>
      </c>
    </row>
    <row r="70" spans="1:29" ht="43.5" customHeight="1" x14ac:dyDescent="0.2">
      <c r="A70" s="70" t="s">
        <v>5904</v>
      </c>
      <c r="B70" s="70" t="s">
        <v>151</v>
      </c>
      <c r="C70" s="70" t="s">
        <v>5237</v>
      </c>
      <c r="D70" s="70" t="s">
        <v>3595</v>
      </c>
      <c r="E70" s="70" t="s">
        <v>5239</v>
      </c>
      <c r="F70" s="70" t="s">
        <v>5238</v>
      </c>
      <c r="G70" s="70" t="s">
        <v>5905</v>
      </c>
      <c r="H70" s="70" t="s">
        <v>5675</v>
      </c>
      <c r="I70" s="70" t="s">
        <v>5696</v>
      </c>
      <c r="J70" s="70" t="s">
        <v>5697</v>
      </c>
      <c r="K70" s="70"/>
      <c r="L70" s="72"/>
      <c r="M70" s="70" t="s">
        <v>5900</v>
      </c>
      <c r="N70" s="72">
        <v>45104</v>
      </c>
      <c r="O70" s="70" t="s">
        <v>3862</v>
      </c>
      <c r="P70" s="72">
        <v>45116</v>
      </c>
      <c r="Q70" s="70" t="s">
        <v>1859</v>
      </c>
      <c r="R70" s="72">
        <v>46101</v>
      </c>
      <c r="S70" s="70">
        <f t="shared" si="4"/>
        <v>985</v>
      </c>
      <c r="T70" s="70">
        <f t="shared" si="5"/>
        <v>997</v>
      </c>
      <c r="U70" s="70">
        <f t="shared" si="6"/>
        <v>2.6967830253251197</v>
      </c>
      <c r="V70" s="70">
        <f t="shared" si="7"/>
        <v>7.2726386856817049</v>
      </c>
      <c r="W70" s="70" t="s">
        <v>5901</v>
      </c>
      <c r="X70" s="70" t="s">
        <v>5728</v>
      </c>
      <c r="Y70" s="70"/>
      <c r="Z70" s="70"/>
      <c r="AA70" s="70"/>
      <c r="AB70" s="70" t="s">
        <v>5902</v>
      </c>
      <c r="AC70" s="70" t="s">
        <v>5903</v>
      </c>
    </row>
    <row r="71" spans="1:29" ht="43.5" customHeight="1" x14ac:dyDescent="0.2">
      <c r="A71" s="71" t="s">
        <v>5906</v>
      </c>
      <c r="B71" s="71" t="s">
        <v>151</v>
      </c>
      <c r="C71" s="71" t="s">
        <v>5240</v>
      </c>
      <c r="D71" s="71" t="s">
        <v>3595</v>
      </c>
      <c r="E71" s="71" t="s">
        <v>3858</v>
      </c>
      <c r="F71" s="71" t="s">
        <v>5241</v>
      </c>
      <c r="G71" s="71" t="s">
        <v>5907</v>
      </c>
      <c r="H71" s="71" t="s">
        <v>5675</v>
      </c>
      <c r="I71" s="71" t="s">
        <v>5696</v>
      </c>
      <c r="J71" s="71" t="s">
        <v>5697</v>
      </c>
      <c r="K71" s="71"/>
      <c r="L71" s="73"/>
      <c r="M71" s="71" t="s">
        <v>5900</v>
      </c>
      <c r="N71" s="73">
        <v>45104</v>
      </c>
      <c r="O71" s="71" t="s">
        <v>3862</v>
      </c>
      <c r="P71" s="73">
        <v>45116</v>
      </c>
      <c r="Q71" s="71" t="s">
        <v>1859</v>
      </c>
      <c r="R71" s="73">
        <v>46101</v>
      </c>
      <c r="S71" s="71">
        <f t="shared" si="4"/>
        <v>985</v>
      </c>
      <c r="T71" s="71">
        <f t="shared" si="5"/>
        <v>997</v>
      </c>
      <c r="U71" s="71">
        <f t="shared" si="6"/>
        <v>2.6967830253251197</v>
      </c>
      <c r="V71" s="71">
        <f t="shared" si="7"/>
        <v>7.2726386856817049</v>
      </c>
      <c r="W71" s="71" t="s">
        <v>5901</v>
      </c>
      <c r="X71" s="71" t="s">
        <v>5728</v>
      </c>
      <c r="Y71" s="71"/>
      <c r="Z71" s="71"/>
      <c r="AA71" s="71"/>
      <c r="AB71" s="71" t="s">
        <v>5902</v>
      </c>
      <c r="AC71" s="71" t="s">
        <v>5903</v>
      </c>
    </row>
    <row r="72" spans="1:29" ht="29" customHeight="1" x14ac:dyDescent="0.2">
      <c r="A72" s="70" t="s">
        <v>5908</v>
      </c>
      <c r="B72" s="70" t="s">
        <v>151</v>
      </c>
      <c r="C72" s="70"/>
      <c r="D72" s="70" t="s">
        <v>5717</v>
      </c>
      <c r="E72" s="70" t="s">
        <v>5236</v>
      </c>
      <c r="F72" s="70"/>
      <c r="G72" s="70" t="s">
        <v>5899</v>
      </c>
      <c r="H72" s="70" t="s">
        <v>5675</v>
      </c>
      <c r="I72" s="70" t="s">
        <v>5091</v>
      </c>
      <c r="J72" s="70" t="s">
        <v>5793</v>
      </c>
      <c r="K72" s="70"/>
      <c r="L72" s="72"/>
      <c r="M72" s="70"/>
      <c r="N72" s="72"/>
      <c r="O72" s="70" t="s">
        <v>5909</v>
      </c>
      <c r="P72" s="72">
        <v>45108</v>
      </c>
      <c r="Q72" s="70" t="s">
        <v>1859</v>
      </c>
      <c r="R72" s="72">
        <v>46101</v>
      </c>
      <c r="S72" s="70">
        <f t="shared" si="4"/>
        <v>993</v>
      </c>
      <c r="T72" s="70" t="str">
        <f t="shared" si="5"/>
        <v/>
      </c>
      <c r="U72" s="70">
        <f t="shared" si="6"/>
        <v>2.7186858316221767</v>
      </c>
      <c r="V72" s="70">
        <f t="shared" si="7"/>
        <v>7.3912526510631666</v>
      </c>
      <c r="W72" s="70" t="s">
        <v>5795</v>
      </c>
      <c r="X72" s="70" t="s">
        <v>5728</v>
      </c>
      <c r="Y72" s="70"/>
      <c r="Z72" s="70"/>
      <c r="AA72" s="70"/>
      <c r="AB72" s="70" t="s">
        <v>5111</v>
      </c>
      <c r="AC72" s="70"/>
    </row>
    <row r="73" spans="1:29" ht="43.5" customHeight="1" x14ac:dyDescent="0.2">
      <c r="A73" s="71" t="s">
        <v>5910</v>
      </c>
      <c r="B73" s="71" t="s">
        <v>157</v>
      </c>
      <c r="C73" s="71" t="s">
        <v>5242</v>
      </c>
      <c r="D73" s="71" t="s">
        <v>3595</v>
      </c>
      <c r="E73" s="71" t="s">
        <v>5244</v>
      </c>
      <c r="F73" s="71" t="s">
        <v>5243</v>
      </c>
      <c r="G73" s="71" t="s">
        <v>5911</v>
      </c>
      <c r="H73" s="71" t="s">
        <v>5675</v>
      </c>
      <c r="I73" s="71" t="s">
        <v>5690</v>
      </c>
      <c r="J73" s="71" t="s">
        <v>5677</v>
      </c>
      <c r="K73" s="71" t="s">
        <v>5912</v>
      </c>
      <c r="L73" s="73">
        <v>45139</v>
      </c>
      <c r="M73" s="71" t="s">
        <v>5912</v>
      </c>
      <c r="N73" s="73">
        <v>45139</v>
      </c>
      <c r="O73" s="71" t="s">
        <v>5912</v>
      </c>
      <c r="P73" s="73">
        <v>45139</v>
      </c>
      <c r="Q73" s="71" t="s">
        <v>1859</v>
      </c>
      <c r="R73" s="73">
        <v>46101</v>
      </c>
      <c r="S73" s="71">
        <f t="shared" si="4"/>
        <v>962</v>
      </c>
      <c r="T73" s="71">
        <f t="shared" si="5"/>
        <v>962</v>
      </c>
      <c r="U73" s="71">
        <f t="shared" si="6"/>
        <v>2.6338124572210813</v>
      </c>
      <c r="V73" s="71">
        <f t="shared" si="7"/>
        <v>6.9369680598129504</v>
      </c>
      <c r="W73" s="71" t="s">
        <v>5871</v>
      </c>
      <c r="X73" s="71" t="s">
        <v>5872</v>
      </c>
      <c r="Y73" s="71" t="s">
        <v>5912</v>
      </c>
      <c r="Z73" s="71" t="s">
        <v>5682</v>
      </c>
      <c r="AA73" s="71"/>
      <c r="AB73" s="71" t="s">
        <v>5913</v>
      </c>
      <c r="AC73" s="71" t="s">
        <v>5914</v>
      </c>
    </row>
    <row r="74" spans="1:29" ht="29" customHeight="1" x14ac:dyDescent="0.2">
      <c r="A74" s="70" t="s">
        <v>5915</v>
      </c>
      <c r="B74" s="70" t="s">
        <v>157</v>
      </c>
      <c r="C74" s="70" t="s">
        <v>5246</v>
      </c>
      <c r="D74" s="70" t="s">
        <v>3595</v>
      </c>
      <c r="E74" s="70" t="s">
        <v>5248</v>
      </c>
      <c r="F74" s="70" t="s">
        <v>5247</v>
      </c>
      <c r="G74" s="70" t="s">
        <v>5916</v>
      </c>
      <c r="H74" s="70" t="s">
        <v>5675</v>
      </c>
      <c r="I74" s="70" t="s">
        <v>5696</v>
      </c>
      <c r="J74" s="70" t="s">
        <v>5697</v>
      </c>
      <c r="K74" s="70"/>
      <c r="L74" s="72"/>
      <c r="M74" s="70" t="s">
        <v>5917</v>
      </c>
      <c r="N74" s="72">
        <v>45882</v>
      </c>
      <c r="O74" s="70" t="s">
        <v>3756</v>
      </c>
      <c r="P74" s="72">
        <v>45887</v>
      </c>
      <c r="Q74" s="70" t="s">
        <v>1859</v>
      </c>
      <c r="R74" s="72">
        <v>46101</v>
      </c>
      <c r="S74" s="70">
        <f t="shared" si="4"/>
        <v>214</v>
      </c>
      <c r="T74" s="70">
        <f t="shared" si="5"/>
        <v>219</v>
      </c>
      <c r="U74" s="70">
        <f t="shared" si="6"/>
        <v>0.58590006844626963</v>
      </c>
      <c r="V74" s="70">
        <f t="shared" si="7"/>
        <v>0.34327889020534341</v>
      </c>
      <c r="W74" s="70" t="s">
        <v>5918</v>
      </c>
      <c r="X74" s="70" t="s">
        <v>5701</v>
      </c>
      <c r="Y74" s="70" t="s">
        <v>5917</v>
      </c>
      <c r="Z74" s="70" t="s">
        <v>5682</v>
      </c>
      <c r="AA74" s="70"/>
      <c r="AB74" s="70" t="s">
        <v>5913</v>
      </c>
      <c r="AC74" s="70" t="s">
        <v>5919</v>
      </c>
    </row>
    <row r="75" spans="1:29" ht="29" customHeight="1" x14ac:dyDescent="0.2">
      <c r="A75" s="71" t="s">
        <v>5920</v>
      </c>
      <c r="B75" s="71" t="s">
        <v>157</v>
      </c>
      <c r="C75" s="71" t="s">
        <v>5249</v>
      </c>
      <c r="D75" s="71" t="s">
        <v>3595</v>
      </c>
      <c r="E75" s="71" t="s">
        <v>5251</v>
      </c>
      <c r="F75" s="71" t="s">
        <v>5250</v>
      </c>
      <c r="G75" s="71" t="s">
        <v>5921</v>
      </c>
      <c r="H75" s="71" t="s">
        <v>5675</v>
      </c>
      <c r="I75" s="71" t="s">
        <v>5676</v>
      </c>
      <c r="J75" s="71" t="s">
        <v>5677</v>
      </c>
      <c r="K75" s="71" t="s">
        <v>2860</v>
      </c>
      <c r="L75" s="73">
        <v>45875</v>
      </c>
      <c r="M75" s="71" t="s">
        <v>2860</v>
      </c>
      <c r="N75" s="73">
        <v>45875</v>
      </c>
      <c r="O75" s="71" t="s">
        <v>2860</v>
      </c>
      <c r="P75" s="73">
        <v>45875</v>
      </c>
      <c r="Q75" s="71" t="s">
        <v>1859</v>
      </c>
      <c r="R75" s="73">
        <v>46101</v>
      </c>
      <c r="S75" s="71">
        <f t="shared" si="4"/>
        <v>226</v>
      </c>
      <c r="T75" s="71">
        <f t="shared" si="5"/>
        <v>226</v>
      </c>
      <c r="U75" s="71">
        <f t="shared" si="6"/>
        <v>0.61875427789185489</v>
      </c>
      <c r="V75" s="71">
        <f t="shared" si="7"/>
        <v>0.38285685640947076</v>
      </c>
      <c r="W75" s="71" t="s">
        <v>5679</v>
      </c>
      <c r="X75" s="71" t="s">
        <v>5728</v>
      </c>
      <c r="Y75" s="71"/>
      <c r="Z75" s="71"/>
      <c r="AA75" s="71"/>
      <c r="AB75" s="71" t="s">
        <v>5913</v>
      </c>
      <c r="AC75" s="71"/>
    </row>
    <row r="76" spans="1:29" ht="29" customHeight="1" x14ac:dyDescent="0.2">
      <c r="A76" s="70" t="s">
        <v>5922</v>
      </c>
      <c r="B76" s="70" t="s">
        <v>157</v>
      </c>
      <c r="C76" s="70" t="s">
        <v>5249</v>
      </c>
      <c r="D76" s="70" t="s">
        <v>5686</v>
      </c>
      <c r="E76" s="70" t="s">
        <v>5251</v>
      </c>
      <c r="F76" s="70" t="s">
        <v>5250</v>
      </c>
      <c r="G76" s="70" t="s">
        <v>5921</v>
      </c>
      <c r="H76" s="70" t="s">
        <v>5675</v>
      </c>
      <c r="I76" s="70" t="s">
        <v>5096</v>
      </c>
      <c r="J76" s="70" t="s">
        <v>5677</v>
      </c>
      <c r="K76" s="70" t="s">
        <v>2860</v>
      </c>
      <c r="L76" s="72">
        <v>45875</v>
      </c>
      <c r="M76" s="70" t="s">
        <v>2860</v>
      </c>
      <c r="N76" s="72">
        <v>45875</v>
      </c>
      <c r="O76" s="70" t="s">
        <v>2860</v>
      </c>
      <c r="P76" s="72">
        <v>45875</v>
      </c>
      <c r="Q76" s="70" t="s">
        <v>1859</v>
      </c>
      <c r="R76" s="72">
        <v>46101</v>
      </c>
      <c r="S76" s="70">
        <f t="shared" si="4"/>
        <v>226</v>
      </c>
      <c r="T76" s="70">
        <f t="shared" si="5"/>
        <v>226</v>
      </c>
      <c r="U76" s="70">
        <f t="shared" si="6"/>
        <v>0.61875427789185489</v>
      </c>
      <c r="V76" s="70">
        <f t="shared" si="7"/>
        <v>0.38285685640947076</v>
      </c>
      <c r="W76" s="70" t="s">
        <v>5679</v>
      </c>
      <c r="X76" s="70" t="s">
        <v>5687</v>
      </c>
      <c r="Y76" s="70"/>
      <c r="Z76" s="70"/>
      <c r="AA76" s="70"/>
      <c r="AB76" s="70"/>
      <c r="AC76" s="70"/>
    </row>
    <row r="77" spans="1:29" ht="29" customHeight="1" x14ac:dyDescent="0.2">
      <c r="A77" s="71" t="s">
        <v>5923</v>
      </c>
      <c r="B77" s="71" t="s">
        <v>157</v>
      </c>
      <c r="C77" s="71" t="s">
        <v>5252</v>
      </c>
      <c r="D77" s="71" t="s">
        <v>3595</v>
      </c>
      <c r="E77" s="71" t="s">
        <v>5254</v>
      </c>
      <c r="F77" s="71" t="s">
        <v>5253</v>
      </c>
      <c r="G77" s="71" t="s">
        <v>5924</v>
      </c>
      <c r="H77" s="71" t="s">
        <v>5675</v>
      </c>
      <c r="I77" s="71" t="s">
        <v>5696</v>
      </c>
      <c r="J77" s="71" t="s">
        <v>5677</v>
      </c>
      <c r="K77" s="71" t="s">
        <v>2860</v>
      </c>
      <c r="L77" s="73">
        <v>45875</v>
      </c>
      <c r="M77" s="71" t="s">
        <v>2860</v>
      </c>
      <c r="N77" s="73">
        <v>45875</v>
      </c>
      <c r="O77" s="71" t="s">
        <v>2860</v>
      </c>
      <c r="P77" s="73">
        <v>45875</v>
      </c>
      <c r="Q77" s="71" t="s">
        <v>1859</v>
      </c>
      <c r="R77" s="73">
        <v>46101</v>
      </c>
      <c r="S77" s="71">
        <f t="shared" si="4"/>
        <v>226</v>
      </c>
      <c r="T77" s="71">
        <f t="shared" si="5"/>
        <v>226</v>
      </c>
      <c r="U77" s="71">
        <f t="shared" si="6"/>
        <v>0.61875427789185489</v>
      </c>
      <c r="V77" s="71">
        <f t="shared" si="7"/>
        <v>0.38285685640947076</v>
      </c>
      <c r="W77" s="71" t="s">
        <v>5679</v>
      </c>
      <c r="X77" s="71" t="s">
        <v>5728</v>
      </c>
      <c r="Y77" s="71"/>
      <c r="Z77" s="71"/>
      <c r="AA77" s="71"/>
      <c r="AB77" s="71" t="s">
        <v>5913</v>
      </c>
      <c r="AC77" s="71"/>
    </row>
    <row r="78" spans="1:29" ht="29" customHeight="1" x14ac:dyDescent="0.2">
      <c r="A78" s="70" t="s">
        <v>5925</v>
      </c>
      <c r="B78" s="70" t="s">
        <v>157</v>
      </c>
      <c r="C78" s="70" t="s">
        <v>5255</v>
      </c>
      <c r="D78" s="70" t="s">
        <v>3595</v>
      </c>
      <c r="E78" s="70" t="s">
        <v>5257</v>
      </c>
      <c r="F78" s="70" t="s">
        <v>5256</v>
      </c>
      <c r="G78" s="70" t="s">
        <v>5926</v>
      </c>
      <c r="H78" s="70" t="s">
        <v>5675</v>
      </c>
      <c r="I78" s="70" t="s">
        <v>5696</v>
      </c>
      <c r="J78" s="70" t="s">
        <v>5677</v>
      </c>
      <c r="K78" s="70" t="s">
        <v>2860</v>
      </c>
      <c r="L78" s="72">
        <v>45875</v>
      </c>
      <c r="M78" s="70" t="s">
        <v>2860</v>
      </c>
      <c r="N78" s="72">
        <v>45875</v>
      </c>
      <c r="O78" s="70" t="s">
        <v>2860</v>
      </c>
      <c r="P78" s="72">
        <v>45875</v>
      </c>
      <c r="Q78" s="70" t="s">
        <v>1859</v>
      </c>
      <c r="R78" s="72">
        <v>46101</v>
      </c>
      <c r="S78" s="70">
        <f t="shared" si="4"/>
        <v>226</v>
      </c>
      <c r="T78" s="70">
        <f t="shared" si="5"/>
        <v>226</v>
      </c>
      <c r="U78" s="70">
        <f t="shared" si="6"/>
        <v>0.61875427789185489</v>
      </c>
      <c r="V78" s="70">
        <f t="shared" si="7"/>
        <v>0.38285685640947076</v>
      </c>
      <c r="W78" s="70" t="s">
        <v>5679</v>
      </c>
      <c r="X78" s="70" t="s">
        <v>5728</v>
      </c>
      <c r="Y78" s="70"/>
      <c r="Z78" s="70"/>
      <c r="AA78" s="70"/>
      <c r="AB78" s="70" t="s">
        <v>5927</v>
      </c>
      <c r="AC78" s="70"/>
    </row>
    <row r="79" spans="1:29" ht="29" customHeight="1" x14ac:dyDescent="0.2">
      <c r="A79" s="71" t="s">
        <v>5928</v>
      </c>
      <c r="B79" s="71" t="s">
        <v>157</v>
      </c>
      <c r="C79" s="71"/>
      <c r="D79" s="71" t="s">
        <v>5717</v>
      </c>
      <c r="E79" s="71" t="s">
        <v>5244</v>
      </c>
      <c r="F79" s="71"/>
      <c r="G79" s="71" t="s">
        <v>5911</v>
      </c>
      <c r="H79" s="71" t="s">
        <v>5675</v>
      </c>
      <c r="I79" s="71" t="s">
        <v>5091</v>
      </c>
      <c r="J79" s="71" t="s">
        <v>5793</v>
      </c>
      <c r="K79" s="71"/>
      <c r="L79" s="73"/>
      <c r="M79" s="71"/>
      <c r="N79" s="73"/>
      <c r="O79" s="71" t="s">
        <v>5929</v>
      </c>
      <c r="P79" s="73">
        <v>45140</v>
      </c>
      <c r="Q79" s="71" t="s">
        <v>1859</v>
      </c>
      <c r="R79" s="73">
        <v>46101</v>
      </c>
      <c r="S79" s="71">
        <f t="shared" si="4"/>
        <v>961</v>
      </c>
      <c r="T79" s="71" t="str">
        <f t="shared" si="5"/>
        <v/>
      </c>
      <c r="U79" s="71">
        <f t="shared" si="6"/>
        <v>2.6310746064339492</v>
      </c>
      <c r="V79" s="71">
        <f t="shared" si="7"/>
        <v>6.9225535846215607</v>
      </c>
      <c r="W79" s="71" t="s">
        <v>5795</v>
      </c>
      <c r="X79" s="71" t="s">
        <v>5728</v>
      </c>
      <c r="Y79" s="71"/>
      <c r="Z79" s="71"/>
      <c r="AA79" s="71"/>
      <c r="AB79" s="71" t="s">
        <v>5111</v>
      </c>
      <c r="AC79" s="71"/>
    </row>
    <row r="80" spans="1:29" ht="29" customHeight="1" x14ac:dyDescent="0.2">
      <c r="A80" s="70" t="s">
        <v>5930</v>
      </c>
      <c r="B80" s="70" t="s">
        <v>159</v>
      </c>
      <c r="C80" s="70" t="s">
        <v>5258</v>
      </c>
      <c r="D80" s="70" t="s">
        <v>3595</v>
      </c>
      <c r="E80" s="70" t="s">
        <v>5260</v>
      </c>
      <c r="F80" s="70" t="s">
        <v>5259</v>
      </c>
      <c r="G80" s="70" t="s">
        <v>5931</v>
      </c>
      <c r="H80" s="70" t="s">
        <v>5675</v>
      </c>
      <c r="I80" s="70" t="s">
        <v>5690</v>
      </c>
      <c r="J80" s="70" t="s">
        <v>5677</v>
      </c>
      <c r="K80" s="70" t="s">
        <v>5932</v>
      </c>
      <c r="L80" s="72">
        <v>45641</v>
      </c>
      <c r="M80" s="70" t="s">
        <v>5932</v>
      </c>
      <c r="N80" s="72">
        <v>45641</v>
      </c>
      <c r="O80" s="70" t="s">
        <v>5932</v>
      </c>
      <c r="P80" s="72">
        <v>45641</v>
      </c>
      <c r="Q80" s="70" t="s">
        <v>4364</v>
      </c>
      <c r="R80" s="72">
        <v>45829</v>
      </c>
      <c r="S80" s="70">
        <f t="shared" si="4"/>
        <v>188</v>
      </c>
      <c r="T80" s="70">
        <f t="shared" si="5"/>
        <v>188</v>
      </c>
      <c r="U80" s="70">
        <f t="shared" si="6"/>
        <v>0.51471594798083509</v>
      </c>
      <c r="V80" s="70">
        <f t="shared" si="7"/>
        <v>0.26493250710580973</v>
      </c>
      <c r="W80" s="70" t="s">
        <v>5679</v>
      </c>
      <c r="X80" s="70" t="s">
        <v>5680</v>
      </c>
      <c r="Y80" s="70" t="s">
        <v>5932</v>
      </c>
      <c r="Z80" s="70" t="s">
        <v>5682</v>
      </c>
      <c r="AA80" s="70"/>
      <c r="AB80" s="70" t="s">
        <v>5933</v>
      </c>
      <c r="AC80" s="70" t="s">
        <v>5934</v>
      </c>
    </row>
    <row r="81" spans="1:29" ht="29" customHeight="1" x14ac:dyDescent="0.2">
      <c r="A81" s="71" t="s">
        <v>5935</v>
      </c>
      <c r="B81" s="71" t="s">
        <v>159</v>
      </c>
      <c r="C81" s="71" t="s">
        <v>5262</v>
      </c>
      <c r="D81" s="71" t="s">
        <v>3595</v>
      </c>
      <c r="E81" s="71" t="s">
        <v>5264</v>
      </c>
      <c r="F81" s="71" t="s">
        <v>5263</v>
      </c>
      <c r="G81" s="71" t="s">
        <v>5936</v>
      </c>
      <c r="H81" s="71" t="s">
        <v>5675</v>
      </c>
      <c r="I81" s="71" t="s">
        <v>5696</v>
      </c>
      <c r="J81" s="71" t="s">
        <v>5677</v>
      </c>
      <c r="K81" s="71" t="s">
        <v>5937</v>
      </c>
      <c r="L81" s="73">
        <v>45726</v>
      </c>
      <c r="M81" s="71" t="s">
        <v>5937</v>
      </c>
      <c r="N81" s="73">
        <v>45726</v>
      </c>
      <c r="O81" s="71" t="s">
        <v>5937</v>
      </c>
      <c r="P81" s="73">
        <v>45726</v>
      </c>
      <c r="Q81" s="71" t="s">
        <v>4364</v>
      </c>
      <c r="R81" s="73">
        <v>45829</v>
      </c>
      <c r="S81" s="71">
        <f t="shared" si="4"/>
        <v>103</v>
      </c>
      <c r="T81" s="71">
        <f t="shared" si="5"/>
        <v>103</v>
      </c>
      <c r="U81" s="71">
        <f t="shared" si="6"/>
        <v>0.28199863107460643</v>
      </c>
      <c r="V81" s="71">
        <f t="shared" si="7"/>
        <v>7.9523227927951981E-2</v>
      </c>
      <c r="W81" s="71" t="s">
        <v>5679</v>
      </c>
      <c r="X81" s="71" t="s">
        <v>5728</v>
      </c>
      <c r="Y81" s="71"/>
      <c r="Z81" s="71"/>
      <c r="AA81" s="71"/>
      <c r="AB81" s="71" t="s">
        <v>5933</v>
      </c>
      <c r="AC81" s="71"/>
    </row>
    <row r="82" spans="1:29" ht="43.5" customHeight="1" x14ac:dyDescent="0.2">
      <c r="A82" s="70" t="s">
        <v>5938</v>
      </c>
      <c r="B82" s="70" t="s">
        <v>159</v>
      </c>
      <c r="C82" s="70" t="s">
        <v>5265</v>
      </c>
      <c r="D82" s="70" t="s">
        <v>3595</v>
      </c>
      <c r="E82" s="70" t="s">
        <v>5267</v>
      </c>
      <c r="F82" s="70" t="s">
        <v>5266</v>
      </c>
      <c r="G82" s="70" t="s">
        <v>5939</v>
      </c>
      <c r="H82" s="70" t="s">
        <v>5675</v>
      </c>
      <c r="I82" s="70" t="s">
        <v>5676</v>
      </c>
      <c r="J82" s="70" t="s">
        <v>5697</v>
      </c>
      <c r="K82" s="70"/>
      <c r="L82" s="72"/>
      <c r="M82" s="70" t="s">
        <v>5940</v>
      </c>
      <c r="N82" s="72">
        <v>45146</v>
      </c>
      <c r="O82" s="70" t="s">
        <v>4305</v>
      </c>
      <c r="P82" s="72">
        <v>45238</v>
      </c>
      <c r="Q82" s="70" t="s">
        <v>4364</v>
      </c>
      <c r="R82" s="72">
        <v>45829</v>
      </c>
      <c r="S82" s="70">
        <f t="shared" si="4"/>
        <v>591</v>
      </c>
      <c r="T82" s="70">
        <f t="shared" si="5"/>
        <v>683</v>
      </c>
      <c r="U82" s="70">
        <f t="shared" si="6"/>
        <v>1.6180698151950719</v>
      </c>
      <c r="V82" s="70">
        <f t="shared" si="7"/>
        <v>2.618149926845414</v>
      </c>
      <c r="W82" s="70" t="s">
        <v>5941</v>
      </c>
      <c r="X82" s="70" t="s">
        <v>5728</v>
      </c>
      <c r="Y82" s="70"/>
      <c r="Z82" s="70"/>
      <c r="AA82" s="70"/>
      <c r="AB82" s="70" t="s">
        <v>5933</v>
      </c>
      <c r="AC82" s="70" t="s">
        <v>5903</v>
      </c>
    </row>
    <row r="83" spans="1:29" ht="29" customHeight="1" x14ac:dyDescent="0.2">
      <c r="A83" s="71" t="s">
        <v>5942</v>
      </c>
      <c r="B83" s="71" t="s">
        <v>159</v>
      </c>
      <c r="C83" s="71" t="s">
        <v>5265</v>
      </c>
      <c r="D83" s="71" t="s">
        <v>5686</v>
      </c>
      <c r="E83" s="71" t="s">
        <v>5267</v>
      </c>
      <c r="F83" s="71" t="s">
        <v>5266</v>
      </c>
      <c r="G83" s="71" t="s">
        <v>5939</v>
      </c>
      <c r="H83" s="71" t="s">
        <v>5675</v>
      </c>
      <c r="I83" s="71" t="s">
        <v>5096</v>
      </c>
      <c r="J83" s="71" t="s">
        <v>5677</v>
      </c>
      <c r="K83" s="71" t="s">
        <v>5932</v>
      </c>
      <c r="L83" s="73">
        <v>45641</v>
      </c>
      <c r="M83" s="71" t="s">
        <v>5932</v>
      </c>
      <c r="N83" s="73">
        <v>45641</v>
      </c>
      <c r="O83" s="71" t="s">
        <v>5932</v>
      </c>
      <c r="P83" s="73">
        <v>45641</v>
      </c>
      <c r="Q83" s="71" t="s">
        <v>4364</v>
      </c>
      <c r="R83" s="73">
        <v>45829</v>
      </c>
      <c r="S83" s="71">
        <f t="shared" si="4"/>
        <v>188</v>
      </c>
      <c r="T83" s="71">
        <f t="shared" si="5"/>
        <v>188</v>
      </c>
      <c r="U83" s="71">
        <f t="shared" si="6"/>
        <v>0.51471594798083509</v>
      </c>
      <c r="V83" s="71">
        <f t="shared" si="7"/>
        <v>0.26493250710580973</v>
      </c>
      <c r="W83" s="71" t="s">
        <v>5679</v>
      </c>
      <c r="X83" s="71" t="s">
        <v>5687</v>
      </c>
      <c r="Y83" s="71"/>
      <c r="Z83" s="71"/>
      <c r="AA83" s="71"/>
      <c r="AB83" s="71"/>
      <c r="AC83" s="71"/>
    </row>
    <row r="84" spans="1:29" ht="29" customHeight="1" x14ac:dyDescent="0.2">
      <c r="A84" s="70" t="s">
        <v>5943</v>
      </c>
      <c r="B84" s="70" t="s">
        <v>159</v>
      </c>
      <c r="C84" s="70" t="s">
        <v>5268</v>
      </c>
      <c r="D84" s="70" t="s">
        <v>3595</v>
      </c>
      <c r="E84" s="70" t="s">
        <v>5270</v>
      </c>
      <c r="F84" s="70" t="s">
        <v>5269</v>
      </c>
      <c r="G84" s="70" t="s">
        <v>5944</v>
      </c>
      <c r="H84" s="70" t="s">
        <v>5675</v>
      </c>
      <c r="I84" s="70" t="s">
        <v>5696</v>
      </c>
      <c r="J84" s="70" t="s">
        <v>5677</v>
      </c>
      <c r="K84" s="70" t="s">
        <v>4005</v>
      </c>
      <c r="L84" s="72">
        <v>45657</v>
      </c>
      <c r="M84" s="70" t="s">
        <v>4005</v>
      </c>
      <c r="N84" s="72">
        <v>45657</v>
      </c>
      <c r="O84" s="70" t="s">
        <v>4005</v>
      </c>
      <c r="P84" s="72">
        <v>45657</v>
      </c>
      <c r="Q84" s="70" t="s">
        <v>4364</v>
      </c>
      <c r="R84" s="72">
        <v>45829</v>
      </c>
      <c r="S84" s="70">
        <f t="shared" si="4"/>
        <v>172</v>
      </c>
      <c r="T84" s="70">
        <f t="shared" si="5"/>
        <v>172</v>
      </c>
      <c r="U84" s="70">
        <f t="shared" si="6"/>
        <v>0.47091033538672145</v>
      </c>
      <c r="V84" s="70">
        <f t="shared" si="7"/>
        <v>0.22175654397403446</v>
      </c>
      <c r="W84" s="70" t="s">
        <v>5679</v>
      </c>
      <c r="X84" s="70" t="s">
        <v>5728</v>
      </c>
      <c r="Y84" s="70"/>
      <c r="Z84" s="70"/>
      <c r="AA84" s="70"/>
      <c r="AB84" s="70" t="s">
        <v>5933</v>
      </c>
      <c r="AC84" s="70"/>
    </row>
    <row r="85" spans="1:29" ht="29" customHeight="1" x14ac:dyDescent="0.2">
      <c r="A85" s="71" t="s">
        <v>5945</v>
      </c>
      <c r="B85" s="71" t="s">
        <v>159</v>
      </c>
      <c r="C85" s="71" t="s">
        <v>5271</v>
      </c>
      <c r="D85" s="71" t="s">
        <v>3595</v>
      </c>
      <c r="E85" s="71" t="s">
        <v>5273</v>
      </c>
      <c r="F85" s="71" t="s">
        <v>5272</v>
      </c>
      <c r="G85" s="71" t="s">
        <v>5946</v>
      </c>
      <c r="H85" s="71" t="s">
        <v>5675</v>
      </c>
      <c r="I85" s="71" t="s">
        <v>5706</v>
      </c>
      <c r="J85" s="71" t="s">
        <v>5677</v>
      </c>
      <c r="K85" s="71" t="s">
        <v>5940</v>
      </c>
      <c r="L85" s="73">
        <v>45146</v>
      </c>
      <c r="M85" s="71" t="s">
        <v>5940</v>
      </c>
      <c r="N85" s="73">
        <v>45146</v>
      </c>
      <c r="O85" s="71" t="s">
        <v>5940</v>
      </c>
      <c r="P85" s="73">
        <v>45146</v>
      </c>
      <c r="Q85" s="71" t="s">
        <v>4364</v>
      </c>
      <c r="R85" s="73">
        <v>45829</v>
      </c>
      <c r="S85" s="71">
        <f t="shared" si="4"/>
        <v>683</v>
      </c>
      <c r="T85" s="71">
        <f t="shared" si="5"/>
        <v>683</v>
      </c>
      <c r="U85" s="71">
        <f t="shared" si="6"/>
        <v>1.8699520876112252</v>
      </c>
      <c r="V85" s="71">
        <f t="shared" si="7"/>
        <v>3.4967208099615794</v>
      </c>
      <c r="W85" s="71" t="s">
        <v>5679</v>
      </c>
      <c r="X85" s="71" t="s">
        <v>5680</v>
      </c>
      <c r="Y85" s="71" t="s">
        <v>5947</v>
      </c>
      <c r="Z85" s="71" t="s">
        <v>5682</v>
      </c>
      <c r="AA85" s="71"/>
      <c r="AB85" s="71" t="s">
        <v>5933</v>
      </c>
      <c r="AC85" s="71" t="s">
        <v>5948</v>
      </c>
    </row>
    <row r="86" spans="1:29" ht="29" customHeight="1" x14ac:dyDescent="0.2">
      <c r="A86" s="70" t="s">
        <v>5949</v>
      </c>
      <c r="B86" s="70" t="s">
        <v>159</v>
      </c>
      <c r="C86" s="70"/>
      <c r="D86" s="70" t="s">
        <v>5717</v>
      </c>
      <c r="E86" s="70" t="s">
        <v>5260</v>
      </c>
      <c r="F86" s="70"/>
      <c r="G86" s="70" t="s">
        <v>5931</v>
      </c>
      <c r="H86" s="70" t="s">
        <v>5675</v>
      </c>
      <c r="I86" s="70" t="s">
        <v>5091</v>
      </c>
      <c r="J86" s="70" t="s">
        <v>5677</v>
      </c>
      <c r="K86" s="70" t="s">
        <v>5950</v>
      </c>
      <c r="L86" s="72">
        <v>45606</v>
      </c>
      <c r="M86" s="70" t="s">
        <v>5950</v>
      </c>
      <c r="N86" s="72">
        <v>45606</v>
      </c>
      <c r="O86" s="70" t="s">
        <v>5950</v>
      </c>
      <c r="P86" s="72">
        <v>45606</v>
      </c>
      <c r="Q86" s="70" t="s">
        <v>4364</v>
      </c>
      <c r="R86" s="72">
        <v>45829</v>
      </c>
      <c r="S86" s="70">
        <f t="shared" si="4"/>
        <v>223</v>
      </c>
      <c r="T86" s="70">
        <f t="shared" si="5"/>
        <v>223</v>
      </c>
      <c r="U86" s="70">
        <f t="shared" si="6"/>
        <v>0.61054072553045857</v>
      </c>
      <c r="V86" s="70">
        <f t="shared" si="7"/>
        <v>0.37275997753125872</v>
      </c>
      <c r="W86" s="70" t="s">
        <v>5679</v>
      </c>
      <c r="X86" s="70" t="s">
        <v>5728</v>
      </c>
      <c r="Y86" s="70"/>
      <c r="Z86" s="70"/>
      <c r="AA86" s="70"/>
      <c r="AB86" s="70" t="s">
        <v>5111</v>
      </c>
      <c r="AC86" s="70"/>
    </row>
    <row r="87" spans="1:29" ht="29" customHeight="1" x14ac:dyDescent="0.2">
      <c r="A87" s="71" t="s">
        <v>5951</v>
      </c>
      <c r="B87" s="71" t="s">
        <v>162</v>
      </c>
      <c r="C87" s="71" t="s">
        <v>5274</v>
      </c>
      <c r="D87" s="71" t="s">
        <v>3595</v>
      </c>
      <c r="E87" s="71" t="s">
        <v>5275</v>
      </c>
      <c r="F87" s="71" t="s">
        <v>5216</v>
      </c>
      <c r="G87" s="71" t="s">
        <v>5952</v>
      </c>
      <c r="H87" s="71" t="s">
        <v>5675</v>
      </c>
      <c r="I87" s="71" t="s">
        <v>5706</v>
      </c>
      <c r="J87" s="71" t="s">
        <v>5677</v>
      </c>
      <c r="K87" s="71" t="s">
        <v>5953</v>
      </c>
      <c r="L87" s="73">
        <v>45770</v>
      </c>
      <c r="M87" s="71" t="s">
        <v>5953</v>
      </c>
      <c r="N87" s="73">
        <v>45770</v>
      </c>
      <c r="O87" s="71" t="s">
        <v>5953</v>
      </c>
      <c r="P87" s="73">
        <v>45770</v>
      </c>
      <c r="Q87" s="71" t="s">
        <v>1859</v>
      </c>
      <c r="R87" s="73">
        <v>46101</v>
      </c>
      <c r="S87" s="71">
        <f t="shared" si="4"/>
        <v>331</v>
      </c>
      <c r="T87" s="71">
        <f t="shared" si="5"/>
        <v>331</v>
      </c>
      <c r="U87" s="71">
        <f t="shared" si="6"/>
        <v>0.90622861054072557</v>
      </c>
      <c r="V87" s="71">
        <f t="shared" si="7"/>
        <v>0.82125029456257403</v>
      </c>
      <c r="W87" s="71" t="s">
        <v>5679</v>
      </c>
      <c r="X87" s="71" t="s">
        <v>5728</v>
      </c>
      <c r="Y87" s="71"/>
      <c r="Z87" s="71"/>
      <c r="AA87" s="71"/>
      <c r="AB87" s="71" t="s">
        <v>5954</v>
      </c>
      <c r="AC87" s="71"/>
    </row>
    <row r="88" spans="1:29" ht="29" customHeight="1" x14ac:dyDescent="0.2">
      <c r="A88" s="70" t="s">
        <v>5955</v>
      </c>
      <c r="B88" s="70" t="s">
        <v>162</v>
      </c>
      <c r="C88" s="70" t="s">
        <v>5277</v>
      </c>
      <c r="D88" s="70" t="s">
        <v>3595</v>
      </c>
      <c r="E88" s="70" t="s">
        <v>3919</v>
      </c>
      <c r="F88" s="70" t="s">
        <v>5278</v>
      </c>
      <c r="G88" s="70" t="s">
        <v>5956</v>
      </c>
      <c r="H88" s="70" t="s">
        <v>5675</v>
      </c>
      <c r="I88" s="70" t="s">
        <v>5696</v>
      </c>
      <c r="J88" s="70" t="s">
        <v>5793</v>
      </c>
      <c r="K88" s="70"/>
      <c r="L88" s="72"/>
      <c r="M88" s="70"/>
      <c r="N88" s="72"/>
      <c r="O88" s="70" t="s">
        <v>5957</v>
      </c>
      <c r="P88" s="72">
        <v>44733</v>
      </c>
      <c r="Q88" s="70" t="s">
        <v>1859</v>
      </c>
      <c r="R88" s="72">
        <v>46101</v>
      </c>
      <c r="S88" s="70">
        <f t="shared" si="4"/>
        <v>1368</v>
      </c>
      <c r="T88" s="70" t="str">
        <f t="shared" si="5"/>
        <v/>
      </c>
      <c r="U88" s="70">
        <f t="shared" si="6"/>
        <v>3.7453798767967146</v>
      </c>
      <c r="V88" s="70">
        <f t="shared" si="7"/>
        <v>14.027870421513773</v>
      </c>
      <c r="W88" s="70" t="s">
        <v>5795</v>
      </c>
      <c r="X88" s="70" t="s">
        <v>5728</v>
      </c>
      <c r="Y88" s="70"/>
      <c r="Z88" s="70"/>
      <c r="AA88" s="70"/>
      <c r="AB88" s="70" t="s">
        <v>5954</v>
      </c>
      <c r="AC88" s="70"/>
    </row>
    <row r="89" spans="1:29" ht="29" customHeight="1" x14ac:dyDescent="0.2">
      <c r="A89" s="71" t="s">
        <v>5958</v>
      </c>
      <c r="B89" s="71" t="s">
        <v>162</v>
      </c>
      <c r="C89" s="71" t="s">
        <v>5279</v>
      </c>
      <c r="D89" s="71" t="s">
        <v>3595</v>
      </c>
      <c r="E89" s="71" t="s">
        <v>5281</v>
      </c>
      <c r="F89" s="71" t="s">
        <v>5280</v>
      </c>
      <c r="G89" s="71" t="s">
        <v>5959</v>
      </c>
      <c r="H89" s="71" t="s">
        <v>5675</v>
      </c>
      <c r="I89" s="71" t="s">
        <v>5696</v>
      </c>
      <c r="J89" s="71" t="s">
        <v>5677</v>
      </c>
      <c r="K89" s="71" t="s">
        <v>3099</v>
      </c>
      <c r="L89" s="73">
        <v>45679</v>
      </c>
      <c r="M89" s="71" t="s">
        <v>3099</v>
      </c>
      <c r="N89" s="73">
        <v>45679</v>
      </c>
      <c r="O89" s="71" t="s">
        <v>3099</v>
      </c>
      <c r="P89" s="73">
        <v>45679</v>
      </c>
      <c r="Q89" s="71" t="s">
        <v>1859</v>
      </c>
      <c r="R89" s="73">
        <v>46101</v>
      </c>
      <c r="S89" s="71">
        <f t="shared" si="4"/>
        <v>422</v>
      </c>
      <c r="T89" s="71">
        <f t="shared" si="5"/>
        <v>422</v>
      </c>
      <c r="U89" s="71">
        <f t="shared" si="6"/>
        <v>1.1553730321697468</v>
      </c>
      <c r="V89" s="71">
        <f t="shared" si="7"/>
        <v>1.3348868434651149</v>
      </c>
      <c r="W89" s="71" t="s">
        <v>5679</v>
      </c>
      <c r="X89" s="71" t="s">
        <v>5728</v>
      </c>
      <c r="Y89" s="71"/>
      <c r="Z89" s="71"/>
      <c r="AA89" s="71"/>
      <c r="AB89" s="71" t="s">
        <v>5954</v>
      </c>
      <c r="AC89" s="71"/>
    </row>
    <row r="90" spans="1:29" ht="29" customHeight="1" x14ac:dyDescent="0.2">
      <c r="A90" s="70" t="s">
        <v>5960</v>
      </c>
      <c r="B90" s="70" t="s">
        <v>162</v>
      </c>
      <c r="C90" s="70" t="s">
        <v>5282</v>
      </c>
      <c r="D90" s="70" t="s">
        <v>3595</v>
      </c>
      <c r="E90" s="70" t="s">
        <v>5284</v>
      </c>
      <c r="F90" s="70" t="s">
        <v>5283</v>
      </c>
      <c r="G90" s="70" t="s">
        <v>5961</v>
      </c>
      <c r="H90" s="70" t="s">
        <v>5675</v>
      </c>
      <c r="I90" s="70" t="s">
        <v>5690</v>
      </c>
      <c r="J90" s="70" t="s">
        <v>5677</v>
      </c>
      <c r="K90" s="70" t="s">
        <v>3099</v>
      </c>
      <c r="L90" s="72">
        <v>45679</v>
      </c>
      <c r="M90" s="70" t="s">
        <v>3099</v>
      </c>
      <c r="N90" s="72">
        <v>45679</v>
      </c>
      <c r="O90" s="70" t="s">
        <v>3099</v>
      </c>
      <c r="P90" s="72">
        <v>45679</v>
      </c>
      <c r="Q90" s="70" t="s">
        <v>1859</v>
      </c>
      <c r="R90" s="72">
        <v>46101</v>
      </c>
      <c r="S90" s="70">
        <f t="shared" si="4"/>
        <v>422</v>
      </c>
      <c r="T90" s="70">
        <f t="shared" si="5"/>
        <v>422</v>
      </c>
      <c r="U90" s="70">
        <f t="shared" si="6"/>
        <v>1.1553730321697468</v>
      </c>
      <c r="V90" s="70">
        <f t="shared" si="7"/>
        <v>1.3348868434651149</v>
      </c>
      <c r="W90" s="70" t="s">
        <v>5679</v>
      </c>
      <c r="X90" s="70" t="s">
        <v>5728</v>
      </c>
      <c r="Y90" s="70"/>
      <c r="Z90" s="70"/>
      <c r="AA90" s="70"/>
      <c r="AB90" s="70" t="s">
        <v>5962</v>
      </c>
      <c r="AC90" s="70"/>
    </row>
    <row r="91" spans="1:29" ht="29" customHeight="1" x14ac:dyDescent="0.2">
      <c r="A91" s="71" t="s">
        <v>5963</v>
      </c>
      <c r="B91" s="71" t="s">
        <v>162</v>
      </c>
      <c r="C91" s="71" t="s">
        <v>5285</v>
      </c>
      <c r="D91" s="71" t="s">
        <v>3595</v>
      </c>
      <c r="E91" s="71" t="s">
        <v>5287</v>
      </c>
      <c r="F91" s="71" t="s">
        <v>5286</v>
      </c>
      <c r="G91" s="71" t="s">
        <v>5964</v>
      </c>
      <c r="H91" s="71" t="s">
        <v>5675</v>
      </c>
      <c r="I91" s="71" t="s">
        <v>5676</v>
      </c>
      <c r="J91" s="71" t="s">
        <v>5677</v>
      </c>
      <c r="K91" s="71" t="s">
        <v>3099</v>
      </c>
      <c r="L91" s="73">
        <v>45679</v>
      </c>
      <c r="M91" s="71" t="s">
        <v>3099</v>
      </c>
      <c r="N91" s="73">
        <v>45679</v>
      </c>
      <c r="O91" s="71" t="s">
        <v>3099</v>
      </c>
      <c r="P91" s="73">
        <v>45679</v>
      </c>
      <c r="Q91" s="71" t="s">
        <v>1859</v>
      </c>
      <c r="R91" s="73">
        <v>46101</v>
      </c>
      <c r="S91" s="71">
        <f t="shared" si="4"/>
        <v>422</v>
      </c>
      <c r="T91" s="71">
        <f t="shared" si="5"/>
        <v>422</v>
      </c>
      <c r="U91" s="71">
        <f t="shared" si="6"/>
        <v>1.1553730321697468</v>
      </c>
      <c r="V91" s="71">
        <f t="shared" si="7"/>
        <v>1.3348868434651149</v>
      </c>
      <c r="W91" s="71" t="s">
        <v>5679</v>
      </c>
      <c r="X91" s="71" t="s">
        <v>5728</v>
      </c>
      <c r="Y91" s="71"/>
      <c r="Z91" s="71"/>
      <c r="AA91" s="71"/>
      <c r="AB91" s="71" t="s">
        <v>5962</v>
      </c>
      <c r="AC91" s="71"/>
    </row>
    <row r="92" spans="1:29" ht="29" customHeight="1" x14ac:dyDescent="0.2">
      <c r="A92" s="70" t="s">
        <v>5965</v>
      </c>
      <c r="B92" s="70" t="s">
        <v>162</v>
      </c>
      <c r="C92" s="70" t="s">
        <v>5285</v>
      </c>
      <c r="D92" s="70" t="s">
        <v>5686</v>
      </c>
      <c r="E92" s="70" t="s">
        <v>5287</v>
      </c>
      <c r="F92" s="70" t="s">
        <v>5286</v>
      </c>
      <c r="G92" s="70" t="s">
        <v>5964</v>
      </c>
      <c r="H92" s="70" t="s">
        <v>5675</v>
      </c>
      <c r="I92" s="70" t="s">
        <v>5096</v>
      </c>
      <c r="J92" s="70" t="s">
        <v>5677</v>
      </c>
      <c r="K92" s="70" t="s">
        <v>3099</v>
      </c>
      <c r="L92" s="72">
        <v>45679</v>
      </c>
      <c r="M92" s="70" t="s">
        <v>3099</v>
      </c>
      <c r="N92" s="72">
        <v>45679</v>
      </c>
      <c r="O92" s="70" t="s">
        <v>3099</v>
      </c>
      <c r="P92" s="72">
        <v>45679</v>
      </c>
      <c r="Q92" s="70" t="s">
        <v>1859</v>
      </c>
      <c r="R92" s="72">
        <v>46101</v>
      </c>
      <c r="S92" s="70">
        <f t="shared" si="4"/>
        <v>422</v>
      </c>
      <c r="T92" s="70">
        <f t="shared" si="5"/>
        <v>422</v>
      </c>
      <c r="U92" s="70">
        <f t="shared" si="6"/>
        <v>1.1553730321697468</v>
      </c>
      <c r="V92" s="70">
        <f t="shared" si="7"/>
        <v>1.3348868434651149</v>
      </c>
      <c r="W92" s="70" t="s">
        <v>5679</v>
      </c>
      <c r="X92" s="70" t="s">
        <v>5687</v>
      </c>
      <c r="Y92" s="70"/>
      <c r="Z92" s="70"/>
      <c r="AA92" s="70"/>
      <c r="AB92" s="70"/>
      <c r="AC92" s="70"/>
    </row>
    <row r="93" spans="1:29" ht="29" customHeight="1" x14ac:dyDescent="0.2">
      <c r="A93" s="71" t="s">
        <v>5966</v>
      </c>
      <c r="B93" s="71" t="s">
        <v>162</v>
      </c>
      <c r="C93" s="71"/>
      <c r="D93" s="71" t="s">
        <v>5717</v>
      </c>
      <c r="E93" s="71" t="s">
        <v>5284</v>
      </c>
      <c r="F93" s="71"/>
      <c r="G93" s="71" t="s">
        <v>5961</v>
      </c>
      <c r="H93" s="71" t="s">
        <v>5675</v>
      </c>
      <c r="I93" s="71" t="s">
        <v>5091</v>
      </c>
      <c r="J93" s="71" t="s">
        <v>5677</v>
      </c>
      <c r="K93" s="71" t="s">
        <v>5967</v>
      </c>
      <c r="L93" s="73">
        <v>45635</v>
      </c>
      <c r="M93" s="71" t="s">
        <v>5967</v>
      </c>
      <c r="N93" s="73">
        <v>45635</v>
      </c>
      <c r="O93" s="71" t="s">
        <v>5967</v>
      </c>
      <c r="P93" s="73">
        <v>45635</v>
      </c>
      <c r="Q93" s="71" t="s">
        <v>1859</v>
      </c>
      <c r="R93" s="73">
        <v>46101</v>
      </c>
      <c r="S93" s="71">
        <f t="shared" si="4"/>
        <v>466</v>
      </c>
      <c r="T93" s="71">
        <f t="shared" si="5"/>
        <v>466</v>
      </c>
      <c r="U93" s="71">
        <f t="shared" si="6"/>
        <v>1.2758384668035592</v>
      </c>
      <c r="V93" s="71">
        <f t="shared" si="7"/>
        <v>1.6277637933756566</v>
      </c>
      <c r="W93" s="71" t="s">
        <v>5679</v>
      </c>
      <c r="X93" s="71" t="s">
        <v>5728</v>
      </c>
      <c r="Y93" s="71"/>
      <c r="Z93" s="71"/>
      <c r="AA93" s="71"/>
      <c r="AB93" s="71" t="s">
        <v>5111</v>
      </c>
      <c r="AC93" s="71"/>
    </row>
    <row r="94" spans="1:29" ht="29" customHeight="1" x14ac:dyDescent="0.2">
      <c r="A94" s="70" t="s">
        <v>5968</v>
      </c>
      <c r="B94" s="70" t="s">
        <v>165</v>
      </c>
      <c r="C94" s="70" t="s">
        <v>5288</v>
      </c>
      <c r="D94" s="70" t="s">
        <v>3595</v>
      </c>
      <c r="E94" s="70" t="s">
        <v>191</v>
      </c>
      <c r="F94" s="70" t="s">
        <v>5289</v>
      </c>
      <c r="G94" s="70" t="s">
        <v>5792</v>
      </c>
      <c r="H94" s="70" t="s">
        <v>5675</v>
      </c>
      <c r="I94" s="70" t="s">
        <v>5696</v>
      </c>
      <c r="J94" s="70" t="s">
        <v>5677</v>
      </c>
      <c r="K94" s="70" t="s">
        <v>5969</v>
      </c>
      <c r="L94" s="72">
        <v>45914</v>
      </c>
      <c r="M94" s="70" t="s">
        <v>5969</v>
      </c>
      <c r="N94" s="72">
        <v>45914</v>
      </c>
      <c r="O94" s="70" t="s">
        <v>5969</v>
      </c>
      <c r="P94" s="72">
        <v>45914</v>
      </c>
      <c r="Q94" s="70" t="s">
        <v>4400</v>
      </c>
      <c r="R94" s="72">
        <v>46012</v>
      </c>
      <c r="S94" s="70">
        <f t="shared" si="4"/>
        <v>98</v>
      </c>
      <c r="T94" s="70">
        <f t="shared" si="5"/>
        <v>98</v>
      </c>
      <c r="U94" s="70">
        <f t="shared" si="6"/>
        <v>0.26830937713894593</v>
      </c>
      <c r="V94" s="70">
        <f t="shared" si="7"/>
        <v>7.1989921860689116E-2</v>
      </c>
      <c r="W94" s="70" t="s">
        <v>5679</v>
      </c>
      <c r="X94" s="70" t="s">
        <v>5680</v>
      </c>
      <c r="Y94" s="70" t="s">
        <v>5969</v>
      </c>
      <c r="Z94" s="70" t="s">
        <v>5682</v>
      </c>
      <c r="AA94" s="70"/>
      <c r="AB94" s="70" t="s">
        <v>5834</v>
      </c>
      <c r="AC94" s="70" t="s">
        <v>5970</v>
      </c>
    </row>
    <row r="95" spans="1:29" ht="29" customHeight="1" x14ac:dyDescent="0.2">
      <c r="A95" s="71" t="s">
        <v>5971</v>
      </c>
      <c r="B95" s="71" t="s">
        <v>165</v>
      </c>
      <c r="C95" s="71" t="s">
        <v>5291</v>
      </c>
      <c r="D95" s="71" t="s">
        <v>3595</v>
      </c>
      <c r="E95" s="71" t="s">
        <v>5293</v>
      </c>
      <c r="F95" s="71" t="s">
        <v>5292</v>
      </c>
      <c r="G95" s="71" t="s">
        <v>5972</v>
      </c>
      <c r="H95" s="71" t="s">
        <v>5675</v>
      </c>
      <c r="I95" s="71" t="s">
        <v>5696</v>
      </c>
      <c r="J95" s="71" t="s">
        <v>5677</v>
      </c>
      <c r="K95" s="71" t="s">
        <v>5973</v>
      </c>
      <c r="L95" s="73">
        <v>45579</v>
      </c>
      <c r="M95" s="71" t="s">
        <v>5973</v>
      </c>
      <c r="N95" s="73">
        <v>45579</v>
      </c>
      <c r="O95" s="71" t="s">
        <v>5973</v>
      </c>
      <c r="P95" s="73">
        <v>45579</v>
      </c>
      <c r="Q95" s="71" t="s">
        <v>4400</v>
      </c>
      <c r="R95" s="73">
        <v>46012</v>
      </c>
      <c r="S95" s="71">
        <f t="shared" si="4"/>
        <v>433</v>
      </c>
      <c r="T95" s="71">
        <f t="shared" si="5"/>
        <v>433</v>
      </c>
      <c r="U95" s="71">
        <f t="shared" si="6"/>
        <v>1.1854893908281998</v>
      </c>
      <c r="V95" s="71">
        <f t="shared" si="7"/>
        <v>1.4053850957662164</v>
      </c>
      <c r="W95" s="71" t="s">
        <v>5679</v>
      </c>
      <c r="X95" s="71" t="s">
        <v>5680</v>
      </c>
      <c r="Y95" s="71" t="s">
        <v>5973</v>
      </c>
      <c r="Z95" s="71" t="s">
        <v>5682</v>
      </c>
      <c r="AA95" s="71"/>
      <c r="AB95" s="71" t="s">
        <v>5834</v>
      </c>
      <c r="AC95" s="71" t="s">
        <v>5974</v>
      </c>
    </row>
    <row r="96" spans="1:29" ht="58" customHeight="1" x14ac:dyDescent="0.2">
      <c r="A96" s="70" t="s">
        <v>5975</v>
      </c>
      <c r="B96" s="70" t="s">
        <v>165</v>
      </c>
      <c r="C96" s="70" t="s">
        <v>5294</v>
      </c>
      <c r="D96" s="70" t="s">
        <v>3595</v>
      </c>
      <c r="E96" s="70" t="s">
        <v>5295</v>
      </c>
      <c r="F96" s="70" t="s">
        <v>5117</v>
      </c>
      <c r="G96" s="70" t="s">
        <v>5976</v>
      </c>
      <c r="H96" s="70" t="s">
        <v>5675</v>
      </c>
      <c r="I96" s="70" t="s">
        <v>5865</v>
      </c>
      <c r="J96" s="70" t="s">
        <v>5677</v>
      </c>
      <c r="K96" s="70" t="s">
        <v>3946</v>
      </c>
      <c r="L96" s="72">
        <v>45761</v>
      </c>
      <c r="M96" s="70" t="s">
        <v>3946</v>
      </c>
      <c r="N96" s="72">
        <v>45761</v>
      </c>
      <c r="O96" s="70" t="s">
        <v>3946</v>
      </c>
      <c r="P96" s="72">
        <v>45761</v>
      </c>
      <c r="Q96" s="70" t="s">
        <v>4400</v>
      </c>
      <c r="R96" s="72">
        <v>46012</v>
      </c>
      <c r="S96" s="70">
        <f t="shared" si="4"/>
        <v>251</v>
      </c>
      <c r="T96" s="70">
        <f t="shared" si="5"/>
        <v>251</v>
      </c>
      <c r="U96" s="70">
        <f t="shared" si="6"/>
        <v>0.68720054757015747</v>
      </c>
      <c r="V96" s="70">
        <f t="shared" si="7"/>
        <v>0.47224459258072427</v>
      </c>
      <c r="W96" s="70" t="s">
        <v>5679</v>
      </c>
      <c r="X96" s="70" t="s">
        <v>5680</v>
      </c>
      <c r="Y96" s="70" t="s">
        <v>3946</v>
      </c>
      <c r="Z96" s="70" t="s">
        <v>5682</v>
      </c>
      <c r="AA96" s="70"/>
      <c r="AB96" s="70" t="s">
        <v>5834</v>
      </c>
      <c r="AC96" s="70" t="s">
        <v>5977</v>
      </c>
    </row>
    <row r="97" spans="1:29" ht="29" customHeight="1" x14ac:dyDescent="0.2">
      <c r="A97" s="71" t="s">
        <v>5978</v>
      </c>
      <c r="B97" s="71" t="s">
        <v>165</v>
      </c>
      <c r="C97" s="71" t="s">
        <v>5296</v>
      </c>
      <c r="D97" s="71" t="s">
        <v>3595</v>
      </c>
      <c r="E97" s="71" t="s">
        <v>5298</v>
      </c>
      <c r="F97" s="71" t="s">
        <v>5297</v>
      </c>
      <c r="G97" s="71" t="s">
        <v>5979</v>
      </c>
      <c r="H97" s="71" t="s">
        <v>5675</v>
      </c>
      <c r="I97" s="71" t="s">
        <v>5706</v>
      </c>
      <c r="J97" s="71" t="s">
        <v>5677</v>
      </c>
      <c r="K97" s="71" t="s">
        <v>5980</v>
      </c>
      <c r="L97" s="73">
        <v>45560</v>
      </c>
      <c r="M97" s="71" t="s">
        <v>5980</v>
      </c>
      <c r="N97" s="73">
        <v>45560</v>
      </c>
      <c r="O97" s="71" t="s">
        <v>5980</v>
      </c>
      <c r="P97" s="73">
        <v>45560</v>
      </c>
      <c r="Q97" s="71" t="s">
        <v>4400</v>
      </c>
      <c r="R97" s="73">
        <v>46012</v>
      </c>
      <c r="S97" s="71">
        <f t="shared" si="4"/>
        <v>452</v>
      </c>
      <c r="T97" s="71">
        <f t="shared" si="5"/>
        <v>452</v>
      </c>
      <c r="U97" s="71">
        <f t="shared" si="6"/>
        <v>1.2375085557837098</v>
      </c>
      <c r="V97" s="71">
        <f t="shared" si="7"/>
        <v>1.531427425637883</v>
      </c>
      <c r="W97" s="71" t="s">
        <v>5679</v>
      </c>
      <c r="X97" s="71" t="s">
        <v>5680</v>
      </c>
      <c r="Y97" s="71" t="s">
        <v>5980</v>
      </c>
      <c r="Z97" s="71" t="s">
        <v>5682</v>
      </c>
      <c r="AA97" s="71"/>
      <c r="AB97" s="71" t="s">
        <v>5834</v>
      </c>
      <c r="AC97" s="71" t="s">
        <v>5981</v>
      </c>
    </row>
    <row r="98" spans="1:29" ht="29" customHeight="1" x14ac:dyDescent="0.2">
      <c r="A98" s="70" t="s">
        <v>5982</v>
      </c>
      <c r="B98" s="70" t="s">
        <v>165</v>
      </c>
      <c r="C98" s="70" t="s">
        <v>5299</v>
      </c>
      <c r="D98" s="70" t="s">
        <v>3595</v>
      </c>
      <c r="E98" s="70" t="s">
        <v>184</v>
      </c>
      <c r="F98" s="70" t="s">
        <v>5300</v>
      </c>
      <c r="G98" s="70" t="s">
        <v>5983</v>
      </c>
      <c r="H98" s="70" t="s">
        <v>5675</v>
      </c>
      <c r="I98" s="70" t="s">
        <v>5676</v>
      </c>
      <c r="J98" s="70" t="s">
        <v>5677</v>
      </c>
      <c r="K98" s="70" t="s">
        <v>5973</v>
      </c>
      <c r="L98" s="72">
        <v>45579</v>
      </c>
      <c r="M98" s="70" t="s">
        <v>5973</v>
      </c>
      <c r="N98" s="72">
        <v>45579</v>
      </c>
      <c r="O98" s="70" t="s">
        <v>5973</v>
      </c>
      <c r="P98" s="72">
        <v>45579</v>
      </c>
      <c r="Q98" s="70" t="s">
        <v>4400</v>
      </c>
      <c r="R98" s="72">
        <v>46012</v>
      </c>
      <c r="S98" s="70">
        <f t="shared" si="4"/>
        <v>433</v>
      </c>
      <c r="T98" s="70">
        <f t="shared" si="5"/>
        <v>433</v>
      </c>
      <c r="U98" s="70">
        <f t="shared" si="6"/>
        <v>1.1854893908281998</v>
      </c>
      <c r="V98" s="70">
        <f t="shared" si="7"/>
        <v>1.4053850957662164</v>
      </c>
      <c r="W98" s="70" t="s">
        <v>5679</v>
      </c>
      <c r="X98" s="70" t="s">
        <v>5680</v>
      </c>
      <c r="Y98" s="70" t="s">
        <v>5973</v>
      </c>
      <c r="Z98" s="70" t="s">
        <v>5682</v>
      </c>
      <c r="AA98" s="70"/>
      <c r="AB98" s="70" t="s">
        <v>5984</v>
      </c>
      <c r="AC98" s="70" t="s">
        <v>5974</v>
      </c>
    </row>
    <row r="99" spans="1:29" ht="29" customHeight="1" x14ac:dyDescent="0.2">
      <c r="A99" s="71" t="s">
        <v>5985</v>
      </c>
      <c r="B99" s="71" t="s">
        <v>165</v>
      </c>
      <c r="C99" s="71" t="s">
        <v>5299</v>
      </c>
      <c r="D99" s="71" t="s">
        <v>5686</v>
      </c>
      <c r="E99" s="71" t="s">
        <v>184</v>
      </c>
      <c r="F99" s="71" t="s">
        <v>5300</v>
      </c>
      <c r="G99" s="71" t="s">
        <v>5983</v>
      </c>
      <c r="H99" s="71" t="s">
        <v>5675</v>
      </c>
      <c r="I99" s="71" t="s">
        <v>5096</v>
      </c>
      <c r="J99" s="71" t="s">
        <v>5677</v>
      </c>
      <c r="K99" s="71" t="s">
        <v>5973</v>
      </c>
      <c r="L99" s="73">
        <v>45579</v>
      </c>
      <c r="M99" s="71" t="s">
        <v>5973</v>
      </c>
      <c r="N99" s="73">
        <v>45579</v>
      </c>
      <c r="O99" s="71" t="s">
        <v>5973</v>
      </c>
      <c r="P99" s="73">
        <v>45579</v>
      </c>
      <c r="Q99" s="71" t="s">
        <v>4400</v>
      </c>
      <c r="R99" s="73">
        <v>46012</v>
      </c>
      <c r="S99" s="71">
        <f t="shared" si="4"/>
        <v>433</v>
      </c>
      <c r="T99" s="71">
        <f t="shared" si="5"/>
        <v>433</v>
      </c>
      <c r="U99" s="71">
        <f t="shared" si="6"/>
        <v>1.1854893908281998</v>
      </c>
      <c r="V99" s="71">
        <f t="shared" si="7"/>
        <v>1.4053850957662164</v>
      </c>
      <c r="W99" s="71" t="s">
        <v>5679</v>
      </c>
      <c r="X99" s="71" t="s">
        <v>5687</v>
      </c>
      <c r="Y99" s="71"/>
      <c r="Z99" s="71"/>
      <c r="AA99" s="71"/>
      <c r="AB99" s="71"/>
      <c r="AC99" s="71"/>
    </row>
    <row r="100" spans="1:29" ht="29" customHeight="1" x14ac:dyDescent="0.2">
      <c r="A100" s="70" t="s">
        <v>5986</v>
      </c>
      <c r="B100" s="70" t="s">
        <v>165</v>
      </c>
      <c r="C100" s="70"/>
      <c r="D100" s="70" t="s">
        <v>5717</v>
      </c>
      <c r="E100" s="70" t="s">
        <v>5298</v>
      </c>
      <c r="F100" s="70"/>
      <c r="G100" s="70" t="s">
        <v>5979</v>
      </c>
      <c r="H100" s="70" t="s">
        <v>5675</v>
      </c>
      <c r="I100" s="70" t="s">
        <v>5091</v>
      </c>
      <c r="J100" s="70" t="s">
        <v>5677</v>
      </c>
      <c r="K100" s="70" t="s">
        <v>5980</v>
      </c>
      <c r="L100" s="72">
        <v>45560</v>
      </c>
      <c r="M100" s="70" t="s">
        <v>5980</v>
      </c>
      <c r="N100" s="72">
        <v>45560</v>
      </c>
      <c r="O100" s="70" t="s">
        <v>5980</v>
      </c>
      <c r="P100" s="72">
        <v>45560</v>
      </c>
      <c r="Q100" s="70" t="s">
        <v>4400</v>
      </c>
      <c r="R100" s="72">
        <v>46012</v>
      </c>
      <c r="S100" s="70">
        <f t="shared" si="4"/>
        <v>452</v>
      </c>
      <c r="T100" s="70">
        <f t="shared" si="5"/>
        <v>452</v>
      </c>
      <c r="U100" s="70">
        <f t="shared" si="6"/>
        <v>1.2375085557837098</v>
      </c>
      <c r="V100" s="70">
        <f t="shared" si="7"/>
        <v>1.531427425637883</v>
      </c>
      <c r="W100" s="70" t="s">
        <v>5679</v>
      </c>
      <c r="X100" s="70" t="s">
        <v>5728</v>
      </c>
      <c r="Y100" s="70"/>
      <c r="Z100" s="70"/>
      <c r="AA100" s="70"/>
      <c r="AB100" s="70" t="s">
        <v>5111</v>
      </c>
      <c r="AC100" s="70"/>
    </row>
    <row r="101" spans="1:29" ht="43.5" customHeight="1" x14ac:dyDescent="0.2">
      <c r="A101" s="71" t="s">
        <v>5987</v>
      </c>
      <c r="B101" s="71" t="s">
        <v>168</v>
      </c>
      <c r="C101" s="71" t="s">
        <v>5301</v>
      </c>
      <c r="D101" s="71" t="s">
        <v>3595</v>
      </c>
      <c r="E101" s="71" t="s">
        <v>5302</v>
      </c>
      <c r="F101" s="71" t="s">
        <v>5139</v>
      </c>
      <c r="G101" s="71" t="s">
        <v>5988</v>
      </c>
      <c r="H101" s="71" t="s">
        <v>5675</v>
      </c>
      <c r="I101" s="71" t="s">
        <v>5696</v>
      </c>
      <c r="J101" s="71" t="s">
        <v>5697</v>
      </c>
      <c r="K101" s="71"/>
      <c r="L101" s="73"/>
      <c r="M101" s="71" t="s">
        <v>5989</v>
      </c>
      <c r="N101" s="73">
        <v>46060</v>
      </c>
      <c r="O101" s="71" t="s">
        <v>5990</v>
      </c>
      <c r="P101" s="73">
        <v>46075</v>
      </c>
      <c r="Q101" s="71" t="s">
        <v>1859</v>
      </c>
      <c r="R101" s="73">
        <v>46101</v>
      </c>
      <c r="S101" s="71">
        <f t="shared" si="4"/>
        <v>26</v>
      </c>
      <c r="T101" s="71">
        <f t="shared" si="5"/>
        <v>41</v>
      </c>
      <c r="U101" s="71">
        <f t="shared" si="6"/>
        <v>7.1184120465434639E-2</v>
      </c>
      <c r="V101" s="71">
        <f t="shared" si="7"/>
        <v>5.0671790064375109E-3</v>
      </c>
      <c r="W101" s="71" t="s">
        <v>5991</v>
      </c>
      <c r="X101" s="71" t="s">
        <v>5728</v>
      </c>
      <c r="Y101" s="71"/>
      <c r="Z101" s="71"/>
      <c r="AA101" s="71"/>
      <c r="AB101" s="71" t="s">
        <v>5992</v>
      </c>
      <c r="AC101" s="71" t="s">
        <v>5903</v>
      </c>
    </row>
    <row r="102" spans="1:29" ht="29" customHeight="1" x14ac:dyDescent="0.2">
      <c r="A102" s="70" t="s">
        <v>5993</v>
      </c>
      <c r="B102" s="70" t="s">
        <v>168</v>
      </c>
      <c r="C102" s="70" t="s">
        <v>5304</v>
      </c>
      <c r="D102" s="70" t="s">
        <v>3595</v>
      </c>
      <c r="E102" s="70" t="s">
        <v>5306</v>
      </c>
      <c r="F102" s="70" t="s">
        <v>5305</v>
      </c>
      <c r="G102" s="70" t="s">
        <v>5994</v>
      </c>
      <c r="H102" s="70" t="s">
        <v>5675</v>
      </c>
      <c r="I102" s="70" t="s">
        <v>5696</v>
      </c>
      <c r="J102" s="70" t="s">
        <v>5677</v>
      </c>
      <c r="K102" s="70" t="s">
        <v>3756</v>
      </c>
      <c r="L102" s="72">
        <v>45887</v>
      </c>
      <c r="M102" s="70" t="s">
        <v>3756</v>
      </c>
      <c r="N102" s="72">
        <v>45887</v>
      </c>
      <c r="O102" s="70" t="s">
        <v>3756</v>
      </c>
      <c r="P102" s="72">
        <v>45887</v>
      </c>
      <c r="Q102" s="70" t="s">
        <v>1859</v>
      </c>
      <c r="R102" s="72">
        <v>46101</v>
      </c>
      <c r="S102" s="70">
        <f t="shared" si="4"/>
        <v>214</v>
      </c>
      <c r="T102" s="70">
        <f t="shared" si="5"/>
        <v>214</v>
      </c>
      <c r="U102" s="70">
        <f t="shared" si="6"/>
        <v>0.58590006844626963</v>
      </c>
      <c r="V102" s="70">
        <f t="shared" si="7"/>
        <v>0.34327889020534341</v>
      </c>
      <c r="W102" s="70" t="s">
        <v>5679</v>
      </c>
      <c r="X102" s="70" t="s">
        <v>5728</v>
      </c>
      <c r="Y102" s="70"/>
      <c r="Z102" s="70"/>
      <c r="AA102" s="70"/>
      <c r="AB102" s="70" t="s">
        <v>5995</v>
      </c>
      <c r="AC102" s="70"/>
    </row>
    <row r="103" spans="1:29" ht="29" customHeight="1" x14ac:dyDescent="0.2">
      <c r="A103" s="71" t="s">
        <v>5996</v>
      </c>
      <c r="B103" s="71" t="s">
        <v>168</v>
      </c>
      <c r="C103" s="71" t="s">
        <v>5307</v>
      </c>
      <c r="D103" s="71" t="s">
        <v>3595</v>
      </c>
      <c r="E103" s="71" t="s">
        <v>5309</v>
      </c>
      <c r="F103" s="71" t="s">
        <v>5308</v>
      </c>
      <c r="G103" s="71" t="s">
        <v>5997</v>
      </c>
      <c r="H103" s="71" t="s">
        <v>5675</v>
      </c>
      <c r="I103" s="71" t="s">
        <v>5676</v>
      </c>
      <c r="J103" s="71" t="s">
        <v>5677</v>
      </c>
      <c r="K103" s="71" t="s">
        <v>5998</v>
      </c>
      <c r="L103" s="73">
        <v>45832</v>
      </c>
      <c r="M103" s="71" t="s">
        <v>5998</v>
      </c>
      <c r="N103" s="73">
        <v>45832</v>
      </c>
      <c r="O103" s="71" t="s">
        <v>5998</v>
      </c>
      <c r="P103" s="73">
        <v>45832</v>
      </c>
      <c r="Q103" s="71" t="s">
        <v>1859</v>
      </c>
      <c r="R103" s="73">
        <v>46101</v>
      </c>
      <c r="S103" s="71">
        <f t="shared" si="4"/>
        <v>269</v>
      </c>
      <c r="T103" s="71">
        <f t="shared" si="5"/>
        <v>269</v>
      </c>
      <c r="U103" s="71">
        <f t="shared" si="6"/>
        <v>0.73648186173853525</v>
      </c>
      <c r="V103" s="71">
        <f t="shared" si="7"/>
        <v>0.54240553266985891</v>
      </c>
      <c r="W103" s="71" t="s">
        <v>5679</v>
      </c>
      <c r="X103" s="71" t="s">
        <v>5728</v>
      </c>
      <c r="Y103" s="71"/>
      <c r="Z103" s="71"/>
      <c r="AA103" s="71"/>
      <c r="AB103" s="71" t="s">
        <v>5995</v>
      </c>
      <c r="AC103" s="71"/>
    </row>
    <row r="104" spans="1:29" ht="29" customHeight="1" x14ac:dyDescent="0.2">
      <c r="A104" s="70" t="s">
        <v>5999</v>
      </c>
      <c r="B104" s="70" t="s">
        <v>168</v>
      </c>
      <c r="C104" s="70" t="s">
        <v>5307</v>
      </c>
      <c r="D104" s="70" t="s">
        <v>5686</v>
      </c>
      <c r="E104" s="70" t="s">
        <v>5309</v>
      </c>
      <c r="F104" s="70" t="s">
        <v>5308</v>
      </c>
      <c r="G104" s="70" t="s">
        <v>5997</v>
      </c>
      <c r="H104" s="70" t="s">
        <v>5675</v>
      </c>
      <c r="I104" s="70" t="s">
        <v>5096</v>
      </c>
      <c r="J104" s="70" t="s">
        <v>5677</v>
      </c>
      <c r="K104" s="70" t="s">
        <v>6000</v>
      </c>
      <c r="L104" s="72">
        <v>45921</v>
      </c>
      <c r="M104" s="70" t="s">
        <v>6000</v>
      </c>
      <c r="N104" s="72">
        <v>45921</v>
      </c>
      <c r="O104" s="70" t="s">
        <v>6000</v>
      </c>
      <c r="P104" s="72">
        <v>45921</v>
      </c>
      <c r="Q104" s="70" t="s">
        <v>1859</v>
      </c>
      <c r="R104" s="72">
        <v>46101</v>
      </c>
      <c r="S104" s="70">
        <f t="shared" si="4"/>
        <v>180</v>
      </c>
      <c r="T104" s="70">
        <f t="shared" si="5"/>
        <v>180</v>
      </c>
      <c r="U104" s="70">
        <f t="shared" si="6"/>
        <v>0.49281314168377821</v>
      </c>
      <c r="V104" s="70">
        <f t="shared" si="7"/>
        <v>0.24286479261623567</v>
      </c>
      <c r="W104" s="70" t="s">
        <v>5679</v>
      </c>
      <c r="X104" s="70" t="s">
        <v>5687</v>
      </c>
      <c r="Y104" s="70"/>
      <c r="Z104" s="70"/>
      <c r="AA104" s="70"/>
      <c r="AB104" s="70"/>
      <c r="AC104" s="70"/>
    </row>
    <row r="105" spans="1:29" ht="29" customHeight="1" x14ac:dyDescent="0.2">
      <c r="A105" s="71" t="s">
        <v>6001</v>
      </c>
      <c r="B105" s="71" t="s">
        <v>168</v>
      </c>
      <c r="C105" s="71" t="s">
        <v>5310</v>
      </c>
      <c r="D105" s="71" t="s">
        <v>3595</v>
      </c>
      <c r="E105" s="71" t="s">
        <v>3969</v>
      </c>
      <c r="F105" s="71" t="s">
        <v>5311</v>
      </c>
      <c r="G105" s="71" t="s">
        <v>6002</v>
      </c>
      <c r="H105" s="71" t="s">
        <v>5675</v>
      </c>
      <c r="I105" s="71" t="s">
        <v>5696</v>
      </c>
      <c r="J105" s="71" t="s">
        <v>5677</v>
      </c>
      <c r="K105" s="71" t="s">
        <v>3972</v>
      </c>
      <c r="L105" s="73">
        <v>45977</v>
      </c>
      <c r="M105" s="71" t="s">
        <v>3972</v>
      </c>
      <c r="N105" s="73">
        <v>45977</v>
      </c>
      <c r="O105" s="71" t="s">
        <v>3972</v>
      </c>
      <c r="P105" s="73">
        <v>45977</v>
      </c>
      <c r="Q105" s="71" t="s">
        <v>1859</v>
      </c>
      <c r="R105" s="73">
        <v>46101</v>
      </c>
      <c r="S105" s="71">
        <f t="shared" si="4"/>
        <v>124</v>
      </c>
      <c r="T105" s="71">
        <f t="shared" si="5"/>
        <v>124</v>
      </c>
      <c r="U105" s="71">
        <f t="shared" si="6"/>
        <v>0.33949349760438058</v>
      </c>
      <c r="V105" s="71">
        <f t="shared" si="7"/>
        <v>0.11525583491565557</v>
      </c>
      <c r="W105" s="71" t="s">
        <v>5679</v>
      </c>
      <c r="X105" s="71" t="s">
        <v>5728</v>
      </c>
      <c r="Y105" s="71"/>
      <c r="Z105" s="71"/>
      <c r="AA105" s="71"/>
      <c r="AB105" s="71" t="s">
        <v>5995</v>
      </c>
      <c r="AC105" s="71"/>
    </row>
    <row r="106" spans="1:29" ht="29" customHeight="1" x14ac:dyDescent="0.2">
      <c r="A106" s="70" t="s">
        <v>6003</v>
      </c>
      <c r="B106" s="70" t="s">
        <v>168</v>
      </c>
      <c r="C106" s="70" t="s">
        <v>5312</v>
      </c>
      <c r="D106" s="70" t="s">
        <v>3595</v>
      </c>
      <c r="E106" s="70" t="s">
        <v>5314</v>
      </c>
      <c r="F106" s="70" t="s">
        <v>5313</v>
      </c>
      <c r="G106" s="70" t="s">
        <v>6004</v>
      </c>
      <c r="H106" s="70" t="s">
        <v>5675</v>
      </c>
      <c r="I106" s="70" t="s">
        <v>5690</v>
      </c>
      <c r="J106" s="70" t="s">
        <v>5677</v>
      </c>
      <c r="K106" s="70" t="s">
        <v>6005</v>
      </c>
      <c r="L106" s="72">
        <v>45613</v>
      </c>
      <c r="M106" s="70" t="s">
        <v>6005</v>
      </c>
      <c r="N106" s="72">
        <v>45613</v>
      </c>
      <c r="O106" s="70" t="s">
        <v>6005</v>
      </c>
      <c r="P106" s="72">
        <v>45613</v>
      </c>
      <c r="Q106" s="70" t="s">
        <v>1859</v>
      </c>
      <c r="R106" s="72">
        <v>46101</v>
      </c>
      <c r="S106" s="70">
        <f t="shared" si="4"/>
        <v>488</v>
      </c>
      <c r="T106" s="70">
        <f t="shared" si="5"/>
        <v>488</v>
      </c>
      <c r="U106" s="70">
        <f t="shared" si="6"/>
        <v>1.3360711841204653</v>
      </c>
      <c r="V106" s="70">
        <f t="shared" si="7"/>
        <v>1.7850862090370623</v>
      </c>
      <c r="W106" s="70" t="s">
        <v>5679</v>
      </c>
      <c r="X106" s="70" t="s">
        <v>5728</v>
      </c>
      <c r="Y106" s="70"/>
      <c r="Z106" s="70"/>
      <c r="AA106" s="70"/>
      <c r="AB106" s="70" t="s">
        <v>5995</v>
      </c>
      <c r="AC106" s="70"/>
    </row>
    <row r="107" spans="1:29" ht="29" customHeight="1" x14ac:dyDescent="0.2">
      <c r="A107" s="71" t="s">
        <v>6006</v>
      </c>
      <c r="B107" s="71" t="s">
        <v>168</v>
      </c>
      <c r="C107" s="71"/>
      <c r="D107" s="71" t="s">
        <v>5717</v>
      </c>
      <c r="E107" s="71" t="s">
        <v>5314</v>
      </c>
      <c r="F107" s="71"/>
      <c r="G107" s="71" t="s">
        <v>6004</v>
      </c>
      <c r="H107" s="71" t="s">
        <v>5675</v>
      </c>
      <c r="I107" s="71" t="s">
        <v>5091</v>
      </c>
      <c r="J107" s="71" t="s">
        <v>5793</v>
      </c>
      <c r="K107" s="71"/>
      <c r="L107" s="73"/>
      <c r="M107" s="71"/>
      <c r="N107" s="73"/>
      <c r="O107" s="71" t="s">
        <v>6005</v>
      </c>
      <c r="P107" s="73">
        <v>45613</v>
      </c>
      <c r="Q107" s="71" t="s">
        <v>1859</v>
      </c>
      <c r="R107" s="73">
        <v>46101</v>
      </c>
      <c r="S107" s="71">
        <f t="shared" si="4"/>
        <v>488</v>
      </c>
      <c r="T107" s="71" t="str">
        <f t="shared" si="5"/>
        <v/>
      </c>
      <c r="U107" s="71">
        <f t="shared" si="6"/>
        <v>1.3360711841204653</v>
      </c>
      <c r="V107" s="71">
        <f t="shared" si="7"/>
        <v>1.7850862090370623</v>
      </c>
      <c r="W107" s="71" t="s">
        <v>5795</v>
      </c>
      <c r="X107" s="71" t="s">
        <v>5728</v>
      </c>
      <c r="Y107" s="71"/>
      <c r="Z107" s="71"/>
      <c r="AA107" s="71"/>
      <c r="AB107" s="71" t="s">
        <v>5111</v>
      </c>
      <c r="AC107" s="71"/>
    </row>
    <row r="108" spans="1:29" ht="43.5" customHeight="1" x14ac:dyDescent="0.2">
      <c r="A108" s="70" t="s">
        <v>6007</v>
      </c>
      <c r="B108" s="70" t="s">
        <v>171</v>
      </c>
      <c r="C108" s="70" t="s">
        <v>5315</v>
      </c>
      <c r="D108" s="70" t="s">
        <v>3595</v>
      </c>
      <c r="E108" s="70" t="s">
        <v>5316</v>
      </c>
      <c r="F108" s="70" t="s">
        <v>5093</v>
      </c>
      <c r="G108" s="70" t="s">
        <v>6008</v>
      </c>
      <c r="H108" s="70" t="s">
        <v>5675</v>
      </c>
      <c r="I108" s="70" t="s">
        <v>5865</v>
      </c>
      <c r="J108" s="70" t="s">
        <v>5758</v>
      </c>
      <c r="K108" s="70"/>
      <c r="L108" s="72"/>
      <c r="M108" s="70"/>
      <c r="N108" s="72"/>
      <c r="O108" s="70" t="s">
        <v>3959</v>
      </c>
      <c r="P108" s="72">
        <v>45214</v>
      </c>
      <c r="Q108" s="70" t="s">
        <v>1859</v>
      </c>
      <c r="R108" s="72">
        <v>46101</v>
      </c>
      <c r="S108" s="70">
        <f t="shared" si="4"/>
        <v>887</v>
      </c>
      <c r="T108" s="70" t="str">
        <f t="shared" si="5"/>
        <v/>
      </c>
      <c r="U108" s="70">
        <f t="shared" si="6"/>
        <v>2.4284736481861739</v>
      </c>
      <c r="V108" s="70">
        <f t="shared" si="7"/>
        <v>5.8974842599346653</v>
      </c>
      <c r="W108" s="70" t="s">
        <v>5760</v>
      </c>
      <c r="X108" s="70" t="s">
        <v>5761</v>
      </c>
      <c r="Y108" s="70" t="s">
        <v>3959</v>
      </c>
      <c r="Z108" s="70" t="s">
        <v>5682</v>
      </c>
      <c r="AA108" s="70"/>
      <c r="AB108" s="70" t="s">
        <v>6009</v>
      </c>
      <c r="AC108" s="70" t="s">
        <v>6010</v>
      </c>
    </row>
    <row r="109" spans="1:29" ht="29" customHeight="1" x14ac:dyDescent="0.2">
      <c r="A109" s="71" t="s">
        <v>6011</v>
      </c>
      <c r="B109" s="71" t="s">
        <v>171</v>
      </c>
      <c r="C109" s="71" t="s">
        <v>5318</v>
      </c>
      <c r="D109" s="71" t="s">
        <v>3595</v>
      </c>
      <c r="E109" s="71" t="s">
        <v>5320</v>
      </c>
      <c r="F109" s="71" t="s">
        <v>5319</v>
      </c>
      <c r="G109" s="71" t="s">
        <v>6012</v>
      </c>
      <c r="H109" s="71" t="s">
        <v>5675</v>
      </c>
      <c r="I109" s="71" t="s">
        <v>5676</v>
      </c>
      <c r="J109" s="71" t="s">
        <v>5697</v>
      </c>
      <c r="K109" s="71"/>
      <c r="L109" s="73"/>
      <c r="M109" s="71" t="s">
        <v>6013</v>
      </c>
      <c r="N109" s="73">
        <v>46015</v>
      </c>
      <c r="O109" s="71" t="s">
        <v>6014</v>
      </c>
      <c r="P109" s="73">
        <v>46020</v>
      </c>
      <c r="Q109" s="71" t="s">
        <v>1859</v>
      </c>
      <c r="R109" s="73">
        <v>46101</v>
      </c>
      <c r="S109" s="71">
        <f t="shared" si="4"/>
        <v>81</v>
      </c>
      <c r="T109" s="71">
        <f t="shared" si="5"/>
        <v>86</v>
      </c>
      <c r="U109" s="71">
        <f t="shared" si="6"/>
        <v>0.22176591375770022</v>
      </c>
      <c r="V109" s="71">
        <f t="shared" si="7"/>
        <v>4.9180120504787733E-2</v>
      </c>
      <c r="W109" s="71" t="s">
        <v>6015</v>
      </c>
      <c r="X109" s="71" t="s">
        <v>5701</v>
      </c>
      <c r="Y109" s="71" t="s">
        <v>6014</v>
      </c>
      <c r="Z109" s="71" t="s">
        <v>5682</v>
      </c>
      <c r="AA109" s="71"/>
      <c r="AB109" s="71" t="s">
        <v>6016</v>
      </c>
      <c r="AC109" s="71" t="s">
        <v>5919</v>
      </c>
    </row>
    <row r="110" spans="1:29" ht="29" customHeight="1" x14ac:dyDescent="0.2">
      <c r="A110" s="70" t="s">
        <v>6017</v>
      </c>
      <c r="B110" s="70" t="s">
        <v>171</v>
      </c>
      <c r="C110" s="70" t="s">
        <v>5318</v>
      </c>
      <c r="D110" s="70" t="s">
        <v>5686</v>
      </c>
      <c r="E110" s="70" t="s">
        <v>5320</v>
      </c>
      <c r="F110" s="70" t="s">
        <v>5319</v>
      </c>
      <c r="G110" s="70" t="s">
        <v>6012</v>
      </c>
      <c r="H110" s="70" t="s">
        <v>5675</v>
      </c>
      <c r="I110" s="70" t="s">
        <v>5096</v>
      </c>
      <c r="J110" s="70" t="s">
        <v>5677</v>
      </c>
      <c r="K110" s="70" t="s">
        <v>6013</v>
      </c>
      <c r="L110" s="72">
        <v>46015</v>
      </c>
      <c r="M110" s="70" t="s">
        <v>6013</v>
      </c>
      <c r="N110" s="72">
        <v>46015</v>
      </c>
      <c r="O110" s="70" t="s">
        <v>6013</v>
      </c>
      <c r="P110" s="72">
        <v>46015</v>
      </c>
      <c r="Q110" s="70" t="s">
        <v>1859</v>
      </c>
      <c r="R110" s="72">
        <v>46101</v>
      </c>
      <c r="S110" s="70">
        <f t="shared" si="4"/>
        <v>86</v>
      </c>
      <c r="T110" s="70">
        <f t="shared" si="5"/>
        <v>86</v>
      </c>
      <c r="U110" s="70">
        <f t="shared" si="6"/>
        <v>0.23545516769336072</v>
      </c>
      <c r="V110" s="70">
        <f t="shared" si="7"/>
        <v>5.5439135993508616E-2</v>
      </c>
      <c r="W110" s="70" t="s">
        <v>5679</v>
      </c>
      <c r="X110" s="70" t="s">
        <v>5687</v>
      </c>
      <c r="Y110" s="70"/>
      <c r="Z110" s="70"/>
      <c r="AA110" s="70"/>
      <c r="AB110" s="70"/>
      <c r="AC110" s="70"/>
    </row>
    <row r="111" spans="1:29" ht="29" customHeight="1" x14ac:dyDescent="0.2">
      <c r="A111" s="71" t="s">
        <v>6018</v>
      </c>
      <c r="B111" s="71" t="s">
        <v>171</v>
      </c>
      <c r="C111" s="71" t="s">
        <v>5321</v>
      </c>
      <c r="D111" s="71" t="s">
        <v>3595</v>
      </c>
      <c r="E111" s="71" t="s">
        <v>3986</v>
      </c>
      <c r="F111" s="71" t="s">
        <v>5322</v>
      </c>
      <c r="G111" s="71" t="s">
        <v>6019</v>
      </c>
      <c r="H111" s="71" t="s">
        <v>5675</v>
      </c>
      <c r="I111" s="71" t="s">
        <v>5696</v>
      </c>
      <c r="J111" s="71" t="s">
        <v>5677</v>
      </c>
      <c r="K111" s="71" t="s">
        <v>3959</v>
      </c>
      <c r="L111" s="73">
        <v>45214</v>
      </c>
      <c r="M111" s="71" t="s">
        <v>3959</v>
      </c>
      <c r="N111" s="73">
        <v>45214</v>
      </c>
      <c r="O111" s="71" t="s">
        <v>3959</v>
      </c>
      <c r="P111" s="73">
        <v>45214</v>
      </c>
      <c r="Q111" s="71" t="s">
        <v>1859</v>
      </c>
      <c r="R111" s="73">
        <v>46101</v>
      </c>
      <c r="S111" s="71">
        <f t="shared" si="4"/>
        <v>887</v>
      </c>
      <c r="T111" s="71">
        <f t="shared" si="5"/>
        <v>887</v>
      </c>
      <c r="U111" s="71">
        <f t="shared" si="6"/>
        <v>2.4284736481861739</v>
      </c>
      <c r="V111" s="71">
        <f t="shared" si="7"/>
        <v>5.8974842599346653</v>
      </c>
      <c r="W111" s="71" t="s">
        <v>5679</v>
      </c>
      <c r="X111" s="71" t="s">
        <v>5680</v>
      </c>
      <c r="Y111" s="71" t="s">
        <v>3959</v>
      </c>
      <c r="Z111" s="71" t="s">
        <v>5682</v>
      </c>
      <c r="AA111" s="71"/>
      <c r="AB111" s="71" t="s">
        <v>6009</v>
      </c>
      <c r="AC111" s="71" t="s">
        <v>6020</v>
      </c>
    </row>
    <row r="112" spans="1:29" ht="43.5" customHeight="1" x14ac:dyDescent="0.2">
      <c r="A112" s="70" t="s">
        <v>6021</v>
      </c>
      <c r="B112" s="70" t="s">
        <v>171</v>
      </c>
      <c r="C112" s="70" t="s">
        <v>5323</v>
      </c>
      <c r="D112" s="70" t="s">
        <v>3595</v>
      </c>
      <c r="E112" s="70" t="s">
        <v>5325</v>
      </c>
      <c r="F112" s="70" t="s">
        <v>5324</v>
      </c>
      <c r="G112" s="70" t="s">
        <v>6022</v>
      </c>
      <c r="H112" s="70" t="s">
        <v>5675</v>
      </c>
      <c r="I112" s="70" t="s">
        <v>5706</v>
      </c>
      <c r="J112" s="70" t="s">
        <v>5697</v>
      </c>
      <c r="K112" s="70"/>
      <c r="L112" s="72"/>
      <c r="M112" s="70" t="s">
        <v>6023</v>
      </c>
      <c r="N112" s="72">
        <v>45706</v>
      </c>
      <c r="O112" s="70" t="s">
        <v>6024</v>
      </c>
      <c r="P112" s="72">
        <v>45764</v>
      </c>
      <c r="Q112" s="70" t="s">
        <v>1859</v>
      </c>
      <c r="R112" s="72">
        <v>46101</v>
      </c>
      <c r="S112" s="70">
        <f t="shared" si="4"/>
        <v>337</v>
      </c>
      <c r="T112" s="70">
        <f t="shared" si="5"/>
        <v>395</v>
      </c>
      <c r="U112" s="70">
        <f t="shared" si="6"/>
        <v>0.92265571526351808</v>
      </c>
      <c r="V112" s="70">
        <f t="shared" si="7"/>
        <v>0.85129356890843411</v>
      </c>
      <c r="W112" s="70" t="s">
        <v>6025</v>
      </c>
      <c r="X112" s="70" t="s">
        <v>5701</v>
      </c>
      <c r="Y112" s="70" t="s">
        <v>6023</v>
      </c>
      <c r="Z112" s="70" t="s">
        <v>5682</v>
      </c>
      <c r="AA112" s="70"/>
      <c r="AB112" s="70" t="s">
        <v>6009</v>
      </c>
      <c r="AC112" s="70" t="s">
        <v>6026</v>
      </c>
    </row>
    <row r="113" spans="1:29" ht="29" customHeight="1" x14ac:dyDescent="0.2">
      <c r="A113" s="71" t="s">
        <v>6027</v>
      </c>
      <c r="B113" s="71" t="s">
        <v>171</v>
      </c>
      <c r="C113" s="71" t="s">
        <v>5326</v>
      </c>
      <c r="D113" s="71" t="s">
        <v>3595</v>
      </c>
      <c r="E113" s="71" t="s">
        <v>5327</v>
      </c>
      <c r="F113" s="71" t="s">
        <v>5182</v>
      </c>
      <c r="G113" s="71" t="s">
        <v>6028</v>
      </c>
      <c r="H113" s="71" t="s">
        <v>5675</v>
      </c>
      <c r="I113" s="71" t="s">
        <v>5696</v>
      </c>
      <c r="J113" s="71" t="s">
        <v>5697</v>
      </c>
      <c r="K113" s="71"/>
      <c r="L113" s="73"/>
      <c r="M113" s="71" t="s">
        <v>6029</v>
      </c>
      <c r="N113" s="73">
        <v>45920</v>
      </c>
      <c r="O113" s="71" t="s">
        <v>6030</v>
      </c>
      <c r="P113" s="73">
        <v>45959</v>
      </c>
      <c r="Q113" s="71" t="s">
        <v>1859</v>
      </c>
      <c r="R113" s="73">
        <v>46101</v>
      </c>
      <c r="S113" s="71">
        <f t="shared" si="4"/>
        <v>142</v>
      </c>
      <c r="T113" s="71">
        <f t="shared" si="5"/>
        <v>181</v>
      </c>
      <c r="U113" s="71">
        <f t="shared" si="6"/>
        <v>0.38877481177275841</v>
      </c>
      <c r="V113" s="71">
        <f t="shared" si="7"/>
        <v>0.15114585426894372</v>
      </c>
      <c r="W113" s="71" t="s">
        <v>6031</v>
      </c>
      <c r="X113" s="71" t="s">
        <v>5701</v>
      </c>
      <c r="Y113" s="71" t="s">
        <v>6029</v>
      </c>
      <c r="Z113" s="71" t="s">
        <v>5682</v>
      </c>
      <c r="AA113" s="71"/>
      <c r="AB113" s="71" t="s">
        <v>6009</v>
      </c>
      <c r="AC113" s="71" t="s">
        <v>6032</v>
      </c>
    </row>
    <row r="114" spans="1:29" ht="29" customHeight="1" x14ac:dyDescent="0.2">
      <c r="A114" s="70" t="s">
        <v>6033</v>
      </c>
      <c r="B114" s="70" t="s">
        <v>171</v>
      </c>
      <c r="C114" s="70"/>
      <c r="D114" s="70" t="s">
        <v>5717</v>
      </c>
      <c r="E114" s="70" t="s">
        <v>5325</v>
      </c>
      <c r="F114" s="70"/>
      <c r="G114" s="70" t="s">
        <v>6022</v>
      </c>
      <c r="H114" s="70" t="s">
        <v>5675</v>
      </c>
      <c r="I114" s="70" t="s">
        <v>5091</v>
      </c>
      <c r="J114" s="70" t="s">
        <v>5677</v>
      </c>
      <c r="K114" s="70" t="s">
        <v>6023</v>
      </c>
      <c r="L114" s="72">
        <v>45706</v>
      </c>
      <c r="M114" s="70" t="s">
        <v>6023</v>
      </c>
      <c r="N114" s="72">
        <v>45706</v>
      </c>
      <c r="O114" s="70" t="s">
        <v>6023</v>
      </c>
      <c r="P114" s="72">
        <v>45706</v>
      </c>
      <c r="Q114" s="70" t="s">
        <v>1859</v>
      </c>
      <c r="R114" s="72">
        <v>46101</v>
      </c>
      <c r="S114" s="70">
        <f t="shared" si="4"/>
        <v>395</v>
      </c>
      <c r="T114" s="70">
        <f t="shared" si="5"/>
        <v>395</v>
      </c>
      <c r="U114" s="70">
        <f t="shared" si="6"/>
        <v>1.0814510609171799</v>
      </c>
      <c r="V114" s="70">
        <f t="shared" si="7"/>
        <v>1.1695363971588939</v>
      </c>
      <c r="W114" s="70" t="s">
        <v>5679</v>
      </c>
      <c r="X114" s="70" t="s">
        <v>5728</v>
      </c>
      <c r="Y114" s="70"/>
      <c r="Z114" s="70"/>
      <c r="AA114" s="70"/>
      <c r="AB114" s="70" t="s">
        <v>5111</v>
      </c>
      <c r="AC114" s="70"/>
    </row>
    <row r="115" spans="1:29" ht="29" customHeight="1" x14ac:dyDescent="0.2">
      <c r="A115" s="71" t="s">
        <v>6034</v>
      </c>
      <c r="B115" s="71" t="s">
        <v>174</v>
      </c>
      <c r="C115" s="71" t="s">
        <v>5328</v>
      </c>
      <c r="D115" s="71" t="s">
        <v>3595</v>
      </c>
      <c r="E115" s="71" t="s">
        <v>176</v>
      </c>
      <c r="F115" s="71" t="s">
        <v>5329</v>
      </c>
      <c r="G115" s="71" t="s">
        <v>6035</v>
      </c>
      <c r="H115" s="71" t="s">
        <v>5675</v>
      </c>
      <c r="I115" s="71" t="s">
        <v>5676</v>
      </c>
      <c r="J115" s="71" t="s">
        <v>5677</v>
      </c>
      <c r="K115" s="71" t="s">
        <v>2753</v>
      </c>
      <c r="L115" s="73">
        <v>45791</v>
      </c>
      <c r="M115" s="71" t="s">
        <v>2753</v>
      </c>
      <c r="N115" s="73">
        <v>45791</v>
      </c>
      <c r="O115" s="71" t="s">
        <v>2753</v>
      </c>
      <c r="P115" s="73">
        <v>45791</v>
      </c>
      <c r="Q115" s="71" t="s">
        <v>4400</v>
      </c>
      <c r="R115" s="73">
        <v>46012</v>
      </c>
      <c r="S115" s="71">
        <f t="shared" si="4"/>
        <v>221</v>
      </c>
      <c r="T115" s="71">
        <f t="shared" si="5"/>
        <v>221</v>
      </c>
      <c r="U115" s="71">
        <f t="shared" si="6"/>
        <v>0.60506502395619444</v>
      </c>
      <c r="V115" s="71">
        <f t="shared" si="7"/>
        <v>0.36610368321511016</v>
      </c>
      <c r="W115" s="71" t="s">
        <v>5679</v>
      </c>
      <c r="X115" s="71" t="s">
        <v>5728</v>
      </c>
      <c r="Y115" s="71" t="s">
        <v>2777</v>
      </c>
      <c r="Z115" s="71" t="s">
        <v>6036</v>
      </c>
      <c r="AA115" s="71"/>
      <c r="AB115" s="71" t="s">
        <v>6037</v>
      </c>
      <c r="AC115" s="71"/>
    </row>
    <row r="116" spans="1:29" ht="29" customHeight="1" x14ac:dyDescent="0.2">
      <c r="A116" s="70" t="s">
        <v>6038</v>
      </c>
      <c r="B116" s="70" t="s">
        <v>174</v>
      </c>
      <c r="C116" s="70" t="s">
        <v>5328</v>
      </c>
      <c r="D116" s="70" t="s">
        <v>5686</v>
      </c>
      <c r="E116" s="70" t="s">
        <v>176</v>
      </c>
      <c r="F116" s="70" t="s">
        <v>5329</v>
      </c>
      <c r="G116" s="70" t="s">
        <v>6035</v>
      </c>
      <c r="H116" s="70" t="s">
        <v>5675</v>
      </c>
      <c r="I116" s="70" t="s">
        <v>5096</v>
      </c>
      <c r="J116" s="70" t="s">
        <v>5677</v>
      </c>
      <c r="K116" s="70" t="s">
        <v>2753</v>
      </c>
      <c r="L116" s="72">
        <v>45791</v>
      </c>
      <c r="M116" s="70" t="s">
        <v>2753</v>
      </c>
      <c r="N116" s="72">
        <v>45791</v>
      </c>
      <c r="O116" s="70" t="s">
        <v>2753</v>
      </c>
      <c r="P116" s="72">
        <v>45791</v>
      </c>
      <c r="Q116" s="70" t="s">
        <v>4400</v>
      </c>
      <c r="R116" s="72">
        <v>46012</v>
      </c>
      <c r="S116" s="70">
        <f t="shared" si="4"/>
        <v>221</v>
      </c>
      <c r="T116" s="70">
        <f t="shared" si="5"/>
        <v>221</v>
      </c>
      <c r="U116" s="70">
        <f t="shared" si="6"/>
        <v>0.60506502395619444</v>
      </c>
      <c r="V116" s="70">
        <f t="shared" si="7"/>
        <v>0.36610368321511016</v>
      </c>
      <c r="W116" s="70" t="s">
        <v>5679</v>
      </c>
      <c r="X116" s="70" t="s">
        <v>5687</v>
      </c>
      <c r="Y116" s="70"/>
      <c r="Z116" s="70"/>
      <c r="AA116" s="70"/>
      <c r="AB116" s="70"/>
      <c r="AC116" s="70"/>
    </row>
    <row r="117" spans="1:29" ht="29" customHeight="1" x14ac:dyDescent="0.2">
      <c r="A117" s="71" t="s">
        <v>6039</v>
      </c>
      <c r="B117" s="71" t="s">
        <v>174</v>
      </c>
      <c r="C117" s="71" t="s">
        <v>5331</v>
      </c>
      <c r="D117" s="71" t="s">
        <v>3595</v>
      </c>
      <c r="E117" s="71" t="s">
        <v>2759</v>
      </c>
      <c r="F117" s="71" t="s">
        <v>5332</v>
      </c>
      <c r="G117" s="71" t="s">
        <v>6040</v>
      </c>
      <c r="H117" s="71" t="s">
        <v>5675</v>
      </c>
      <c r="I117" s="71" t="s">
        <v>5706</v>
      </c>
      <c r="J117" s="71" t="s">
        <v>5677</v>
      </c>
      <c r="K117" s="71" t="s">
        <v>6041</v>
      </c>
      <c r="L117" s="73">
        <v>45620</v>
      </c>
      <c r="M117" s="71" t="s">
        <v>6041</v>
      </c>
      <c r="N117" s="73">
        <v>45620</v>
      </c>
      <c r="O117" s="71" t="s">
        <v>6041</v>
      </c>
      <c r="P117" s="73">
        <v>45620</v>
      </c>
      <c r="Q117" s="71" t="s">
        <v>4400</v>
      </c>
      <c r="R117" s="73">
        <v>46012</v>
      </c>
      <c r="S117" s="71">
        <f t="shared" si="4"/>
        <v>392</v>
      </c>
      <c r="T117" s="71">
        <f t="shared" si="5"/>
        <v>392</v>
      </c>
      <c r="U117" s="71">
        <f t="shared" si="6"/>
        <v>1.0732375085557837</v>
      </c>
      <c r="V117" s="71">
        <f t="shared" si="7"/>
        <v>1.1518387497710258</v>
      </c>
      <c r="W117" s="71" t="s">
        <v>5679</v>
      </c>
      <c r="X117" s="71" t="s">
        <v>5728</v>
      </c>
      <c r="Y117" s="71"/>
      <c r="Z117" s="71"/>
      <c r="AA117" s="71"/>
      <c r="AB117" s="71" t="s">
        <v>6037</v>
      </c>
      <c r="AC117" s="71"/>
    </row>
    <row r="118" spans="1:29" ht="29" customHeight="1" x14ac:dyDescent="0.2">
      <c r="A118" s="70" t="s">
        <v>6042</v>
      </c>
      <c r="B118" s="70" t="s">
        <v>174</v>
      </c>
      <c r="C118" s="70" t="s">
        <v>5333</v>
      </c>
      <c r="D118" s="70" t="s">
        <v>3595</v>
      </c>
      <c r="E118" s="70" t="s">
        <v>2766</v>
      </c>
      <c r="F118" s="70" t="s">
        <v>5334</v>
      </c>
      <c r="G118" s="70" t="s">
        <v>6043</v>
      </c>
      <c r="H118" s="70" t="s">
        <v>5675</v>
      </c>
      <c r="I118" s="70" t="s">
        <v>5690</v>
      </c>
      <c r="J118" s="70" t="s">
        <v>5677</v>
      </c>
      <c r="K118" s="70" t="s">
        <v>2753</v>
      </c>
      <c r="L118" s="72">
        <v>45791</v>
      </c>
      <c r="M118" s="70" t="s">
        <v>2753</v>
      </c>
      <c r="N118" s="72">
        <v>45791</v>
      </c>
      <c r="O118" s="70" t="s">
        <v>2753</v>
      </c>
      <c r="P118" s="72">
        <v>45791</v>
      </c>
      <c r="Q118" s="70" t="s">
        <v>4400</v>
      </c>
      <c r="R118" s="72">
        <v>46012</v>
      </c>
      <c r="S118" s="70">
        <f t="shared" si="4"/>
        <v>221</v>
      </c>
      <c r="T118" s="70">
        <f t="shared" si="5"/>
        <v>221</v>
      </c>
      <c r="U118" s="70">
        <f t="shared" si="6"/>
        <v>0.60506502395619444</v>
      </c>
      <c r="V118" s="70">
        <f t="shared" si="7"/>
        <v>0.36610368321511016</v>
      </c>
      <c r="W118" s="70" t="s">
        <v>5679</v>
      </c>
      <c r="X118" s="70" t="s">
        <v>5728</v>
      </c>
      <c r="Y118" s="70"/>
      <c r="Z118" s="70"/>
      <c r="AA118" s="70"/>
      <c r="AB118" s="70" t="s">
        <v>6037</v>
      </c>
      <c r="AC118" s="70"/>
    </row>
    <row r="119" spans="1:29" ht="29" customHeight="1" x14ac:dyDescent="0.2">
      <c r="A119" s="71" t="s">
        <v>6044</v>
      </c>
      <c r="B119" s="71" t="s">
        <v>174</v>
      </c>
      <c r="C119" s="71" t="s">
        <v>5335</v>
      </c>
      <c r="D119" s="71" t="s">
        <v>3595</v>
      </c>
      <c r="E119" s="71" t="s">
        <v>5336</v>
      </c>
      <c r="F119" s="71" t="s">
        <v>2771</v>
      </c>
      <c r="G119" s="71" t="s">
        <v>6045</v>
      </c>
      <c r="H119" s="71" t="s">
        <v>5675</v>
      </c>
      <c r="I119" s="71" t="s">
        <v>5696</v>
      </c>
      <c r="J119" s="71" t="s">
        <v>5677</v>
      </c>
      <c r="K119" s="71" t="s">
        <v>6046</v>
      </c>
      <c r="L119" s="73">
        <v>45642</v>
      </c>
      <c r="M119" s="71" t="s">
        <v>6046</v>
      </c>
      <c r="N119" s="73">
        <v>45642</v>
      </c>
      <c r="O119" s="71" t="s">
        <v>6046</v>
      </c>
      <c r="P119" s="73">
        <v>45642</v>
      </c>
      <c r="Q119" s="71" t="s">
        <v>4400</v>
      </c>
      <c r="R119" s="73">
        <v>46012</v>
      </c>
      <c r="S119" s="71">
        <f t="shared" si="4"/>
        <v>370</v>
      </c>
      <c r="T119" s="71">
        <f t="shared" si="5"/>
        <v>370</v>
      </c>
      <c r="U119" s="71">
        <f t="shared" si="6"/>
        <v>1.0130047912388775</v>
      </c>
      <c r="V119" s="71">
        <f t="shared" si="7"/>
        <v>1.0261787070729218</v>
      </c>
      <c r="W119" s="71" t="s">
        <v>5679</v>
      </c>
      <c r="X119" s="71" t="s">
        <v>5728</v>
      </c>
      <c r="Y119" s="71"/>
      <c r="Z119" s="71"/>
      <c r="AA119" s="71"/>
      <c r="AB119" s="71" t="s">
        <v>6037</v>
      </c>
      <c r="AC119" s="71"/>
    </row>
    <row r="120" spans="1:29" ht="29" customHeight="1" x14ac:dyDescent="0.2">
      <c r="A120" s="70" t="s">
        <v>6047</v>
      </c>
      <c r="B120" s="70" t="s">
        <v>174</v>
      </c>
      <c r="C120" s="70" t="s">
        <v>5337</v>
      </c>
      <c r="D120" s="70" t="s">
        <v>3595</v>
      </c>
      <c r="E120" s="70" t="s">
        <v>5338</v>
      </c>
      <c r="F120" s="70" t="s">
        <v>5247</v>
      </c>
      <c r="G120" s="70" t="s">
        <v>6048</v>
      </c>
      <c r="H120" s="70" t="s">
        <v>5675</v>
      </c>
      <c r="I120" s="70" t="s">
        <v>5696</v>
      </c>
      <c r="J120" s="70" t="s">
        <v>5677</v>
      </c>
      <c r="K120" s="70" t="s">
        <v>2778</v>
      </c>
      <c r="L120" s="72">
        <v>45880</v>
      </c>
      <c r="M120" s="70" t="s">
        <v>2778</v>
      </c>
      <c r="N120" s="72">
        <v>45880</v>
      </c>
      <c r="O120" s="70" t="s">
        <v>2778</v>
      </c>
      <c r="P120" s="72">
        <v>45880</v>
      </c>
      <c r="Q120" s="70" t="s">
        <v>4400</v>
      </c>
      <c r="R120" s="72">
        <v>46012</v>
      </c>
      <c r="S120" s="70">
        <f t="shared" si="4"/>
        <v>132</v>
      </c>
      <c r="T120" s="70">
        <f t="shared" si="5"/>
        <v>132</v>
      </c>
      <c r="U120" s="70">
        <f t="shared" si="6"/>
        <v>0.3613963039014374</v>
      </c>
      <c r="V120" s="70">
        <f t="shared" si="7"/>
        <v>0.1306072884736201</v>
      </c>
      <c r="W120" s="70" t="s">
        <v>5679</v>
      </c>
      <c r="X120" s="70" t="s">
        <v>5728</v>
      </c>
      <c r="Y120" s="70"/>
      <c r="Z120" s="70"/>
      <c r="AA120" s="70"/>
      <c r="AB120" s="70" t="s">
        <v>6049</v>
      </c>
      <c r="AC120" s="70"/>
    </row>
    <row r="121" spans="1:29" ht="29" customHeight="1" x14ac:dyDescent="0.2">
      <c r="A121" s="71" t="s">
        <v>6050</v>
      </c>
      <c r="B121" s="71" t="s">
        <v>174</v>
      </c>
      <c r="C121" s="71"/>
      <c r="D121" s="71" t="s">
        <v>5717</v>
      </c>
      <c r="E121" s="71" t="s">
        <v>2759</v>
      </c>
      <c r="F121" s="71"/>
      <c r="G121" s="71" t="s">
        <v>6040</v>
      </c>
      <c r="H121" s="71" t="s">
        <v>5675</v>
      </c>
      <c r="I121" s="71" t="s">
        <v>5091</v>
      </c>
      <c r="J121" s="71" t="s">
        <v>5677</v>
      </c>
      <c r="K121" s="71" t="s">
        <v>6041</v>
      </c>
      <c r="L121" s="73">
        <v>45620</v>
      </c>
      <c r="M121" s="71" t="s">
        <v>6041</v>
      </c>
      <c r="N121" s="73">
        <v>45620</v>
      </c>
      <c r="O121" s="71" t="s">
        <v>6041</v>
      </c>
      <c r="P121" s="73">
        <v>45620</v>
      </c>
      <c r="Q121" s="71" t="s">
        <v>4400</v>
      </c>
      <c r="R121" s="73">
        <v>46012</v>
      </c>
      <c r="S121" s="71">
        <f t="shared" si="4"/>
        <v>392</v>
      </c>
      <c r="T121" s="71">
        <f t="shared" si="5"/>
        <v>392</v>
      </c>
      <c r="U121" s="71">
        <f t="shared" si="6"/>
        <v>1.0732375085557837</v>
      </c>
      <c r="V121" s="71">
        <f t="shared" si="7"/>
        <v>1.1518387497710258</v>
      </c>
      <c r="W121" s="71" t="s">
        <v>5679</v>
      </c>
      <c r="X121" s="71" t="s">
        <v>5728</v>
      </c>
      <c r="Y121" s="71"/>
      <c r="Z121" s="71"/>
      <c r="AA121" s="71"/>
      <c r="AB121" s="71" t="s">
        <v>5111</v>
      </c>
      <c r="AC121" s="71"/>
    </row>
    <row r="122" spans="1:29" ht="29" customHeight="1" x14ac:dyDescent="0.2">
      <c r="A122" s="70" t="s">
        <v>6051</v>
      </c>
      <c r="B122" s="70" t="s">
        <v>179</v>
      </c>
      <c r="C122" s="70" t="s">
        <v>5339</v>
      </c>
      <c r="D122" s="70" t="s">
        <v>3595</v>
      </c>
      <c r="E122" s="70" t="s">
        <v>4028</v>
      </c>
      <c r="F122" s="70" t="s">
        <v>2771</v>
      </c>
      <c r="G122" s="70" t="s">
        <v>6052</v>
      </c>
      <c r="H122" s="70" t="s">
        <v>5675</v>
      </c>
      <c r="I122" s="70" t="s">
        <v>5696</v>
      </c>
      <c r="J122" s="70" t="s">
        <v>5677</v>
      </c>
      <c r="K122" s="70" t="s">
        <v>4038</v>
      </c>
      <c r="L122" s="72">
        <v>45458</v>
      </c>
      <c r="M122" s="70" t="s">
        <v>4038</v>
      </c>
      <c r="N122" s="72">
        <v>45458</v>
      </c>
      <c r="O122" s="70" t="s">
        <v>4038</v>
      </c>
      <c r="P122" s="72">
        <v>45458</v>
      </c>
      <c r="Q122" s="70" t="s">
        <v>4400</v>
      </c>
      <c r="R122" s="72">
        <v>46012</v>
      </c>
      <c r="S122" s="70">
        <f t="shared" si="4"/>
        <v>554</v>
      </c>
      <c r="T122" s="70">
        <f t="shared" si="5"/>
        <v>554</v>
      </c>
      <c r="U122" s="70">
        <f t="shared" si="6"/>
        <v>1.516769336071184</v>
      </c>
      <c r="V122" s="70">
        <f t="shared" si="7"/>
        <v>2.3005892188458206</v>
      </c>
      <c r="W122" s="70" t="s">
        <v>5679</v>
      </c>
      <c r="X122" s="70" t="s">
        <v>5728</v>
      </c>
      <c r="Y122" s="70" t="s">
        <v>6053</v>
      </c>
      <c r="Z122" s="70" t="s">
        <v>6036</v>
      </c>
      <c r="AA122" s="70"/>
      <c r="AB122" s="70" t="s">
        <v>6054</v>
      </c>
      <c r="AC122" s="70"/>
    </row>
    <row r="123" spans="1:29" ht="29" customHeight="1" x14ac:dyDescent="0.2">
      <c r="A123" s="71" t="s">
        <v>6055</v>
      </c>
      <c r="B123" s="71" t="s">
        <v>179</v>
      </c>
      <c r="C123" s="71" t="s">
        <v>5341</v>
      </c>
      <c r="D123" s="71" t="s">
        <v>3595</v>
      </c>
      <c r="E123" s="71" t="s">
        <v>5342</v>
      </c>
      <c r="F123" s="71" t="s">
        <v>5329</v>
      </c>
      <c r="G123" s="71" t="s">
        <v>6056</v>
      </c>
      <c r="H123" s="71" t="s">
        <v>5675</v>
      </c>
      <c r="I123" s="71" t="s">
        <v>5676</v>
      </c>
      <c r="J123" s="71" t="s">
        <v>5677</v>
      </c>
      <c r="K123" s="71" t="s">
        <v>3946</v>
      </c>
      <c r="L123" s="73">
        <v>45761</v>
      </c>
      <c r="M123" s="71" t="s">
        <v>3946</v>
      </c>
      <c r="N123" s="73">
        <v>45761</v>
      </c>
      <c r="O123" s="71" t="s">
        <v>3946</v>
      </c>
      <c r="P123" s="73">
        <v>45761</v>
      </c>
      <c r="Q123" s="71" t="s">
        <v>4400</v>
      </c>
      <c r="R123" s="73">
        <v>46012</v>
      </c>
      <c r="S123" s="71">
        <f t="shared" si="4"/>
        <v>251</v>
      </c>
      <c r="T123" s="71">
        <f t="shared" si="5"/>
        <v>251</v>
      </c>
      <c r="U123" s="71">
        <f t="shared" si="6"/>
        <v>0.68720054757015747</v>
      </c>
      <c r="V123" s="71">
        <f t="shared" si="7"/>
        <v>0.47224459258072427</v>
      </c>
      <c r="W123" s="71" t="s">
        <v>5679</v>
      </c>
      <c r="X123" s="71" t="s">
        <v>5728</v>
      </c>
      <c r="Y123" s="71" t="s">
        <v>6053</v>
      </c>
      <c r="Z123" s="71" t="s">
        <v>6036</v>
      </c>
      <c r="AA123" s="71"/>
      <c r="AB123" s="71" t="s">
        <v>6054</v>
      </c>
      <c r="AC123" s="71"/>
    </row>
    <row r="124" spans="1:29" ht="29" customHeight="1" x14ac:dyDescent="0.2">
      <c r="A124" s="70" t="s">
        <v>6057</v>
      </c>
      <c r="B124" s="70" t="s">
        <v>179</v>
      </c>
      <c r="C124" s="70" t="s">
        <v>5341</v>
      </c>
      <c r="D124" s="70" t="s">
        <v>5686</v>
      </c>
      <c r="E124" s="70" t="s">
        <v>5342</v>
      </c>
      <c r="F124" s="70" t="s">
        <v>5329</v>
      </c>
      <c r="G124" s="70" t="s">
        <v>6056</v>
      </c>
      <c r="H124" s="70" t="s">
        <v>5675</v>
      </c>
      <c r="I124" s="70" t="s">
        <v>5096</v>
      </c>
      <c r="J124" s="70" t="s">
        <v>5677</v>
      </c>
      <c r="K124" s="70" t="s">
        <v>3946</v>
      </c>
      <c r="L124" s="72">
        <v>45761</v>
      </c>
      <c r="M124" s="70" t="s">
        <v>3946</v>
      </c>
      <c r="N124" s="72">
        <v>45761</v>
      </c>
      <c r="O124" s="70" t="s">
        <v>3946</v>
      </c>
      <c r="P124" s="72">
        <v>45761</v>
      </c>
      <c r="Q124" s="70" t="s">
        <v>4400</v>
      </c>
      <c r="R124" s="72">
        <v>46012</v>
      </c>
      <c r="S124" s="70">
        <f t="shared" si="4"/>
        <v>251</v>
      </c>
      <c r="T124" s="70">
        <f t="shared" si="5"/>
        <v>251</v>
      </c>
      <c r="U124" s="70">
        <f t="shared" si="6"/>
        <v>0.68720054757015747</v>
      </c>
      <c r="V124" s="70">
        <f t="shared" si="7"/>
        <v>0.47224459258072427</v>
      </c>
      <c r="W124" s="70" t="s">
        <v>5679</v>
      </c>
      <c r="X124" s="70" t="s">
        <v>5687</v>
      </c>
      <c r="Y124" s="70"/>
      <c r="Z124" s="70"/>
      <c r="AA124" s="70"/>
      <c r="AB124" s="70"/>
      <c r="AC124" s="70"/>
    </row>
    <row r="125" spans="1:29" ht="29" customHeight="1" x14ac:dyDescent="0.2">
      <c r="A125" s="71" t="s">
        <v>6058</v>
      </c>
      <c r="B125" s="71" t="s">
        <v>179</v>
      </c>
      <c r="C125" s="71" t="s">
        <v>5343</v>
      </c>
      <c r="D125" s="71" t="s">
        <v>3595</v>
      </c>
      <c r="E125" s="71" t="s">
        <v>5344</v>
      </c>
      <c r="F125" s="71" t="s">
        <v>5332</v>
      </c>
      <c r="G125" s="71" t="s">
        <v>6059</v>
      </c>
      <c r="H125" s="71" t="s">
        <v>5675</v>
      </c>
      <c r="I125" s="71" t="s">
        <v>5706</v>
      </c>
      <c r="J125" s="71" t="s">
        <v>5793</v>
      </c>
      <c r="K125" s="71"/>
      <c r="L125" s="73"/>
      <c r="M125" s="71"/>
      <c r="N125" s="73"/>
      <c r="O125" s="71" t="s">
        <v>6060</v>
      </c>
      <c r="P125" s="73">
        <v>44668</v>
      </c>
      <c r="Q125" s="71" t="s">
        <v>4400</v>
      </c>
      <c r="R125" s="73">
        <v>46012</v>
      </c>
      <c r="S125" s="71">
        <f t="shared" si="4"/>
        <v>1344</v>
      </c>
      <c r="T125" s="71" t="str">
        <f t="shared" si="5"/>
        <v/>
      </c>
      <c r="U125" s="71">
        <f t="shared" si="6"/>
        <v>3.6796714579055441</v>
      </c>
      <c r="V125" s="71">
        <f t="shared" si="7"/>
        <v>13.539982038124712</v>
      </c>
      <c r="W125" s="71" t="s">
        <v>5795</v>
      </c>
      <c r="X125" s="71" t="s">
        <v>5728</v>
      </c>
      <c r="Y125" s="71" t="s">
        <v>6053</v>
      </c>
      <c r="Z125" s="71" t="s">
        <v>6036</v>
      </c>
      <c r="AA125" s="71"/>
      <c r="AB125" s="71" t="s">
        <v>6054</v>
      </c>
      <c r="AC125" s="71"/>
    </row>
    <row r="126" spans="1:29" ht="29" customHeight="1" x14ac:dyDescent="0.2">
      <c r="A126" s="70" t="s">
        <v>6061</v>
      </c>
      <c r="B126" s="70" t="s">
        <v>179</v>
      </c>
      <c r="C126" s="70" t="s">
        <v>5345</v>
      </c>
      <c r="D126" s="70" t="s">
        <v>3595</v>
      </c>
      <c r="E126" s="70" t="s">
        <v>5347</v>
      </c>
      <c r="F126" s="70" t="s">
        <v>5346</v>
      </c>
      <c r="G126" s="70" t="s">
        <v>6062</v>
      </c>
      <c r="H126" s="70" t="s">
        <v>5675</v>
      </c>
      <c r="I126" s="70" t="s">
        <v>5696</v>
      </c>
      <c r="J126" s="70" t="s">
        <v>5677</v>
      </c>
      <c r="K126" s="70" t="s">
        <v>4053</v>
      </c>
      <c r="L126" s="72">
        <v>45725</v>
      </c>
      <c r="M126" s="70" t="s">
        <v>4053</v>
      </c>
      <c r="N126" s="72">
        <v>45725</v>
      </c>
      <c r="O126" s="70" t="s">
        <v>4053</v>
      </c>
      <c r="P126" s="72">
        <v>45725</v>
      </c>
      <c r="Q126" s="70" t="s">
        <v>4400</v>
      </c>
      <c r="R126" s="72">
        <v>46012</v>
      </c>
      <c r="S126" s="70">
        <f t="shared" si="4"/>
        <v>287</v>
      </c>
      <c r="T126" s="70">
        <f t="shared" si="5"/>
        <v>287</v>
      </c>
      <c r="U126" s="70">
        <f t="shared" si="6"/>
        <v>0.78576317590691303</v>
      </c>
      <c r="V126" s="70">
        <f t="shared" si="7"/>
        <v>0.61742376861131831</v>
      </c>
      <c r="W126" s="70" t="s">
        <v>5679</v>
      </c>
      <c r="X126" s="70" t="s">
        <v>5728</v>
      </c>
      <c r="Y126" s="70" t="s">
        <v>6053</v>
      </c>
      <c r="Z126" s="70" t="s">
        <v>6036</v>
      </c>
      <c r="AA126" s="70"/>
      <c r="AB126" s="70" t="s">
        <v>6054</v>
      </c>
      <c r="AC126" s="70"/>
    </row>
    <row r="127" spans="1:29" ht="29" customHeight="1" x14ac:dyDescent="0.2">
      <c r="A127" s="71" t="s">
        <v>6063</v>
      </c>
      <c r="B127" s="71" t="s">
        <v>179</v>
      </c>
      <c r="C127" s="71" t="s">
        <v>5348</v>
      </c>
      <c r="D127" s="71" t="s">
        <v>3595</v>
      </c>
      <c r="E127" s="71" t="s">
        <v>5349</v>
      </c>
      <c r="F127" s="71" t="s">
        <v>5334</v>
      </c>
      <c r="G127" s="71" t="s">
        <v>6064</v>
      </c>
      <c r="H127" s="71" t="s">
        <v>5675</v>
      </c>
      <c r="I127" s="71" t="s">
        <v>5690</v>
      </c>
      <c r="J127" s="71" t="s">
        <v>5793</v>
      </c>
      <c r="K127" s="71"/>
      <c r="L127" s="73"/>
      <c r="M127" s="71"/>
      <c r="N127" s="73"/>
      <c r="O127" s="71" t="s">
        <v>6060</v>
      </c>
      <c r="P127" s="73">
        <v>44668</v>
      </c>
      <c r="Q127" s="71" t="s">
        <v>4400</v>
      </c>
      <c r="R127" s="73">
        <v>46012</v>
      </c>
      <c r="S127" s="71">
        <f t="shared" si="4"/>
        <v>1344</v>
      </c>
      <c r="T127" s="71" t="str">
        <f t="shared" si="5"/>
        <v/>
      </c>
      <c r="U127" s="71">
        <f t="shared" si="6"/>
        <v>3.6796714579055441</v>
      </c>
      <c r="V127" s="71">
        <f t="shared" si="7"/>
        <v>13.539982038124712</v>
      </c>
      <c r="W127" s="71" t="s">
        <v>5795</v>
      </c>
      <c r="X127" s="71" t="s">
        <v>5728</v>
      </c>
      <c r="Y127" s="71" t="s">
        <v>6053</v>
      </c>
      <c r="Z127" s="71" t="s">
        <v>6036</v>
      </c>
      <c r="AA127" s="71"/>
      <c r="AB127" s="71" t="s">
        <v>6054</v>
      </c>
      <c r="AC127" s="71"/>
    </row>
    <row r="128" spans="1:29" ht="29" customHeight="1" x14ac:dyDescent="0.2">
      <c r="A128" s="70" t="s">
        <v>6065</v>
      </c>
      <c r="B128" s="70" t="s">
        <v>179</v>
      </c>
      <c r="C128" s="70"/>
      <c r="D128" s="70" t="s">
        <v>5717</v>
      </c>
      <c r="E128" s="70" t="s">
        <v>5344</v>
      </c>
      <c r="F128" s="70"/>
      <c r="G128" s="70" t="s">
        <v>6059</v>
      </c>
      <c r="H128" s="70" t="s">
        <v>5675</v>
      </c>
      <c r="I128" s="70" t="s">
        <v>5091</v>
      </c>
      <c r="J128" s="70" t="s">
        <v>5793</v>
      </c>
      <c r="K128" s="70"/>
      <c r="L128" s="72"/>
      <c r="M128" s="70"/>
      <c r="N128" s="72"/>
      <c r="O128" s="70" t="s">
        <v>6066</v>
      </c>
      <c r="P128" s="72">
        <v>45144</v>
      </c>
      <c r="Q128" s="70" t="s">
        <v>4400</v>
      </c>
      <c r="R128" s="72">
        <v>46012</v>
      </c>
      <c r="S128" s="70">
        <f t="shared" si="4"/>
        <v>868</v>
      </c>
      <c r="T128" s="70" t="str">
        <f t="shared" si="5"/>
        <v/>
      </c>
      <c r="U128" s="70">
        <f t="shared" si="6"/>
        <v>2.3764544832306638</v>
      </c>
      <c r="V128" s="70">
        <f t="shared" si="7"/>
        <v>5.6475359108671208</v>
      </c>
      <c r="W128" s="70" t="s">
        <v>5795</v>
      </c>
      <c r="X128" s="70" t="s">
        <v>5728</v>
      </c>
      <c r="Y128" s="70"/>
      <c r="Z128" s="70"/>
      <c r="AA128" s="70"/>
      <c r="AB128" s="70" t="s">
        <v>5111</v>
      </c>
      <c r="AC128" s="70"/>
    </row>
    <row r="129" spans="1:29" ht="29" customHeight="1" x14ac:dyDescent="0.2">
      <c r="A129" s="71" t="s">
        <v>6067</v>
      </c>
      <c r="B129" s="71" t="s">
        <v>182</v>
      </c>
      <c r="C129" s="71" t="s">
        <v>5350</v>
      </c>
      <c r="D129" s="71" t="s">
        <v>3595</v>
      </c>
      <c r="E129" s="71" t="s">
        <v>2786</v>
      </c>
      <c r="F129" s="71" t="s">
        <v>5194</v>
      </c>
      <c r="G129" s="71" t="s">
        <v>5802</v>
      </c>
      <c r="H129" s="71" t="s">
        <v>5675</v>
      </c>
      <c r="I129" s="71" t="s">
        <v>5706</v>
      </c>
      <c r="J129" s="71" t="s">
        <v>5697</v>
      </c>
      <c r="K129" s="71"/>
      <c r="L129" s="73"/>
      <c r="M129" s="71" t="s">
        <v>6068</v>
      </c>
      <c r="N129" s="73">
        <v>45050</v>
      </c>
      <c r="O129" s="71" t="s">
        <v>6069</v>
      </c>
      <c r="P129" s="73">
        <v>45425</v>
      </c>
      <c r="Q129" s="71" t="s">
        <v>3879</v>
      </c>
      <c r="R129" s="73">
        <v>45922</v>
      </c>
      <c r="S129" s="71">
        <f t="shared" si="4"/>
        <v>497</v>
      </c>
      <c r="T129" s="71">
        <f t="shared" si="5"/>
        <v>872</v>
      </c>
      <c r="U129" s="71">
        <f t="shared" si="6"/>
        <v>1.3607118412046544</v>
      </c>
      <c r="V129" s="71">
        <f t="shared" si="7"/>
        <v>1.8515367147945605</v>
      </c>
      <c r="W129" s="71" t="s">
        <v>6070</v>
      </c>
      <c r="X129" s="71" t="s">
        <v>5701</v>
      </c>
      <c r="Y129" s="71" t="s">
        <v>6068</v>
      </c>
      <c r="Z129" s="71" t="s">
        <v>5682</v>
      </c>
      <c r="AA129" s="71"/>
      <c r="AB129" s="71" t="s">
        <v>6071</v>
      </c>
      <c r="AC129" s="71" t="s">
        <v>6072</v>
      </c>
    </row>
    <row r="130" spans="1:29" ht="43.5" customHeight="1" x14ac:dyDescent="0.2">
      <c r="A130" s="70" t="s">
        <v>6073</v>
      </c>
      <c r="B130" s="70" t="s">
        <v>182</v>
      </c>
      <c r="C130" s="70" t="s">
        <v>5352</v>
      </c>
      <c r="D130" s="70" t="s">
        <v>3595</v>
      </c>
      <c r="E130" s="70" t="s">
        <v>2795</v>
      </c>
      <c r="F130" s="70" t="s">
        <v>5353</v>
      </c>
      <c r="G130" s="70" t="s">
        <v>6074</v>
      </c>
      <c r="H130" s="70" t="s">
        <v>5675</v>
      </c>
      <c r="I130" s="70" t="s">
        <v>5865</v>
      </c>
      <c r="J130" s="70" t="s">
        <v>5677</v>
      </c>
      <c r="K130" s="70" t="s">
        <v>6075</v>
      </c>
      <c r="L130" s="72">
        <v>40820</v>
      </c>
      <c r="M130" s="70" t="s">
        <v>6075</v>
      </c>
      <c r="N130" s="72">
        <v>40820</v>
      </c>
      <c r="O130" s="70" t="s">
        <v>6075</v>
      </c>
      <c r="P130" s="72">
        <v>40820</v>
      </c>
      <c r="Q130" s="70" t="s">
        <v>3879</v>
      </c>
      <c r="R130" s="72">
        <v>45922</v>
      </c>
      <c r="S130" s="70">
        <f t="shared" si="4"/>
        <v>5102</v>
      </c>
      <c r="T130" s="70">
        <f t="shared" si="5"/>
        <v>5102</v>
      </c>
      <c r="U130" s="70">
        <f t="shared" si="6"/>
        <v>13.968514715947981</v>
      </c>
      <c r="V130" s="70">
        <f t="shared" si="7"/>
        <v>195.11940336965529</v>
      </c>
      <c r="W130" s="70" t="s">
        <v>5871</v>
      </c>
      <c r="X130" s="70" t="s">
        <v>5872</v>
      </c>
      <c r="Y130" s="70" t="s">
        <v>6075</v>
      </c>
      <c r="Z130" s="70" t="s">
        <v>5682</v>
      </c>
      <c r="AA130" s="70"/>
      <c r="AB130" s="70" t="s">
        <v>6071</v>
      </c>
      <c r="AC130" s="70" t="s">
        <v>6076</v>
      </c>
    </row>
    <row r="131" spans="1:29" ht="29" customHeight="1" x14ac:dyDescent="0.2">
      <c r="A131" s="71" t="s">
        <v>6077</v>
      </c>
      <c r="B131" s="71" t="s">
        <v>182</v>
      </c>
      <c r="C131" s="71" t="s">
        <v>5354</v>
      </c>
      <c r="D131" s="71" t="s">
        <v>3595</v>
      </c>
      <c r="E131" s="71" t="s">
        <v>5355</v>
      </c>
      <c r="F131" s="71" t="s">
        <v>2799</v>
      </c>
      <c r="G131" s="71" t="s">
        <v>6078</v>
      </c>
      <c r="H131" s="71" t="s">
        <v>5675</v>
      </c>
      <c r="I131" s="71" t="s">
        <v>5696</v>
      </c>
      <c r="J131" s="71" t="s">
        <v>5677</v>
      </c>
      <c r="K131" s="71" t="s">
        <v>2753</v>
      </c>
      <c r="L131" s="73">
        <v>45791</v>
      </c>
      <c r="M131" s="71" t="s">
        <v>2753</v>
      </c>
      <c r="N131" s="73">
        <v>45791</v>
      </c>
      <c r="O131" s="71" t="s">
        <v>2753</v>
      </c>
      <c r="P131" s="73">
        <v>45791</v>
      </c>
      <c r="Q131" s="71" t="s">
        <v>3879</v>
      </c>
      <c r="R131" s="73">
        <v>45922</v>
      </c>
      <c r="S131" s="71">
        <f t="shared" si="4"/>
        <v>131</v>
      </c>
      <c r="T131" s="71">
        <f t="shared" si="5"/>
        <v>131</v>
      </c>
      <c r="U131" s="71">
        <f t="shared" si="6"/>
        <v>0.35865845311430528</v>
      </c>
      <c r="V131" s="71">
        <f t="shared" si="7"/>
        <v>0.12863588599034631</v>
      </c>
      <c r="W131" s="71" t="s">
        <v>5679</v>
      </c>
      <c r="X131" s="71" t="s">
        <v>5728</v>
      </c>
      <c r="Y131" s="71"/>
      <c r="Z131" s="71"/>
      <c r="AA131" s="71"/>
      <c r="AB131" s="71" t="s">
        <v>6071</v>
      </c>
      <c r="AC131" s="71"/>
    </row>
    <row r="132" spans="1:29" ht="29" customHeight="1" x14ac:dyDescent="0.2">
      <c r="A132" s="70" t="s">
        <v>6079</v>
      </c>
      <c r="B132" s="70" t="s">
        <v>182</v>
      </c>
      <c r="C132" s="70" t="s">
        <v>5356</v>
      </c>
      <c r="D132" s="70" t="s">
        <v>3595</v>
      </c>
      <c r="E132" s="70" t="s">
        <v>2804</v>
      </c>
      <c r="F132" s="70" t="s">
        <v>2805</v>
      </c>
      <c r="G132" s="70" t="s">
        <v>6080</v>
      </c>
      <c r="H132" s="70" t="s">
        <v>5675</v>
      </c>
      <c r="I132" s="70" t="s">
        <v>5696</v>
      </c>
      <c r="J132" s="70" t="s">
        <v>5677</v>
      </c>
      <c r="K132" s="70" t="s">
        <v>2753</v>
      </c>
      <c r="L132" s="72">
        <v>45791</v>
      </c>
      <c r="M132" s="70" t="s">
        <v>2753</v>
      </c>
      <c r="N132" s="72">
        <v>45791</v>
      </c>
      <c r="O132" s="70" t="s">
        <v>2753</v>
      </c>
      <c r="P132" s="72">
        <v>45791</v>
      </c>
      <c r="Q132" s="70" t="s">
        <v>3879</v>
      </c>
      <c r="R132" s="72">
        <v>45922</v>
      </c>
      <c r="S132" s="70">
        <f t="shared" ref="S132:S195" si="8">IF(OR(J132="UNKNOWN",R132=""),"",R132-IF(J132="EXACT",L132,P132))</f>
        <v>131</v>
      </c>
      <c r="T132" s="70">
        <f t="shared" ref="T132:T195" si="9">IF(J132="EXACT",R132-L132,IF(J132="INTERVAL",R132-N132,""))</f>
        <v>131</v>
      </c>
      <c r="U132" s="70">
        <f t="shared" ref="U132:U195" si="10">IF(S132="","",S132/365.25)</f>
        <v>0.35865845311430528</v>
      </c>
      <c r="V132" s="70">
        <f t="shared" ref="V132:V195" si="11">IF(U132="","",U132^2)</f>
        <v>0.12863588599034631</v>
      </c>
      <c r="W132" s="70" t="s">
        <v>5679</v>
      </c>
      <c r="X132" s="70" t="s">
        <v>5728</v>
      </c>
      <c r="Y132" s="70"/>
      <c r="Z132" s="70"/>
      <c r="AA132" s="70"/>
      <c r="AB132" s="70" t="s">
        <v>6071</v>
      </c>
      <c r="AC132" s="70"/>
    </row>
    <row r="133" spans="1:29" ht="43.5" customHeight="1" x14ac:dyDescent="0.2">
      <c r="A133" s="71" t="s">
        <v>6081</v>
      </c>
      <c r="B133" s="71" t="s">
        <v>182</v>
      </c>
      <c r="C133" s="71" t="s">
        <v>5357</v>
      </c>
      <c r="D133" s="71" t="s">
        <v>3595</v>
      </c>
      <c r="E133" s="71" t="s">
        <v>184</v>
      </c>
      <c r="F133" s="71" t="s">
        <v>5358</v>
      </c>
      <c r="G133" s="71" t="s">
        <v>5983</v>
      </c>
      <c r="H133" s="71" t="s">
        <v>5675</v>
      </c>
      <c r="I133" s="71" t="s">
        <v>5676</v>
      </c>
      <c r="J133" s="71" t="s">
        <v>5677</v>
      </c>
      <c r="K133" s="71" t="s">
        <v>6082</v>
      </c>
      <c r="L133" s="73">
        <v>45213</v>
      </c>
      <c r="M133" s="71" t="s">
        <v>6082</v>
      </c>
      <c r="N133" s="73">
        <v>45213</v>
      </c>
      <c r="O133" s="71" t="s">
        <v>6082</v>
      </c>
      <c r="P133" s="73">
        <v>45213</v>
      </c>
      <c r="Q133" s="71" t="s">
        <v>3879</v>
      </c>
      <c r="R133" s="73">
        <v>45922</v>
      </c>
      <c r="S133" s="71">
        <f t="shared" si="8"/>
        <v>709</v>
      </c>
      <c r="T133" s="71">
        <f t="shared" si="9"/>
        <v>709</v>
      </c>
      <c r="U133" s="71">
        <f t="shared" si="10"/>
        <v>1.9411362080766599</v>
      </c>
      <c r="V133" s="71">
        <f t="shared" si="11"/>
        <v>3.7680097783062338</v>
      </c>
      <c r="W133" s="71" t="s">
        <v>5871</v>
      </c>
      <c r="X133" s="71" t="s">
        <v>5872</v>
      </c>
      <c r="Y133" s="71" t="s">
        <v>6082</v>
      </c>
      <c r="Z133" s="71" t="s">
        <v>5682</v>
      </c>
      <c r="AA133" s="71"/>
      <c r="AB133" s="71" t="s">
        <v>6071</v>
      </c>
      <c r="AC133" s="71" t="s">
        <v>6076</v>
      </c>
    </row>
    <row r="134" spans="1:29" ht="29" customHeight="1" x14ac:dyDescent="0.2">
      <c r="A134" s="70" t="s">
        <v>6083</v>
      </c>
      <c r="B134" s="70" t="s">
        <v>182</v>
      </c>
      <c r="C134" s="70" t="s">
        <v>5357</v>
      </c>
      <c r="D134" s="70" t="s">
        <v>5686</v>
      </c>
      <c r="E134" s="70" t="s">
        <v>184</v>
      </c>
      <c r="F134" s="70" t="s">
        <v>5358</v>
      </c>
      <c r="G134" s="70" t="s">
        <v>5983</v>
      </c>
      <c r="H134" s="70" t="s">
        <v>5675</v>
      </c>
      <c r="I134" s="70" t="s">
        <v>5096</v>
      </c>
      <c r="J134" s="70" t="s">
        <v>5793</v>
      </c>
      <c r="K134" s="70"/>
      <c r="L134" s="72"/>
      <c r="M134" s="70"/>
      <c r="N134" s="72"/>
      <c r="O134" s="70" t="s">
        <v>6084</v>
      </c>
      <c r="P134" s="72">
        <v>45215</v>
      </c>
      <c r="Q134" s="70" t="s">
        <v>3879</v>
      </c>
      <c r="R134" s="72">
        <v>45922</v>
      </c>
      <c r="S134" s="70">
        <f t="shared" si="8"/>
        <v>707</v>
      </c>
      <c r="T134" s="70" t="str">
        <f t="shared" si="9"/>
        <v/>
      </c>
      <c r="U134" s="70">
        <f t="shared" si="10"/>
        <v>1.9356605065023955</v>
      </c>
      <c r="V134" s="70">
        <f t="shared" si="11"/>
        <v>3.7467815964331104</v>
      </c>
      <c r="W134" s="70" t="s">
        <v>5795</v>
      </c>
      <c r="X134" s="70" t="s">
        <v>5687</v>
      </c>
      <c r="Y134" s="70"/>
      <c r="Z134" s="70"/>
      <c r="AA134" s="70"/>
      <c r="AB134" s="70"/>
      <c r="AC134" s="70"/>
    </row>
    <row r="135" spans="1:29" ht="29" customHeight="1" x14ac:dyDescent="0.2">
      <c r="A135" s="71" t="s">
        <v>6085</v>
      </c>
      <c r="B135" s="71" t="s">
        <v>182</v>
      </c>
      <c r="C135" s="71"/>
      <c r="D135" s="71" t="s">
        <v>5717</v>
      </c>
      <c r="E135" s="71" t="s">
        <v>2786</v>
      </c>
      <c r="F135" s="71"/>
      <c r="G135" s="71" t="s">
        <v>5802</v>
      </c>
      <c r="H135" s="71" t="s">
        <v>5675</v>
      </c>
      <c r="I135" s="71" t="s">
        <v>5091</v>
      </c>
      <c r="J135" s="71" t="s">
        <v>5793</v>
      </c>
      <c r="K135" s="71"/>
      <c r="L135" s="73"/>
      <c r="M135" s="71"/>
      <c r="N135" s="73"/>
      <c r="O135" s="71" t="s">
        <v>6086</v>
      </c>
      <c r="P135" s="73">
        <v>45426</v>
      </c>
      <c r="Q135" s="71" t="s">
        <v>3879</v>
      </c>
      <c r="R135" s="73">
        <v>45922</v>
      </c>
      <c r="S135" s="71">
        <f t="shared" si="8"/>
        <v>496</v>
      </c>
      <c r="T135" s="71" t="str">
        <f t="shared" si="9"/>
        <v/>
      </c>
      <c r="U135" s="71">
        <f t="shared" si="10"/>
        <v>1.3579739904175223</v>
      </c>
      <c r="V135" s="71">
        <f t="shared" si="11"/>
        <v>1.8440933586504891</v>
      </c>
      <c r="W135" s="71" t="s">
        <v>5795</v>
      </c>
      <c r="X135" s="71" t="s">
        <v>5728</v>
      </c>
      <c r="Y135" s="71"/>
      <c r="Z135" s="71"/>
      <c r="AA135" s="71"/>
      <c r="AB135" s="71" t="s">
        <v>5111</v>
      </c>
      <c r="AC135" s="71"/>
    </row>
    <row r="136" spans="1:29" ht="29" customHeight="1" x14ac:dyDescent="0.2">
      <c r="A136" s="70" t="s">
        <v>6087</v>
      </c>
      <c r="B136" s="70" t="s">
        <v>187</v>
      </c>
      <c r="C136" s="70" t="s">
        <v>5359</v>
      </c>
      <c r="D136" s="70" t="s">
        <v>3595</v>
      </c>
      <c r="E136" s="70" t="s">
        <v>5361</v>
      </c>
      <c r="F136" s="70" t="s">
        <v>5360</v>
      </c>
      <c r="G136" s="70" t="s">
        <v>6088</v>
      </c>
      <c r="H136" s="70" t="s">
        <v>5675</v>
      </c>
      <c r="I136" s="70" t="s">
        <v>5706</v>
      </c>
      <c r="J136" s="70" t="s">
        <v>5677</v>
      </c>
      <c r="K136" s="70" t="s">
        <v>6089</v>
      </c>
      <c r="L136" s="72">
        <v>45546</v>
      </c>
      <c r="M136" s="70" t="s">
        <v>6089</v>
      </c>
      <c r="N136" s="72">
        <v>45546</v>
      </c>
      <c r="O136" s="70" t="s">
        <v>6089</v>
      </c>
      <c r="P136" s="72">
        <v>45546</v>
      </c>
      <c r="Q136" s="70" t="s">
        <v>1859</v>
      </c>
      <c r="R136" s="72">
        <v>46101</v>
      </c>
      <c r="S136" s="70">
        <f t="shared" si="8"/>
        <v>555</v>
      </c>
      <c r="T136" s="70">
        <f t="shared" si="9"/>
        <v>555</v>
      </c>
      <c r="U136" s="70">
        <f t="shared" si="10"/>
        <v>1.5195071868583163</v>
      </c>
      <c r="V136" s="70">
        <f t="shared" si="11"/>
        <v>2.3089020909140743</v>
      </c>
      <c r="W136" s="70" t="s">
        <v>5679</v>
      </c>
      <c r="X136" s="70" t="s">
        <v>5728</v>
      </c>
      <c r="Y136" s="70"/>
      <c r="Z136" s="70"/>
      <c r="AA136" s="70"/>
      <c r="AB136" s="70" t="s">
        <v>6090</v>
      </c>
      <c r="AC136" s="70"/>
    </row>
    <row r="137" spans="1:29" ht="29" customHeight="1" x14ac:dyDescent="0.2">
      <c r="A137" s="71" t="s">
        <v>6091</v>
      </c>
      <c r="B137" s="71" t="s">
        <v>187</v>
      </c>
      <c r="C137" s="71" t="s">
        <v>5363</v>
      </c>
      <c r="D137" s="71" t="s">
        <v>3595</v>
      </c>
      <c r="E137" s="71" t="s">
        <v>5365</v>
      </c>
      <c r="F137" s="71" t="s">
        <v>5364</v>
      </c>
      <c r="G137" s="71" t="s">
        <v>6092</v>
      </c>
      <c r="H137" s="71" t="s">
        <v>5675</v>
      </c>
      <c r="I137" s="71" t="s">
        <v>5865</v>
      </c>
      <c r="J137" s="71" t="s">
        <v>5793</v>
      </c>
      <c r="K137" s="71"/>
      <c r="L137" s="73"/>
      <c r="M137" s="71"/>
      <c r="N137" s="73"/>
      <c r="O137" s="71" t="s">
        <v>6093</v>
      </c>
      <c r="P137" s="73">
        <v>44657</v>
      </c>
      <c r="Q137" s="71" t="s">
        <v>1859</v>
      </c>
      <c r="R137" s="73">
        <v>46101</v>
      </c>
      <c r="S137" s="71">
        <f t="shared" si="8"/>
        <v>1444</v>
      </c>
      <c r="T137" s="71" t="str">
        <f t="shared" si="9"/>
        <v/>
      </c>
      <c r="U137" s="71">
        <f t="shared" si="10"/>
        <v>3.9534565366187544</v>
      </c>
      <c r="V137" s="71">
        <f t="shared" si="11"/>
        <v>15.629818586933556</v>
      </c>
      <c r="W137" s="71" t="s">
        <v>5795</v>
      </c>
      <c r="X137" s="71" t="s">
        <v>5728</v>
      </c>
      <c r="Y137" s="71"/>
      <c r="Z137" s="71"/>
      <c r="AA137" s="71"/>
      <c r="AB137" s="71" t="s">
        <v>6090</v>
      </c>
      <c r="AC137" s="71"/>
    </row>
    <row r="138" spans="1:29" ht="29" customHeight="1" x14ac:dyDescent="0.2">
      <c r="A138" s="70" t="s">
        <v>6094</v>
      </c>
      <c r="B138" s="70" t="s">
        <v>187</v>
      </c>
      <c r="C138" s="70" t="s">
        <v>5366</v>
      </c>
      <c r="D138" s="70" t="s">
        <v>3595</v>
      </c>
      <c r="E138" s="70" t="s">
        <v>5368</v>
      </c>
      <c r="F138" s="70" t="s">
        <v>5367</v>
      </c>
      <c r="G138" s="70" t="s">
        <v>6095</v>
      </c>
      <c r="H138" s="70" t="s">
        <v>5675</v>
      </c>
      <c r="I138" s="70" t="s">
        <v>5696</v>
      </c>
      <c r="J138" s="70" t="s">
        <v>5677</v>
      </c>
      <c r="K138" s="70" t="s">
        <v>6096</v>
      </c>
      <c r="L138" s="72">
        <v>45965</v>
      </c>
      <c r="M138" s="70" t="s">
        <v>6096</v>
      </c>
      <c r="N138" s="72">
        <v>45965</v>
      </c>
      <c r="O138" s="70" t="s">
        <v>6096</v>
      </c>
      <c r="P138" s="72">
        <v>45965</v>
      </c>
      <c r="Q138" s="70" t="s">
        <v>1859</v>
      </c>
      <c r="R138" s="72">
        <v>46101</v>
      </c>
      <c r="S138" s="70">
        <f t="shared" si="8"/>
        <v>136</v>
      </c>
      <c r="T138" s="70">
        <f t="shared" si="9"/>
        <v>136</v>
      </c>
      <c r="U138" s="70">
        <f t="shared" si="10"/>
        <v>0.37234770704996578</v>
      </c>
      <c r="V138" s="70">
        <f t="shared" si="11"/>
        <v>0.13864281494536715</v>
      </c>
      <c r="W138" s="70" t="s">
        <v>5679</v>
      </c>
      <c r="X138" s="70" t="s">
        <v>5728</v>
      </c>
      <c r="Y138" s="70"/>
      <c r="Z138" s="70"/>
      <c r="AA138" s="70"/>
      <c r="AB138" s="70" t="s">
        <v>6097</v>
      </c>
      <c r="AC138" s="70"/>
    </row>
    <row r="139" spans="1:29" ht="29" customHeight="1" x14ac:dyDescent="0.2">
      <c r="A139" s="71" t="s">
        <v>6098</v>
      </c>
      <c r="B139" s="71" t="s">
        <v>187</v>
      </c>
      <c r="C139" s="71" t="s">
        <v>5369</v>
      </c>
      <c r="D139" s="71" t="s">
        <v>3595</v>
      </c>
      <c r="E139" s="71" t="s">
        <v>4076</v>
      </c>
      <c r="F139" s="71" t="s">
        <v>5370</v>
      </c>
      <c r="G139" s="71" t="s">
        <v>6099</v>
      </c>
      <c r="H139" s="71" t="s">
        <v>5675</v>
      </c>
      <c r="I139" s="71" t="s">
        <v>5676</v>
      </c>
      <c r="J139" s="71" t="s">
        <v>5793</v>
      </c>
      <c r="K139" s="71"/>
      <c r="L139" s="73"/>
      <c r="M139" s="71"/>
      <c r="N139" s="73"/>
      <c r="O139" s="71" t="s">
        <v>6093</v>
      </c>
      <c r="P139" s="73">
        <v>44657</v>
      </c>
      <c r="Q139" s="71" t="s">
        <v>1859</v>
      </c>
      <c r="R139" s="73">
        <v>46101</v>
      </c>
      <c r="S139" s="71">
        <f t="shared" si="8"/>
        <v>1444</v>
      </c>
      <c r="T139" s="71" t="str">
        <f t="shared" si="9"/>
        <v/>
      </c>
      <c r="U139" s="71">
        <f t="shared" si="10"/>
        <v>3.9534565366187544</v>
      </c>
      <c r="V139" s="71">
        <f t="shared" si="11"/>
        <v>15.629818586933556</v>
      </c>
      <c r="W139" s="71" t="s">
        <v>5795</v>
      </c>
      <c r="X139" s="71" t="s">
        <v>5728</v>
      </c>
      <c r="Y139" s="71"/>
      <c r="Z139" s="71"/>
      <c r="AA139" s="71"/>
      <c r="AB139" s="71" t="s">
        <v>6100</v>
      </c>
      <c r="AC139" s="71"/>
    </row>
    <row r="140" spans="1:29" ht="29" customHeight="1" x14ac:dyDescent="0.2">
      <c r="A140" s="70" t="s">
        <v>6101</v>
      </c>
      <c r="B140" s="70" t="s">
        <v>187</v>
      </c>
      <c r="C140" s="70" t="s">
        <v>5369</v>
      </c>
      <c r="D140" s="70" t="s">
        <v>5686</v>
      </c>
      <c r="E140" s="70" t="s">
        <v>4076</v>
      </c>
      <c r="F140" s="70" t="s">
        <v>5370</v>
      </c>
      <c r="G140" s="70" t="s">
        <v>6099</v>
      </c>
      <c r="H140" s="70" t="s">
        <v>5675</v>
      </c>
      <c r="I140" s="70" t="s">
        <v>5096</v>
      </c>
      <c r="J140" s="70" t="s">
        <v>5793</v>
      </c>
      <c r="K140" s="70"/>
      <c r="L140" s="72"/>
      <c r="M140" s="70"/>
      <c r="N140" s="72"/>
      <c r="O140" s="70" t="s">
        <v>6093</v>
      </c>
      <c r="P140" s="72">
        <v>44657</v>
      </c>
      <c r="Q140" s="70" t="s">
        <v>1859</v>
      </c>
      <c r="R140" s="72">
        <v>46101</v>
      </c>
      <c r="S140" s="70">
        <f t="shared" si="8"/>
        <v>1444</v>
      </c>
      <c r="T140" s="70" t="str">
        <f t="shared" si="9"/>
        <v/>
      </c>
      <c r="U140" s="70">
        <f t="shared" si="10"/>
        <v>3.9534565366187544</v>
      </c>
      <c r="V140" s="70">
        <f t="shared" si="11"/>
        <v>15.629818586933556</v>
      </c>
      <c r="W140" s="70" t="s">
        <v>5795</v>
      </c>
      <c r="X140" s="70" t="s">
        <v>5687</v>
      </c>
      <c r="Y140" s="70"/>
      <c r="Z140" s="70"/>
      <c r="AA140" s="70"/>
      <c r="AB140" s="70"/>
      <c r="AC140" s="70"/>
    </row>
    <row r="141" spans="1:29" ht="29" customHeight="1" x14ac:dyDescent="0.2">
      <c r="A141" s="71" t="s">
        <v>6102</v>
      </c>
      <c r="B141" s="71" t="s">
        <v>187</v>
      </c>
      <c r="C141" s="71" t="s">
        <v>5371</v>
      </c>
      <c r="D141" s="71" t="s">
        <v>3595</v>
      </c>
      <c r="E141" s="71" t="s">
        <v>5373</v>
      </c>
      <c r="F141" s="71" t="s">
        <v>5372</v>
      </c>
      <c r="G141" s="71" t="s">
        <v>6103</v>
      </c>
      <c r="H141" s="71" t="s">
        <v>5675</v>
      </c>
      <c r="I141" s="71" t="s">
        <v>5696</v>
      </c>
      <c r="J141" s="71" t="s">
        <v>5793</v>
      </c>
      <c r="K141" s="71"/>
      <c r="L141" s="73"/>
      <c r="M141" s="71"/>
      <c r="N141" s="73"/>
      <c r="O141" s="71" t="s">
        <v>6093</v>
      </c>
      <c r="P141" s="73">
        <v>44657</v>
      </c>
      <c r="Q141" s="71" t="s">
        <v>1859</v>
      </c>
      <c r="R141" s="73">
        <v>46101</v>
      </c>
      <c r="S141" s="71">
        <f t="shared" si="8"/>
        <v>1444</v>
      </c>
      <c r="T141" s="71" t="str">
        <f t="shared" si="9"/>
        <v/>
      </c>
      <c r="U141" s="71">
        <f t="shared" si="10"/>
        <v>3.9534565366187544</v>
      </c>
      <c r="V141" s="71">
        <f t="shared" si="11"/>
        <v>15.629818586933556</v>
      </c>
      <c r="W141" s="71" t="s">
        <v>5795</v>
      </c>
      <c r="X141" s="71" t="s">
        <v>5728</v>
      </c>
      <c r="Y141" s="71"/>
      <c r="Z141" s="71"/>
      <c r="AA141" s="71"/>
      <c r="AB141" s="71" t="s">
        <v>6100</v>
      </c>
      <c r="AC141" s="71"/>
    </row>
    <row r="142" spans="1:29" ht="29" customHeight="1" x14ac:dyDescent="0.2">
      <c r="A142" s="70" t="s">
        <v>6104</v>
      </c>
      <c r="B142" s="70" t="s">
        <v>187</v>
      </c>
      <c r="C142" s="70"/>
      <c r="D142" s="70" t="s">
        <v>5717</v>
      </c>
      <c r="E142" s="70" t="s">
        <v>5361</v>
      </c>
      <c r="F142" s="70"/>
      <c r="G142" s="70" t="s">
        <v>6088</v>
      </c>
      <c r="H142" s="70" t="s">
        <v>5675</v>
      </c>
      <c r="I142" s="70" t="s">
        <v>5091</v>
      </c>
      <c r="J142" s="70" t="s">
        <v>5677</v>
      </c>
      <c r="K142" s="70" t="s">
        <v>6105</v>
      </c>
      <c r="L142" s="72">
        <v>45599</v>
      </c>
      <c r="M142" s="70" t="s">
        <v>6105</v>
      </c>
      <c r="N142" s="72">
        <v>45599</v>
      </c>
      <c r="O142" s="70" t="s">
        <v>6105</v>
      </c>
      <c r="P142" s="72">
        <v>45599</v>
      </c>
      <c r="Q142" s="70" t="s">
        <v>1859</v>
      </c>
      <c r="R142" s="72">
        <v>46101</v>
      </c>
      <c r="S142" s="70">
        <f t="shared" si="8"/>
        <v>502</v>
      </c>
      <c r="T142" s="70">
        <f t="shared" si="9"/>
        <v>502</v>
      </c>
      <c r="U142" s="70">
        <f t="shared" si="10"/>
        <v>1.3744010951403149</v>
      </c>
      <c r="V142" s="70">
        <f t="shared" si="11"/>
        <v>1.8889783703228971</v>
      </c>
      <c r="W142" s="70" t="s">
        <v>5679</v>
      </c>
      <c r="X142" s="70" t="s">
        <v>5728</v>
      </c>
      <c r="Y142" s="70"/>
      <c r="Z142" s="70"/>
      <c r="AA142" s="70"/>
      <c r="AB142" s="70" t="s">
        <v>5111</v>
      </c>
      <c r="AC142" s="70"/>
    </row>
    <row r="143" spans="1:29" ht="29" customHeight="1" x14ac:dyDescent="0.2">
      <c r="A143" s="71" t="s">
        <v>6106</v>
      </c>
      <c r="B143" s="71" t="s">
        <v>190</v>
      </c>
      <c r="C143" s="71" t="s">
        <v>5374</v>
      </c>
      <c r="D143" s="71" t="s">
        <v>3595</v>
      </c>
      <c r="E143" s="71" t="s">
        <v>2827</v>
      </c>
      <c r="F143" s="71" t="s">
        <v>5375</v>
      </c>
      <c r="G143" s="71" t="s">
        <v>6107</v>
      </c>
      <c r="H143" s="71" t="s">
        <v>5675</v>
      </c>
      <c r="I143" s="71" t="s">
        <v>5690</v>
      </c>
      <c r="J143" s="71" t="s">
        <v>5677</v>
      </c>
      <c r="K143" s="71" t="s">
        <v>3087</v>
      </c>
      <c r="L143" s="73">
        <v>45369</v>
      </c>
      <c r="M143" s="71" t="s">
        <v>3087</v>
      </c>
      <c r="N143" s="73">
        <v>45369</v>
      </c>
      <c r="O143" s="71" t="s">
        <v>3087</v>
      </c>
      <c r="P143" s="73">
        <v>45369</v>
      </c>
      <c r="Q143" s="71" t="s">
        <v>1859</v>
      </c>
      <c r="R143" s="73">
        <v>46101</v>
      </c>
      <c r="S143" s="71">
        <f t="shared" si="8"/>
        <v>732</v>
      </c>
      <c r="T143" s="71">
        <f t="shared" si="9"/>
        <v>732</v>
      </c>
      <c r="U143" s="71">
        <f t="shared" si="10"/>
        <v>2.0041067761806981</v>
      </c>
      <c r="V143" s="71">
        <f t="shared" si="11"/>
        <v>4.0164439703333912</v>
      </c>
      <c r="W143" s="71" t="s">
        <v>5679</v>
      </c>
      <c r="X143" s="71" t="s">
        <v>5728</v>
      </c>
      <c r="Y143" s="71"/>
      <c r="Z143" s="71"/>
      <c r="AA143" s="71"/>
      <c r="AB143" s="71" t="s">
        <v>6108</v>
      </c>
      <c r="AC143" s="71"/>
    </row>
    <row r="144" spans="1:29" ht="29" customHeight="1" x14ac:dyDescent="0.2">
      <c r="A144" s="70" t="s">
        <v>6109</v>
      </c>
      <c r="B144" s="70" t="s">
        <v>190</v>
      </c>
      <c r="C144" s="70" t="s">
        <v>5377</v>
      </c>
      <c r="D144" s="70" t="s">
        <v>3595</v>
      </c>
      <c r="E144" s="70" t="s">
        <v>192</v>
      </c>
      <c r="F144" s="70" t="s">
        <v>2831</v>
      </c>
      <c r="G144" s="70" t="s">
        <v>6110</v>
      </c>
      <c r="H144" s="70" t="s">
        <v>5675</v>
      </c>
      <c r="I144" s="70" t="s">
        <v>5676</v>
      </c>
      <c r="J144" s="70" t="s">
        <v>5793</v>
      </c>
      <c r="K144" s="70"/>
      <c r="L144" s="72"/>
      <c r="M144" s="70"/>
      <c r="N144" s="72"/>
      <c r="O144" s="70" t="s">
        <v>6111</v>
      </c>
      <c r="P144" s="72">
        <v>44650</v>
      </c>
      <c r="Q144" s="70" t="s">
        <v>1859</v>
      </c>
      <c r="R144" s="72">
        <v>46101</v>
      </c>
      <c r="S144" s="70">
        <f t="shared" si="8"/>
        <v>1451</v>
      </c>
      <c r="T144" s="70" t="str">
        <f t="shared" si="9"/>
        <v/>
      </c>
      <c r="U144" s="70">
        <f t="shared" si="10"/>
        <v>3.9726214921286789</v>
      </c>
      <c r="V144" s="70">
        <f t="shared" si="11"/>
        <v>15.781721519722691</v>
      </c>
      <c r="W144" s="70" t="s">
        <v>5795</v>
      </c>
      <c r="X144" s="70" t="s">
        <v>5728</v>
      </c>
      <c r="Y144" s="70"/>
      <c r="Z144" s="70"/>
      <c r="AA144" s="70"/>
      <c r="AB144" s="70" t="s">
        <v>6108</v>
      </c>
      <c r="AC144" s="70"/>
    </row>
    <row r="145" spans="1:29" ht="29" customHeight="1" x14ac:dyDescent="0.2">
      <c r="A145" s="71" t="s">
        <v>6112</v>
      </c>
      <c r="B145" s="71" t="s">
        <v>190</v>
      </c>
      <c r="C145" s="71" t="s">
        <v>5377</v>
      </c>
      <c r="D145" s="71" t="s">
        <v>5686</v>
      </c>
      <c r="E145" s="71" t="s">
        <v>192</v>
      </c>
      <c r="F145" s="71" t="s">
        <v>2831</v>
      </c>
      <c r="G145" s="71" t="s">
        <v>6110</v>
      </c>
      <c r="H145" s="71" t="s">
        <v>5675</v>
      </c>
      <c r="I145" s="71" t="s">
        <v>5096</v>
      </c>
      <c r="J145" s="71" t="s">
        <v>5677</v>
      </c>
      <c r="K145" s="71" t="s">
        <v>2832</v>
      </c>
      <c r="L145" s="73">
        <v>46097</v>
      </c>
      <c r="M145" s="71" t="s">
        <v>2832</v>
      </c>
      <c r="N145" s="73">
        <v>46097</v>
      </c>
      <c r="O145" s="71" t="s">
        <v>2832</v>
      </c>
      <c r="P145" s="73">
        <v>46097</v>
      </c>
      <c r="Q145" s="71" t="s">
        <v>1859</v>
      </c>
      <c r="R145" s="73">
        <v>46101</v>
      </c>
      <c r="S145" s="71">
        <f t="shared" si="8"/>
        <v>4</v>
      </c>
      <c r="T145" s="71">
        <f t="shared" si="9"/>
        <v>4</v>
      </c>
      <c r="U145" s="71">
        <f t="shared" si="10"/>
        <v>1.0951403148528405E-2</v>
      </c>
      <c r="V145" s="71">
        <f t="shared" si="11"/>
        <v>1.1993323092159786E-4</v>
      </c>
      <c r="W145" s="71" t="s">
        <v>5679</v>
      </c>
      <c r="X145" s="71" t="s">
        <v>5687</v>
      </c>
      <c r="Y145" s="71"/>
      <c r="Z145" s="71"/>
      <c r="AA145" s="71"/>
      <c r="AB145" s="71"/>
      <c r="AC145" s="71"/>
    </row>
    <row r="146" spans="1:29" ht="29" customHeight="1" x14ac:dyDescent="0.2">
      <c r="A146" s="70" t="s">
        <v>6113</v>
      </c>
      <c r="B146" s="70" t="s">
        <v>190</v>
      </c>
      <c r="C146" s="70" t="s">
        <v>5378</v>
      </c>
      <c r="D146" s="70" t="s">
        <v>3595</v>
      </c>
      <c r="E146" s="70" t="s">
        <v>2838</v>
      </c>
      <c r="F146" s="70" t="s">
        <v>5379</v>
      </c>
      <c r="G146" s="70" t="s">
        <v>6114</v>
      </c>
      <c r="H146" s="70" t="s">
        <v>5675</v>
      </c>
      <c r="I146" s="70" t="s">
        <v>5696</v>
      </c>
      <c r="J146" s="70" t="s">
        <v>5677</v>
      </c>
      <c r="K146" s="70" t="s">
        <v>6115</v>
      </c>
      <c r="L146" s="72">
        <v>45228</v>
      </c>
      <c r="M146" s="70" t="s">
        <v>6115</v>
      </c>
      <c r="N146" s="72">
        <v>45228</v>
      </c>
      <c r="O146" s="70" t="s">
        <v>6115</v>
      </c>
      <c r="P146" s="72">
        <v>45228</v>
      </c>
      <c r="Q146" s="70" t="s">
        <v>1859</v>
      </c>
      <c r="R146" s="72">
        <v>46101</v>
      </c>
      <c r="S146" s="70">
        <f t="shared" si="8"/>
        <v>873</v>
      </c>
      <c r="T146" s="70">
        <f t="shared" si="9"/>
        <v>873</v>
      </c>
      <c r="U146" s="70">
        <f t="shared" si="10"/>
        <v>2.3901437371663246</v>
      </c>
      <c r="V146" s="70">
        <f t="shared" si="11"/>
        <v>5.7127870843154041</v>
      </c>
      <c r="W146" s="70" t="s">
        <v>5679</v>
      </c>
      <c r="X146" s="70" t="s">
        <v>5728</v>
      </c>
      <c r="Y146" s="70"/>
      <c r="Z146" s="70"/>
      <c r="AA146" s="70"/>
      <c r="AB146" s="70" t="s">
        <v>6116</v>
      </c>
      <c r="AC146" s="70"/>
    </row>
    <row r="147" spans="1:29" ht="29" customHeight="1" x14ac:dyDescent="0.2">
      <c r="A147" s="71" t="s">
        <v>6117</v>
      </c>
      <c r="B147" s="71" t="s">
        <v>190</v>
      </c>
      <c r="C147" s="71" t="s">
        <v>5380</v>
      </c>
      <c r="D147" s="71" t="s">
        <v>3595</v>
      </c>
      <c r="E147" s="71" t="s">
        <v>2841</v>
      </c>
      <c r="F147" s="71" t="s">
        <v>2842</v>
      </c>
      <c r="G147" s="71" t="s">
        <v>6118</v>
      </c>
      <c r="H147" s="71" t="s">
        <v>5675</v>
      </c>
      <c r="I147" s="71" t="s">
        <v>5706</v>
      </c>
      <c r="J147" s="71" t="s">
        <v>5677</v>
      </c>
      <c r="K147" s="71" t="s">
        <v>2832</v>
      </c>
      <c r="L147" s="73">
        <v>46097</v>
      </c>
      <c r="M147" s="71" t="s">
        <v>2832</v>
      </c>
      <c r="N147" s="73">
        <v>46097</v>
      </c>
      <c r="O147" s="71" t="s">
        <v>2832</v>
      </c>
      <c r="P147" s="73">
        <v>46097</v>
      </c>
      <c r="Q147" s="71" t="s">
        <v>1859</v>
      </c>
      <c r="R147" s="73">
        <v>46101</v>
      </c>
      <c r="S147" s="71">
        <f t="shared" si="8"/>
        <v>4</v>
      </c>
      <c r="T147" s="71">
        <f t="shared" si="9"/>
        <v>4</v>
      </c>
      <c r="U147" s="71">
        <f t="shared" si="10"/>
        <v>1.0951403148528405E-2</v>
      </c>
      <c r="V147" s="71">
        <f t="shared" si="11"/>
        <v>1.1993323092159786E-4</v>
      </c>
      <c r="W147" s="71" t="s">
        <v>5679</v>
      </c>
      <c r="X147" s="71" t="s">
        <v>5728</v>
      </c>
      <c r="Y147" s="71"/>
      <c r="Z147" s="71"/>
      <c r="AA147" s="71"/>
      <c r="AB147" s="71" t="s">
        <v>6116</v>
      </c>
      <c r="AC147" s="71"/>
    </row>
    <row r="148" spans="1:29" ht="29" customHeight="1" x14ac:dyDescent="0.2">
      <c r="A148" s="70" t="s">
        <v>6119</v>
      </c>
      <c r="B148" s="70" t="s">
        <v>190</v>
      </c>
      <c r="C148" s="70" t="s">
        <v>5381</v>
      </c>
      <c r="D148" s="70" t="s">
        <v>3595</v>
      </c>
      <c r="E148" s="70" t="s">
        <v>191</v>
      </c>
      <c r="F148" s="70" t="s">
        <v>5382</v>
      </c>
      <c r="G148" s="70" t="s">
        <v>5792</v>
      </c>
      <c r="H148" s="70" t="s">
        <v>5675</v>
      </c>
      <c r="I148" s="70" t="s">
        <v>5696</v>
      </c>
      <c r="J148" s="70" t="s">
        <v>5677</v>
      </c>
      <c r="K148" s="70" t="s">
        <v>6120</v>
      </c>
      <c r="L148" s="72">
        <v>45325</v>
      </c>
      <c r="M148" s="70" t="s">
        <v>6120</v>
      </c>
      <c r="N148" s="72">
        <v>45325</v>
      </c>
      <c r="O148" s="70" t="s">
        <v>6120</v>
      </c>
      <c r="P148" s="72">
        <v>45325</v>
      </c>
      <c r="Q148" s="70" t="s">
        <v>1859</v>
      </c>
      <c r="R148" s="72">
        <v>46101</v>
      </c>
      <c r="S148" s="70">
        <f t="shared" si="8"/>
        <v>776</v>
      </c>
      <c r="T148" s="70">
        <f t="shared" si="9"/>
        <v>776</v>
      </c>
      <c r="U148" s="70">
        <f t="shared" si="10"/>
        <v>2.1245722108145104</v>
      </c>
      <c r="V148" s="70">
        <f t="shared" si="11"/>
        <v>4.5138070789652565</v>
      </c>
      <c r="W148" s="70" t="s">
        <v>5679</v>
      </c>
      <c r="X148" s="70" t="s">
        <v>5728</v>
      </c>
      <c r="Y148" s="70"/>
      <c r="Z148" s="70"/>
      <c r="AA148" s="70"/>
      <c r="AB148" s="70" t="s">
        <v>6121</v>
      </c>
      <c r="AC148" s="70"/>
    </row>
    <row r="149" spans="1:29" ht="29" customHeight="1" x14ac:dyDescent="0.2">
      <c r="A149" s="71" t="s">
        <v>6122</v>
      </c>
      <c r="B149" s="71" t="s">
        <v>190</v>
      </c>
      <c r="C149" s="71"/>
      <c r="D149" s="71" t="s">
        <v>5717</v>
      </c>
      <c r="E149" s="71" t="s">
        <v>2827</v>
      </c>
      <c r="F149" s="71"/>
      <c r="G149" s="71" t="s">
        <v>6107</v>
      </c>
      <c r="H149" s="71" t="s">
        <v>5675</v>
      </c>
      <c r="I149" s="71" t="s">
        <v>5091</v>
      </c>
      <c r="J149" s="71" t="s">
        <v>5677</v>
      </c>
      <c r="K149" s="71" t="s">
        <v>2819</v>
      </c>
      <c r="L149" s="73">
        <v>45895</v>
      </c>
      <c r="M149" s="71" t="s">
        <v>2819</v>
      </c>
      <c r="N149" s="73">
        <v>45895</v>
      </c>
      <c r="O149" s="71" t="s">
        <v>2819</v>
      </c>
      <c r="P149" s="73">
        <v>45895</v>
      </c>
      <c r="Q149" s="71" t="s">
        <v>1859</v>
      </c>
      <c r="R149" s="73">
        <v>46101</v>
      </c>
      <c r="S149" s="71">
        <f t="shared" si="8"/>
        <v>206</v>
      </c>
      <c r="T149" s="71">
        <f t="shared" si="9"/>
        <v>206</v>
      </c>
      <c r="U149" s="71">
        <f t="shared" si="10"/>
        <v>0.56399726214921286</v>
      </c>
      <c r="V149" s="71">
        <f t="shared" si="11"/>
        <v>0.31809291171180792</v>
      </c>
      <c r="W149" s="71" t="s">
        <v>5679</v>
      </c>
      <c r="X149" s="71" t="s">
        <v>5728</v>
      </c>
      <c r="Y149" s="71"/>
      <c r="Z149" s="71"/>
      <c r="AA149" s="71"/>
      <c r="AB149" s="71" t="s">
        <v>5111</v>
      </c>
      <c r="AC149" s="71"/>
    </row>
    <row r="150" spans="1:29" ht="29" customHeight="1" x14ac:dyDescent="0.2">
      <c r="A150" s="70" t="s">
        <v>6123</v>
      </c>
      <c r="B150" s="70" t="s">
        <v>196</v>
      </c>
      <c r="C150" s="70" t="s">
        <v>5383</v>
      </c>
      <c r="D150" s="70" t="s">
        <v>3595</v>
      </c>
      <c r="E150" s="70" t="s">
        <v>5384</v>
      </c>
      <c r="F150" s="70" t="s">
        <v>2771</v>
      </c>
      <c r="G150" s="70" t="s">
        <v>6124</v>
      </c>
      <c r="H150" s="70" t="s">
        <v>5675</v>
      </c>
      <c r="I150" s="70" t="s">
        <v>5676</v>
      </c>
      <c r="J150" s="70" t="s">
        <v>5677</v>
      </c>
      <c r="K150" s="70" t="s">
        <v>5808</v>
      </c>
      <c r="L150" s="72">
        <v>45952</v>
      </c>
      <c r="M150" s="70" t="s">
        <v>5808</v>
      </c>
      <c r="N150" s="72">
        <v>45952</v>
      </c>
      <c r="O150" s="70" t="s">
        <v>5808</v>
      </c>
      <c r="P150" s="72">
        <v>45952</v>
      </c>
      <c r="Q150" s="70" t="s">
        <v>1859</v>
      </c>
      <c r="R150" s="72">
        <v>46101</v>
      </c>
      <c r="S150" s="70">
        <f t="shared" si="8"/>
        <v>149</v>
      </c>
      <c r="T150" s="70">
        <f t="shared" si="9"/>
        <v>149</v>
      </c>
      <c r="U150" s="70">
        <f t="shared" si="10"/>
        <v>0.40793976728268311</v>
      </c>
      <c r="V150" s="70">
        <f t="shared" si="11"/>
        <v>0.16641485373064965</v>
      </c>
      <c r="W150" s="70" t="s">
        <v>5679</v>
      </c>
      <c r="X150" s="70" t="s">
        <v>5680</v>
      </c>
      <c r="Y150" s="70" t="s">
        <v>5808</v>
      </c>
      <c r="Z150" s="70" t="s">
        <v>5682</v>
      </c>
      <c r="AA150" s="70"/>
      <c r="AB150" s="70" t="s">
        <v>6125</v>
      </c>
      <c r="AC150" s="70" t="s">
        <v>6126</v>
      </c>
    </row>
    <row r="151" spans="1:29" ht="29" customHeight="1" x14ac:dyDescent="0.2">
      <c r="A151" s="71" t="s">
        <v>6127</v>
      </c>
      <c r="B151" s="71" t="s">
        <v>196</v>
      </c>
      <c r="C151" s="71" t="s">
        <v>5383</v>
      </c>
      <c r="D151" s="71" t="s">
        <v>5686</v>
      </c>
      <c r="E151" s="71" t="s">
        <v>5384</v>
      </c>
      <c r="F151" s="71" t="s">
        <v>2771</v>
      </c>
      <c r="G151" s="71" t="s">
        <v>6124</v>
      </c>
      <c r="H151" s="71" t="s">
        <v>5675</v>
      </c>
      <c r="I151" s="71" t="s">
        <v>5096</v>
      </c>
      <c r="J151" s="71" t="s">
        <v>5677</v>
      </c>
      <c r="K151" s="71" t="s">
        <v>5808</v>
      </c>
      <c r="L151" s="73">
        <v>45952</v>
      </c>
      <c r="M151" s="71" t="s">
        <v>5808</v>
      </c>
      <c r="N151" s="73">
        <v>45952</v>
      </c>
      <c r="O151" s="71" t="s">
        <v>5808</v>
      </c>
      <c r="P151" s="73">
        <v>45952</v>
      </c>
      <c r="Q151" s="71" t="s">
        <v>1859</v>
      </c>
      <c r="R151" s="73">
        <v>46101</v>
      </c>
      <c r="S151" s="71">
        <f t="shared" si="8"/>
        <v>149</v>
      </c>
      <c r="T151" s="71">
        <f t="shared" si="9"/>
        <v>149</v>
      </c>
      <c r="U151" s="71">
        <f t="shared" si="10"/>
        <v>0.40793976728268311</v>
      </c>
      <c r="V151" s="71">
        <f t="shared" si="11"/>
        <v>0.16641485373064965</v>
      </c>
      <c r="W151" s="71" t="s">
        <v>5679</v>
      </c>
      <c r="X151" s="71" t="s">
        <v>5687</v>
      </c>
      <c r="Y151" s="71"/>
      <c r="Z151" s="71"/>
      <c r="AA151" s="71"/>
      <c r="AB151" s="71"/>
      <c r="AC151" s="71"/>
    </row>
    <row r="152" spans="1:29" ht="29" customHeight="1" x14ac:dyDescent="0.2">
      <c r="A152" s="70" t="s">
        <v>6128</v>
      </c>
      <c r="B152" s="70" t="s">
        <v>196</v>
      </c>
      <c r="C152" s="70" t="s">
        <v>5386</v>
      </c>
      <c r="D152" s="70" t="s">
        <v>3595</v>
      </c>
      <c r="E152" s="70" t="s">
        <v>5388</v>
      </c>
      <c r="F152" s="70" t="s">
        <v>5387</v>
      </c>
      <c r="G152" s="70" t="s">
        <v>6129</v>
      </c>
      <c r="H152" s="70" t="s">
        <v>5675</v>
      </c>
      <c r="I152" s="70" t="s">
        <v>5696</v>
      </c>
      <c r="J152" s="70" t="s">
        <v>5677</v>
      </c>
      <c r="K152" s="70" t="s">
        <v>6130</v>
      </c>
      <c r="L152" s="72">
        <v>45868</v>
      </c>
      <c r="M152" s="70" t="s">
        <v>6130</v>
      </c>
      <c r="N152" s="72">
        <v>45868</v>
      </c>
      <c r="O152" s="70" t="s">
        <v>6130</v>
      </c>
      <c r="P152" s="72">
        <v>45868</v>
      </c>
      <c r="Q152" s="70" t="s">
        <v>1859</v>
      </c>
      <c r="R152" s="72">
        <v>46101</v>
      </c>
      <c r="S152" s="70">
        <f t="shared" si="8"/>
        <v>233</v>
      </c>
      <c r="T152" s="70">
        <f t="shared" si="9"/>
        <v>233</v>
      </c>
      <c r="U152" s="70">
        <f t="shared" si="10"/>
        <v>0.63791923340177958</v>
      </c>
      <c r="V152" s="70">
        <f t="shared" si="11"/>
        <v>0.40694094834391414</v>
      </c>
      <c r="W152" s="70" t="s">
        <v>5679</v>
      </c>
      <c r="X152" s="70" t="s">
        <v>5680</v>
      </c>
      <c r="Y152" s="70" t="s">
        <v>6130</v>
      </c>
      <c r="Z152" s="70" t="s">
        <v>5682</v>
      </c>
      <c r="AA152" s="70"/>
      <c r="AB152" s="70" t="s">
        <v>6125</v>
      </c>
      <c r="AC152" s="70" t="s">
        <v>6131</v>
      </c>
    </row>
    <row r="153" spans="1:29" ht="43.5" customHeight="1" x14ac:dyDescent="0.2">
      <c r="A153" s="71" t="s">
        <v>6132</v>
      </c>
      <c r="B153" s="71" t="s">
        <v>196</v>
      </c>
      <c r="C153" s="71" t="s">
        <v>5389</v>
      </c>
      <c r="D153" s="71" t="s">
        <v>3595</v>
      </c>
      <c r="E153" s="71" t="s">
        <v>5391</v>
      </c>
      <c r="F153" s="71" t="s">
        <v>5390</v>
      </c>
      <c r="G153" s="71" t="s">
        <v>6133</v>
      </c>
      <c r="H153" s="71" t="s">
        <v>5675</v>
      </c>
      <c r="I153" s="71" t="s">
        <v>5706</v>
      </c>
      <c r="J153" s="71" t="s">
        <v>5677</v>
      </c>
      <c r="K153" s="71" t="s">
        <v>6134</v>
      </c>
      <c r="L153" s="73">
        <v>44636</v>
      </c>
      <c r="M153" s="71" t="s">
        <v>6134</v>
      </c>
      <c r="N153" s="73">
        <v>44636</v>
      </c>
      <c r="O153" s="71" t="s">
        <v>6134</v>
      </c>
      <c r="P153" s="73">
        <v>44636</v>
      </c>
      <c r="Q153" s="71" t="s">
        <v>1859</v>
      </c>
      <c r="R153" s="73">
        <v>46101</v>
      </c>
      <c r="S153" s="71">
        <f t="shared" si="8"/>
        <v>1465</v>
      </c>
      <c r="T153" s="71">
        <f t="shared" si="9"/>
        <v>1465</v>
      </c>
      <c r="U153" s="71">
        <f t="shared" si="10"/>
        <v>4.0109514031485283</v>
      </c>
      <c r="V153" s="71">
        <f t="shared" si="11"/>
        <v>16.087731158419146</v>
      </c>
      <c r="W153" s="71" t="s">
        <v>5871</v>
      </c>
      <c r="X153" s="71" t="s">
        <v>5872</v>
      </c>
      <c r="Y153" s="71" t="s">
        <v>6134</v>
      </c>
      <c r="Z153" s="71" t="s">
        <v>5682</v>
      </c>
      <c r="AA153" s="71"/>
      <c r="AB153" s="71" t="s">
        <v>6135</v>
      </c>
      <c r="AC153" s="71" t="s">
        <v>6136</v>
      </c>
    </row>
    <row r="154" spans="1:29" ht="29" customHeight="1" x14ac:dyDescent="0.2">
      <c r="A154" s="70" t="s">
        <v>6137</v>
      </c>
      <c r="B154" s="70" t="s">
        <v>196</v>
      </c>
      <c r="C154" s="70" t="s">
        <v>5392</v>
      </c>
      <c r="D154" s="70" t="s">
        <v>3595</v>
      </c>
      <c r="E154" s="70" t="s">
        <v>4118</v>
      </c>
      <c r="F154" s="70" t="s">
        <v>5393</v>
      </c>
      <c r="G154" s="70" t="s">
        <v>6138</v>
      </c>
      <c r="H154" s="70" t="s">
        <v>5675</v>
      </c>
      <c r="I154" s="70" t="s">
        <v>5706</v>
      </c>
      <c r="J154" s="70" t="s">
        <v>5677</v>
      </c>
      <c r="K154" s="70" t="s">
        <v>6139</v>
      </c>
      <c r="L154" s="72">
        <v>45312</v>
      </c>
      <c r="M154" s="70" t="s">
        <v>6139</v>
      </c>
      <c r="N154" s="72">
        <v>45312</v>
      </c>
      <c r="O154" s="70" t="s">
        <v>6139</v>
      </c>
      <c r="P154" s="72">
        <v>45312</v>
      </c>
      <c r="Q154" s="70" t="s">
        <v>1859</v>
      </c>
      <c r="R154" s="72">
        <v>46101</v>
      </c>
      <c r="S154" s="70">
        <f t="shared" si="8"/>
        <v>789</v>
      </c>
      <c r="T154" s="70">
        <f t="shared" si="9"/>
        <v>789</v>
      </c>
      <c r="U154" s="70">
        <f t="shared" si="10"/>
        <v>2.1601642710472277</v>
      </c>
      <c r="V154" s="70">
        <f t="shared" si="11"/>
        <v>4.666309677909001</v>
      </c>
      <c r="W154" s="70" t="s">
        <v>5679</v>
      </c>
      <c r="X154" s="70" t="s">
        <v>5680</v>
      </c>
      <c r="Y154" s="70" t="s">
        <v>6139</v>
      </c>
      <c r="Z154" s="70" t="s">
        <v>5682</v>
      </c>
      <c r="AA154" s="70"/>
      <c r="AB154" s="70" t="s">
        <v>6135</v>
      </c>
      <c r="AC154" s="70" t="s">
        <v>6140</v>
      </c>
    </row>
    <row r="155" spans="1:29" ht="29" customHeight="1" x14ac:dyDescent="0.2">
      <c r="A155" s="71" t="s">
        <v>6141</v>
      </c>
      <c r="B155" s="71" t="s">
        <v>196</v>
      </c>
      <c r="C155" s="71" t="s">
        <v>5394</v>
      </c>
      <c r="D155" s="71" t="s">
        <v>3595</v>
      </c>
      <c r="E155" s="71" t="s">
        <v>5396</v>
      </c>
      <c r="F155" s="71" t="s">
        <v>5395</v>
      </c>
      <c r="G155" s="71" t="s">
        <v>6142</v>
      </c>
      <c r="H155" s="71" t="s">
        <v>5675</v>
      </c>
      <c r="I155" s="71" t="s">
        <v>5865</v>
      </c>
      <c r="J155" s="71" t="s">
        <v>5677</v>
      </c>
      <c r="K155" s="71" t="s">
        <v>6143</v>
      </c>
      <c r="L155" s="73">
        <v>45704</v>
      </c>
      <c r="M155" s="71" t="s">
        <v>6143</v>
      </c>
      <c r="N155" s="73">
        <v>45704</v>
      </c>
      <c r="O155" s="71" t="s">
        <v>6143</v>
      </c>
      <c r="P155" s="73">
        <v>45704</v>
      </c>
      <c r="Q155" s="71" t="s">
        <v>1859</v>
      </c>
      <c r="R155" s="73">
        <v>46101</v>
      </c>
      <c r="S155" s="71">
        <f t="shared" si="8"/>
        <v>397</v>
      </c>
      <c r="T155" s="71">
        <f t="shared" si="9"/>
        <v>397</v>
      </c>
      <c r="U155" s="71">
        <f t="shared" si="10"/>
        <v>1.0869267624914443</v>
      </c>
      <c r="V155" s="71">
        <f t="shared" si="11"/>
        <v>1.1814097870201326</v>
      </c>
      <c r="W155" s="71" t="s">
        <v>5679</v>
      </c>
      <c r="X155" s="71" t="s">
        <v>5680</v>
      </c>
      <c r="Y155" s="71" t="s">
        <v>6143</v>
      </c>
      <c r="Z155" s="71" t="s">
        <v>5682</v>
      </c>
      <c r="AA155" s="71"/>
      <c r="AB155" s="71" t="s">
        <v>6144</v>
      </c>
      <c r="AC155" s="71" t="s">
        <v>6145</v>
      </c>
    </row>
    <row r="156" spans="1:29" ht="29" customHeight="1" x14ac:dyDescent="0.2">
      <c r="A156" s="70" t="s">
        <v>6146</v>
      </c>
      <c r="B156" s="70" t="s">
        <v>196</v>
      </c>
      <c r="C156" s="70"/>
      <c r="D156" s="70" t="s">
        <v>5717</v>
      </c>
      <c r="E156" s="70" t="s">
        <v>5391</v>
      </c>
      <c r="F156" s="70"/>
      <c r="G156" s="70" t="s">
        <v>6133</v>
      </c>
      <c r="H156" s="70" t="s">
        <v>5675</v>
      </c>
      <c r="I156" s="70" t="s">
        <v>5091</v>
      </c>
      <c r="J156" s="70" t="s">
        <v>5793</v>
      </c>
      <c r="K156" s="70"/>
      <c r="L156" s="72"/>
      <c r="M156" s="70"/>
      <c r="N156" s="72"/>
      <c r="O156" s="70" t="s">
        <v>6147</v>
      </c>
      <c r="P156" s="72">
        <v>44853</v>
      </c>
      <c r="Q156" s="70" t="s">
        <v>1859</v>
      </c>
      <c r="R156" s="72">
        <v>46101</v>
      </c>
      <c r="S156" s="70">
        <f t="shared" si="8"/>
        <v>1248</v>
      </c>
      <c r="T156" s="70" t="str">
        <f t="shared" si="9"/>
        <v/>
      </c>
      <c r="U156" s="70">
        <f t="shared" si="10"/>
        <v>3.4168377823408624</v>
      </c>
      <c r="V156" s="70">
        <f t="shared" si="11"/>
        <v>11.674780430832023</v>
      </c>
      <c r="W156" s="70" t="s">
        <v>5795</v>
      </c>
      <c r="X156" s="70" t="s">
        <v>5728</v>
      </c>
      <c r="Y156" s="70"/>
      <c r="Z156" s="70"/>
      <c r="AA156" s="70"/>
      <c r="AB156" s="70" t="s">
        <v>5111</v>
      </c>
      <c r="AC156" s="70"/>
    </row>
    <row r="157" spans="1:29" ht="29" customHeight="1" x14ac:dyDescent="0.2">
      <c r="A157" s="71" t="s">
        <v>6148</v>
      </c>
      <c r="B157" s="71" t="s">
        <v>199</v>
      </c>
      <c r="C157" s="71" t="s">
        <v>5397</v>
      </c>
      <c r="D157" s="71" t="s">
        <v>3595</v>
      </c>
      <c r="E157" s="71" t="s">
        <v>5399</v>
      </c>
      <c r="F157" s="71" t="s">
        <v>5398</v>
      </c>
      <c r="G157" s="71" t="s">
        <v>6149</v>
      </c>
      <c r="H157" s="71" t="s">
        <v>5675</v>
      </c>
      <c r="I157" s="71" t="s">
        <v>5706</v>
      </c>
      <c r="J157" s="71" t="s">
        <v>5677</v>
      </c>
      <c r="K157" s="71" t="s">
        <v>6150</v>
      </c>
      <c r="L157" s="73">
        <v>45622</v>
      </c>
      <c r="M157" s="71" t="s">
        <v>6150</v>
      </c>
      <c r="N157" s="73">
        <v>45622</v>
      </c>
      <c r="O157" s="71" t="s">
        <v>6150</v>
      </c>
      <c r="P157" s="73">
        <v>45622</v>
      </c>
      <c r="Q157" s="71" t="s">
        <v>4429</v>
      </c>
      <c r="R157" s="73">
        <v>46042</v>
      </c>
      <c r="S157" s="71">
        <f t="shared" si="8"/>
        <v>420</v>
      </c>
      <c r="T157" s="71">
        <f t="shared" si="9"/>
        <v>420</v>
      </c>
      <c r="U157" s="71">
        <f t="shared" si="10"/>
        <v>1.1498973305954825</v>
      </c>
      <c r="V157" s="71">
        <f t="shared" si="11"/>
        <v>1.3222638709106163</v>
      </c>
      <c r="W157" s="71" t="s">
        <v>5679</v>
      </c>
      <c r="X157" s="71" t="s">
        <v>5728</v>
      </c>
      <c r="Y157" s="71"/>
      <c r="Z157" s="71"/>
      <c r="AA157" s="71"/>
      <c r="AB157" s="71" t="s">
        <v>6151</v>
      </c>
      <c r="AC157" s="71"/>
    </row>
    <row r="158" spans="1:29" ht="29" customHeight="1" x14ac:dyDescent="0.2">
      <c r="A158" s="70" t="s">
        <v>6152</v>
      </c>
      <c r="B158" s="70" t="s">
        <v>199</v>
      </c>
      <c r="C158" s="70" t="s">
        <v>5401</v>
      </c>
      <c r="D158" s="70" t="s">
        <v>3595</v>
      </c>
      <c r="E158" s="70" t="s">
        <v>5403</v>
      </c>
      <c r="F158" s="70" t="s">
        <v>5402</v>
      </c>
      <c r="G158" s="70" t="s">
        <v>6153</v>
      </c>
      <c r="H158" s="70" t="s">
        <v>5675</v>
      </c>
      <c r="I158" s="70" t="s">
        <v>5865</v>
      </c>
      <c r="J158" s="70" t="s">
        <v>5793</v>
      </c>
      <c r="K158" s="70"/>
      <c r="L158" s="72"/>
      <c r="M158" s="70"/>
      <c r="N158" s="72"/>
      <c r="O158" s="70" t="s">
        <v>6154</v>
      </c>
      <c r="P158" s="72">
        <v>44737</v>
      </c>
      <c r="Q158" s="70" t="s">
        <v>4429</v>
      </c>
      <c r="R158" s="72">
        <v>46042</v>
      </c>
      <c r="S158" s="70">
        <f t="shared" si="8"/>
        <v>1305</v>
      </c>
      <c r="T158" s="70" t="str">
        <f t="shared" si="9"/>
        <v/>
      </c>
      <c r="U158" s="70">
        <f t="shared" si="10"/>
        <v>3.5728952772073921</v>
      </c>
      <c r="V158" s="70">
        <f t="shared" si="11"/>
        <v>12.765580661890887</v>
      </c>
      <c r="W158" s="70" t="s">
        <v>5795</v>
      </c>
      <c r="X158" s="70" t="s">
        <v>5728</v>
      </c>
      <c r="Y158" s="70"/>
      <c r="Z158" s="70"/>
      <c r="AA158" s="70"/>
      <c r="AB158" s="70" t="s">
        <v>6155</v>
      </c>
      <c r="AC158" s="70"/>
    </row>
    <row r="159" spans="1:29" ht="58" customHeight="1" x14ac:dyDescent="0.2">
      <c r="A159" s="71" t="s">
        <v>6156</v>
      </c>
      <c r="B159" s="71" t="s">
        <v>199</v>
      </c>
      <c r="C159" s="71" t="s">
        <v>5404</v>
      </c>
      <c r="D159" s="71" t="s">
        <v>3595</v>
      </c>
      <c r="E159" s="71" t="s">
        <v>2766</v>
      </c>
      <c r="F159" s="71" t="s">
        <v>5117</v>
      </c>
      <c r="G159" s="71" t="s">
        <v>6043</v>
      </c>
      <c r="H159" s="71" t="s">
        <v>5675</v>
      </c>
      <c r="I159" s="71" t="s">
        <v>5696</v>
      </c>
      <c r="J159" s="71" t="s">
        <v>5677</v>
      </c>
      <c r="K159" s="71" t="s">
        <v>6157</v>
      </c>
      <c r="L159" s="73">
        <v>44964</v>
      </c>
      <c r="M159" s="71" t="s">
        <v>6157</v>
      </c>
      <c r="N159" s="73">
        <v>44964</v>
      </c>
      <c r="O159" s="71" t="s">
        <v>6157</v>
      </c>
      <c r="P159" s="73">
        <v>44964</v>
      </c>
      <c r="Q159" s="71" t="s">
        <v>4429</v>
      </c>
      <c r="R159" s="73">
        <v>46042</v>
      </c>
      <c r="S159" s="71">
        <f t="shared" si="8"/>
        <v>1078</v>
      </c>
      <c r="T159" s="71">
        <f t="shared" si="9"/>
        <v>1078</v>
      </c>
      <c r="U159" s="71">
        <f t="shared" si="10"/>
        <v>2.9514031485284051</v>
      </c>
      <c r="V159" s="71">
        <f t="shared" si="11"/>
        <v>8.7107805451433826</v>
      </c>
      <c r="W159" s="71" t="s">
        <v>5679</v>
      </c>
      <c r="X159" s="71" t="s">
        <v>5728</v>
      </c>
      <c r="Y159" s="71"/>
      <c r="Z159" s="71"/>
      <c r="AA159" s="71"/>
      <c r="AB159" s="71" t="s">
        <v>6151</v>
      </c>
      <c r="AC159" s="71"/>
    </row>
    <row r="160" spans="1:29" ht="29" customHeight="1" x14ac:dyDescent="0.2">
      <c r="A160" s="70" t="s">
        <v>6158</v>
      </c>
      <c r="B160" s="70" t="s">
        <v>199</v>
      </c>
      <c r="C160" s="70" t="s">
        <v>5405</v>
      </c>
      <c r="D160" s="70" t="s">
        <v>3595</v>
      </c>
      <c r="E160" s="70" t="s">
        <v>4147</v>
      </c>
      <c r="F160" s="70" t="s">
        <v>5406</v>
      </c>
      <c r="G160" s="70" t="s">
        <v>6159</v>
      </c>
      <c r="H160" s="70" t="s">
        <v>5675</v>
      </c>
      <c r="I160" s="70" t="s">
        <v>5676</v>
      </c>
      <c r="J160" s="70" t="s">
        <v>5677</v>
      </c>
      <c r="K160" s="70" t="s">
        <v>6160</v>
      </c>
      <c r="L160" s="72">
        <v>45266</v>
      </c>
      <c r="M160" s="70" t="s">
        <v>6160</v>
      </c>
      <c r="N160" s="72">
        <v>45266</v>
      </c>
      <c r="O160" s="70" t="s">
        <v>6160</v>
      </c>
      <c r="P160" s="72">
        <v>45266</v>
      </c>
      <c r="Q160" s="70" t="s">
        <v>4429</v>
      </c>
      <c r="R160" s="72">
        <v>46042</v>
      </c>
      <c r="S160" s="70">
        <f t="shared" si="8"/>
        <v>776</v>
      </c>
      <c r="T160" s="70">
        <f t="shared" si="9"/>
        <v>776</v>
      </c>
      <c r="U160" s="70">
        <f t="shared" si="10"/>
        <v>2.1245722108145104</v>
      </c>
      <c r="V160" s="70">
        <f t="shared" si="11"/>
        <v>4.5138070789652565</v>
      </c>
      <c r="W160" s="70" t="s">
        <v>5679</v>
      </c>
      <c r="X160" s="70" t="s">
        <v>5728</v>
      </c>
      <c r="Y160" s="70"/>
      <c r="Z160" s="70"/>
      <c r="AA160" s="70"/>
      <c r="AB160" s="70" t="s">
        <v>6161</v>
      </c>
      <c r="AC160" s="70"/>
    </row>
    <row r="161" spans="1:29" ht="29" customHeight="1" x14ac:dyDescent="0.2">
      <c r="A161" s="71" t="s">
        <v>6162</v>
      </c>
      <c r="B161" s="71" t="s">
        <v>199</v>
      </c>
      <c r="C161" s="71" t="s">
        <v>5405</v>
      </c>
      <c r="D161" s="71" t="s">
        <v>5686</v>
      </c>
      <c r="E161" s="71" t="s">
        <v>4147</v>
      </c>
      <c r="F161" s="71" t="s">
        <v>5406</v>
      </c>
      <c r="G161" s="71" t="s">
        <v>6159</v>
      </c>
      <c r="H161" s="71" t="s">
        <v>5675</v>
      </c>
      <c r="I161" s="71" t="s">
        <v>5096</v>
      </c>
      <c r="J161" s="71" t="s">
        <v>5677</v>
      </c>
      <c r="K161" s="71" t="s">
        <v>6160</v>
      </c>
      <c r="L161" s="73">
        <v>45266</v>
      </c>
      <c r="M161" s="71" t="s">
        <v>6160</v>
      </c>
      <c r="N161" s="73">
        <v>45266</v>
      </c>
      <c r="O161" s="71" t="s">
        <v>6160</v>
      </c>
      <c r="P161" s="73">
        <v>45266</v>
      </c>
      <c r="Q161" s="71" t="s">
        <v>4429</v>
      </c>
      <c r="R161" s="73">
        <v>46042</v>
      </c>
      <c r="S161" s="71">
        <f t="shared" si="8"/>
        <v>776</v>
      </c>
      <c r="T161" s="71">
        <f t="shared" si="9"/>
        <v>776</v>
      </c>
      <c r="U161" s="71">
        <f t="shared" si="10"/>
        <v>2.1245722108145104</v>
      </c>
      <c r="V161" s="71">
        <f t="shared" si="11"/>
        <v>4.5138070789652565</v>
      </c>
      <c r="W161" s="71" t="s">
        <v>5679</v>
      </c>
      <c r="X161" s="71" t="s">
        <v>5687</v>
      </c>
      <c r="Y161" s="71"/>
      <c r="Z161" s="71"/>
      <c r="AA161" s="71"/>
      <c r="AB161" s="71"/>
      <c r="AC161" s="71"/>
    </row>
    <row r="162" spans="1:29" ht="29" customHeight="1" x14ac:dyDescent="0.2">
      <c r="A162" s="70" t="s">
        <v>6163</v>
      </c>
      <c r="B162" s="70" t="s">
        <v>199</v>
      </c>
      <c r="C162" s="70" t="s">
        <v>5407</v>
      </c>
      <c r="D162" s="70" t="s">
        <v>3595</v>
      </c>
      <c r="E162" s="70" t="s">
        <v>5409</v>
      </c>
      <c r="F162" s="70" t="s">
        <v>5408</v>
      </c>
      <c r="G162" s="70" t="s">
        <v>6164</v>
      </c>
      <c r="H162" s="70" t="s">
        <v>5675</v>
      </c>
      <c r="I162" s="70" t="s">
        <v>5706</v>
      </c>
      <c r="J162" s="70" t="s">
        <v>5793</v>
      </c>
      <c r="K162" s="70"/>
      <c r="L162" s="72"/>
      <c r="M162" s="70"/>
      <c r="N162" s="72"/>
      <c r="O162" s="70" t="s">
        <v>6154</v>
      </c>
      <c r="P162" s="72">
        <v>44737</v>
      </c>
      <c r="Q162" s="70" t="s">
        <v>4429</v>
      </c>
      <c r="R162" s="72">
        <v>46042</v>
      </c>
      <c r="S162" s="70">
        <f t="shared" si="8"/>
        <v>1305</v>
      </c>
      <c r="T162" s="70" t="str">
        <f t="shared" si="9"/>
        <v/>
      </c>
      <c r="U162" s="70">
        <f t="shared" si="10"/>
        <v>3.5728952772073921</v>
      </c>
      <c r="V162" s="70">
        <f t="shared" si="11"/>
        <v>12.765580661890887</v>
      </c>
      <c r="W162" s="70" t="s">
        <v>5795</v>
      </c>
      <c r="X162" s="70" t="s">
        <v>5728</v>
      </c>
      <c r="Y162" s="70"/>
      <c r="Z162" s="70"/>
      <c r="AA162" s="70"/>
      <c r="AB162" s="70" t="s">
        <v>6161</v>
      </c>
      <c r="AC162" s="70"/>
    </row>
    <row r="163" spans="1:29" ht="29" customHeight="1" x14ac:dyDescent="0.2">
      <c r="A163" s="71" t="s">
        <v>6165</v>
      </c>
      <c r="B163" s="71" t="s">
        <v>199</v>
      </c>
      <c r="C163" s="71"/>
      <c r="D163" s="71" t="s">
        <v>5717</v>
      </c>
      <c r="E163" s="71" t="s">
        <v>5399</v>
      </c>
      <c r="F163" s="71"/>
      <c r="G163" s="71" t="s">
        <v>6149</v>
      </c>
      <c r="H163" s="71" t="s">
        <v>5675</v>
      </c>
      <c r="I163" s="71" t="s">
        <v>5091</v>
      </c>
      <c r="J163" s="71" t="s">
        <v>5677</v>
      </c>
      <c r="K163" s="71" t="s">
        <v>6150</v>
      </c>
      <c r="L163" s="73">
        <v>45622</v>
      </c>
      <c r="M163" s="71" t="s">
        <v>6150</v>
      </c>
      <c r="N163" s="73">
        <v>45622</v>
      </c>
      <c r="O163" s="71" t="s">
        <v>6150</v>
      </c>
      <c r="P163" s="73">
        <v>45622</v>
      </c>
      <c r="Q163" s="71" t="s">
        <v>4429</v>
      </c>
      <c r="R163" s="73">
        <v>46042</v>
      </c>
      <c r="S163" s="71">
        <f t="shared" si="8"/>
        <v>420</v>
      </c>
      <c r="T163" s="71">
        <f t="shared" si="9"/>
        <v>420</v>
      </c>
      <c r="U163" s="71">
        <f t="shared" si="10"/>
        <v>1.1498973305954825</v>
      </c>
      <c r="V163" s="71">
        <f t="shared" si="11"/>
        <v>1.3222638709106163</v>
      </c>
      <c r="W163" s="71" t="s">
        <v>5679</v>
      </c>
      <c r="X163" s="71" t="s">
        <v>5728</v>
      </c>
      <c r="Y163" s="71"/>
      <c r="Z163" s="71"/>
      <c r="AA163" s="71"/>
      <c r="AB163" s="71" t="s">
        <v>5111</v>
      </c>
      <c r="AC163" s="71"/>
    </row>
    <row r="164" spans="1:29" ht="29" customHeight="1" x14ac:dyDescent="0.2">
      <c r="A164" s="70" t="s">
        <v>6166</v>
      </c>
      <c r="B164" s="70" t="s">
        <v>202</v>
      </c>
      <c r="C164" s="70" t="s">
        <v>5410</v>
      </c>
      <c r="D164" s="70" t="s">
        <v>3595</v>
      </c>
      <c r="E164" s="70" t="s">
        <v>2847</v>
      </c>
      <c r="F164" s="70" t="s">
        <v>5411</v>
      </c>
      <c r="G164" s="70" t="s">
        <v>6167</v>
      </c>
      <c r="H164" s="70" t="s">
        <v>5675</v>
      </c>
      <c r="I164" s="70" t="s">
        <v>5696</v>
      </c>
      <c r="J164" s="70" t="s">
        <v>5677</v>
      </c>
      <c r="K164" s="70" t="s">
        <v>2849</v>
      </c>
      <c r="L164" s="72">
        <v>45775</v>
      </c>
      <c r="M164" s="70" t="s">
        <v>2849</v>
      </c>
      <c r="N164" s="72">
        <v>45775</v>
      </c>
      <c r="O164" s="70" t="s">
        <v>2849</v>
      </c>
      <c r="P164" s="72">
        <v>45775</v>
      </c>
      <c r="Q164" s="70" t="s">
        <v>1859</v>
      </c>
      <c r="R164" s="72">
        <v>46101</v>
      </c>
      <c r="S164" s="70">
        <f t="shared" si="8"/>
        <v>326</v>
      </c>
      <c r="T164" s="70">
        <f t="shared" si="9"/>
        <v>326</v>
      </c>
      <c r="U164" s="70">
        <f t="shared" si="10"/>
        <v>0.892539356605065</v>
      </c>
      <c r="V164" s="70">
        <f t="shared" si="11"/>
        <v>0.79662650308898342</v>
      </c>
      <c r="W164" s="70" t="s">
        <v>5679</v>
      </c>
      <c r="X164" s="70" t="s">
        <v>5728</v>
      </c>
      <c r="Y164" s="70"/>
      <c r="Z164" s="70"/>
      <c r="AA164" s="70"/>
      <c r="AB164" s="70" t="s">
        <v>6168</v>
      </c>
      <c r="AC164" s="70"/>
    </row>
    <row r="165" spans="1:29" ht="43.5" customHeight="1" x14ac:dyDescent="0.2">
      <c r="A165" s="71" t="s">
        <v>6169</v>
      </c>
      <c r="B165" s="71" t="s">
        <v>202</v>
      </c>
      <c r="C165" s="71" t="s">
        <v>5413</v>
      </c>
      <c r="D165" s="71" t="s">
        <v>3595</v>
      </c>
      <c r="E165" s="71" t="s">
        <v>5415</v>
      </c>
      <c r="F165" s="71" t="s">
        <v>5414</v>
      </c>
      <c r="G165" s="71" t="s">
        <v>6170</v>
      </c>
      <c r="H165" s="71" t="s">
        <v>5675</v>
      </c>
      <c r="I165" s="71" t="s">
        <v>5690</v>
      </c>
      <c r="J165" s="71" t="s">
        <v>5697</v>
      </c>
      <c r="K165" s="71"/>
      <c r="L165" s="73"/>
      <c r="M165" s="71" t="s">
        <v>6171</v>
      </c>
      <c r="N165" s="73">
        <v>45630</v>
      </c>
      <c r="O165" s="71" t="s">
        <v>6172</v>
      </c>
      <c r="P165" s="73">
        <v>45637</v>
      </c>
      <c r="Q165" s="71" t="s">
        <v>1859</v>
      </c>
      <c r="R165" s="73">
        <v>46101</v>
      </c>
      <c r="S165" s="71">
        <f t="shared" si="8"/>
        <v>464</v>
      </c>
      <c r="T165" s="71">
        <f t="shared" si="9"/>
        <v>471</v>
      </c>
      <c r="U165" s="71">
        <f t="shared" si="10"/>
        <v>1.270362765229295</v>
      </c>
      <c r="V165" s="71">
        <f t="shared" si="11"/>
        <v>1.6138215552810209</v>
      </c>
      <c r="W165" s="71" t="s">
        <v>6173</v>
      </c>
      <c r="X165" s="71" t="s">
        <v>5728</v>
      </c>
      <c r="Y165" s="71"/>
      <c r="Z165" s="71"/>
      <c r="AA165" s="71"/>
      <c r="AB165" s="71" t="s">
        <v>6168</v>
      </c>
      <c r="AC165" s="71" t="s">
        <v>5903</v>
      </c>
    </row>
    <row r="166" spans="1:29" ht="29" customHeight="1" x14ac:dyDescent="0.2">
      <c r="A166" s="70" t="s">
        <v>6174</v>
      </c>
      <c r="B166" s="70" t="s">
        <v>202</v>
      </c>
      <c r="C166" s="70" t="s">
        <v>5416</v>
      </c>
      <c r="D166" s="70" t="s">
        <v>3595</v>
      </c>
      <c r="E166" s="70" t="s">
        <v>2858</v>
      </c>
      <c r="F166" s="70" t="s">
        <v>5417</v>
      </c>
      <c r="G166" s="70" t="s">
        <v>6175</v>
      </c>
      <c r="H166" s="70" t="s">
        <v>5675</v>
      </c>
      <c r="I166" s="70" t="s">
        <v>5696</v>
      </c>
      <c r="J166" s="70" t="s">
        <v>5677</v>
      </c>
      <c r="K166" s="70" t="s">
        <v>3099</v>
      </c>
      <c r="L166" s="72">
        <v>45679</v>
      </c>
      <c r="M166" s="70" t="s">
        <v>3099</v>
      </c>
      <c r="N166" s="72">
        <v>45679</v>
      </c>
      <c r="O166" s="70" t="s">
        <v>3099</v>
      </c>
      <c r="P166" s="72">
        <v>45679</v>
      </c>
      <c r="Q166" s="70" t="s">
        <v>1859</v>
      </c>
      <c r="R166" s="72">
        <v>46101</v>
      </c>
      <c r="S166" s="70">
        <f t="shared" si="8"/>
        <v>422</v>
      </c>
      <c r="T166" s="70">
        <f t="shared" si="9"/>
        <v>422</v>
      </c>
      <c r="U166" s="70">
        <f t="shared" si="10"/>
        <v>1.1553730321697468</v>
      </c>
      <c r="V166" s="70">
        <f t="shared" si="11"/>
        <v>1.3348868434651149</v>
      </c>
      <c r="W166" s="70" t="s">
        <v>5679</v>
      </c>
      <c r="X166" s="70" t="s">
        <v>5728</v>
      </c>
      <c r="Y166" s="70"/>
      <c r="Z166" s="70"/>
      <c r="AA166" s="70"/>
      <c r="AB166" s="70" t="s">
        <v>6168</v>
      </c>
      <c r="AC166" s="70"/>
    </row>
    <row r="167" spans="1:29" ht="29" customHeight="1" x14ac:dyDescent="0.2">
      <c r="A167" s="71" t="s">
        <v>6176</v>
      </c>
      <c r="B167" s="71" t="s">
        <v>202</v>
      </c>
      <c r="C167" s="71" t="s">
        <v>5418</v>
      </c>
      <c r="D167" s="71" t="s">
        <v>3595</v>
      </c>
      <c r="E167" s="71" t="s">
        <v>2865</v>
      </c>
      <c r="F167" s="71" t="s">
        <v>2866</v>
      </c>
      <c r="G167" s="71" t="s">
        <v>6177</v>
      </c>
      <c r="H167" s="71" t="s">
        <v>5675</v>
      </c>
      <c r="I167" s="71" t="s">
        <v>5706</v>
      </c>
      <c r="J167" s="71" t="s">
        <v>5677</v>
      </c>
      <c r="K167" s="71" t="s">
        <v>2849</v>
      </c>
      <c r="L167" s="73">
        <v>45775</v>
      </c>
      <c r="M167" s="71" t="s">
        <v>2849</v>
      </c>
      <c r="N167" s="73">
        <v>45775</v>
      </c>
      <c r="O167" s="71" t="s">
        <v>2849</v>
      </c>
      <c r="P167" s="73">
        <v>45775</v>
      </c>
      <c r="Q167" s="71" t="s">
        <v>1859</v>
      </c>
      <c r="R167" s="73">
        <v>46101</v>
      </c>
      <c r="S167" s="71">
        <f t="shared" si="8"/>
        <v>326</v>
      </c>
      <c r="T167" s="71">
        <f t="shared" si="9"/>
        <v>326</v>
      </c>
      <c r="U167" s="71">
        <f t="shared" si="10"/>
        <v>0.892539356605065</v>
      </c>
      <c r="V167" s="71">
        <f t="shared" si="11"/>
        <v>0.79662650308898342</v>
      </c>
      <c r="W167" s="71" t="s">
        <v>5679</v>
      </c>
      <c r="X167" s="71" t="s">
        <v>5728</v>
      </c>
      <c r="Y167" s="71"/>
      <c r="Z167" s="71"/>
      <c r="AA167" s="71"/>
      <c r="AB167" s="71" t="s">
        <v>6168</v>
      </c>
      <c r="AC167" s="71"/>
    </row>
    <row r="168" spans="1:29" ht="43.5" customHeight="1" x14ac:dyDescent="0.2">
      <c r="A168" s="70" t="s">
        <v>6178</v>
      </c>
      <c r="B168" s="70" t="s">
        <v>202</v>
      </c>
      <c r="C168" s="70" t="s">
        <v>5419</v>
      </c>
      <c r="D168" s="70" t="s">
        <v>3595</v>
      </c>
      <c r="E168" s="70" t="s">
        <v>203</v>
      </c>
      <c r="F168" s="70" t="s">
        <v>2869</v>
      </c>
      <c r="G168" s="70" t="s">
        <v>6179</v>
      </c>
      <c r="H168" s="70" t="s">
        <v>5675</v>
      </c>
      <c r="I168" s="70" t="s">
        <v>5676</v>
      </c>
      <c r="J168" s="70" t="s">
        <v>5697</v>
      </c>
      <c r="K168" s="70"/>
      <c r="L168" s="72"/>
      <c r="M168" s="70" t="s">
        <v>6171</v>
      </c>
      <c r="N168" s="72">
        <v>45630</v>
      </c>
      <c r="O168" s="70" t="s">
        <v>6172</v>
      </c>
      <c r="P168" s="72">
        <v>45637</v>
      </c>
      <c r="Q168" s="70" t="s">
        <v>1859</v>
      </c>
      <c r="R168" s="72">
        <v>46101</v>
      </c>
      <c r="S168" s="70">
        <f t="shared" si="8"/>
        <v>464</v>
      </c>
      <c r="T168" s="70">
        <f t="shared" si="9"/>
        <v>471</v>
      </c>
      <c r="U168" s="70">
        <f t="shared" si="10"/>
        <v>1.270362765229295</v>
      </c>
      <c r="V168" s="70">
        <f t="shared" si="11"/>
        <v>1.6138215552810209</v>
      </c>
      <c r="W168" s="70" t="s">
        <v>6173</v>
      </c>
      <c r="X168" s="70" t="s">
        <v>5728</v>
      </c>
      <c r="Y168" s="70"/>
      <c r="Z168" s="70"/>
      <c r="AA168" s="70"/>
      <c r="AB168" s="70" t="s">
        <v>6180</v>
      </c>
      <c r="AC168" s="70" t="s">
        <v>5903</v>
      </c>
    </row>
    <row r="169" spans="1:29" ht="43.5" customHeight="1" x14ac:dyDescent="0.2">
      <c r="A169" s="71" t="s">
        <v>6181</v>
      </c>
      <c r="B169" s="71" t="s">
        <v>202</v>
      </c>
      <c r="C169" s="71" t="s">
        <v>5419</v>
      </c>
      <c r="D169" s="71" t="s">
        <v>5686</v>
      </c>
      <c r="E169" s="71" t="s">
        <v>203</v>
      </c>
      <c r="F169" s="71" t="s">
        <v>2869</v>
      </c>
      <c r="G169" s="71" t="s">
        <v>6179</v>
      </c>
      <c r="H169" s="71" t="s">
        <v>5675</v>
      </c>
      <c r="I169" s="71" t="s">
        <v>5096</v>
      </c>
      <c r="J169" s="71" t="s">
        <v>5697</v>
      </c>
      <c r="K169" s="71"/>
      <c r="L169" s="73"/>
      <c r="M169" s="71" t="s">
        <v>6171</v>
      </c>
      <c r="N169" s="73">
        <v>45630</v>
      </c>
      <c r="O169" s="71" t="s">
        <v>6172</v>
      </c>
      <c r="P169" s="73">
        <v>45637</v>
      </c>
      <c r="Q169" s="71" t="s">
        <v>1859</v>
      </c>
      <c r="R169" s="73">
        <v>46101</v>
      </c>
      <c r="S169" s="71">
        <f t="shared" si="8"/>
        <v>464</v>
      </c>
      <c r="T169" s="71">
        <f t="shared" si="9"/>
        <v>471</v>
      </c>
      <c r="U169" s="71">
        <f t="shared" si="10"/>
        <v>1.270362765229295</v>
      </c>
      <c r="V169" s="71">
        <f t="shared" si="11"/>
        <v>1.6138215552810209</v>
      </c>
      <c r="W169" s="71" t="s">
        <v>6173</v>
      </c>
      <c r="X169" s="71" t="s">
        <v>5687</v>
      </c>
      <c r="Y169" s="71"/>
      <c r="Z169" s="71"/>
      <c r="AA169" s="71"/>
      <c r="AB169" s="71"/>
      <c r="AC169" s="71" t="s">
        <v>5903</v>
      </c>
    </row>
    <row r="170" spans="1:29" ht="29" customHeight="1" x14ac:dyDescent="0.2">
      <c r="A170" s="70" t="s">
        <v>6182</v>
      </c>
      <c r="B170" s="70" t="s">
        <v>202</v>
      </c>
      <c r="C170" s="70"/>
      <c r="D170" s="70" t="s">
        <v>5717</v>
      </c>
      <c r="E170" s="70" t="s">
        <v>5415</v>
      </c>
      <c r="F170" s="70"/>
      <c r="G170" s="70" t="s">
        <v>6170</v>
      </c>
      <c r="H170" s="70" t="s">
        <v>5675</v>
      </c>
      <c r="I170" s="70" t="s">
        <v>5091</v>
      </c>
      <c r="J170" s="70" t="s">
        <v>5677</v>
      </c>
      <c r="K170" s="70" t="s">
        <v>6171</v>
      </c>
      <c r="L170" s="72">
        <v>45630</v>
      </c>
      <c r="M170" s="70" t="s">
        <v>6171</v>
      </c>
      <c r="N170" s="72">
        <v>45630</v>
      </c>
      <c r="O170" s="70" t="s">
        <v>6171</v>
      </c>
      <c r="P170" s="72">
        <v>45630</v>
      </c>
      <c r="Q170" s="70" t="s">
        <v>1859</v>
      </c>
      <c r="R170" s="72">
        <v>46101</v>
      </c>
      <c r="S170" s="70">
        <f t="shared" si="8"/>
        <v>471</v>
      </c>
      <c r="T170" s="70">
        <f t="shared" si="9"/>
        <v>471</v>
      </c>
      <c r="U170" s="70">
        <f t="shared" si="10"/>
        <v>1.2895277207392197</v>
      </c>
      <c r="V170" s="70">
        <f t="shared" si="11"/>
        <v>1.662881742554887</v>
      </c>
      <c r="W170" s="70" t="s">
        <v>5679</v>
      </c>
      <c r="X170" s="70" t="s">
        <v>5728</v>
      </c>
      <c r="Y170" s="70"/>
      <c r="Z170" s="70"/>
      <c r="AA170" s="70"/>
      <c r="AB170" s="70" t="s">
        <v>5111</v>
      </c>
      <c r="AC170" s="70"/>
    </row>
    <row r="171" spans="1:29" ht="43.5" customHeight="1" x14ac:dyDescent="0.2">
      <c r="A171" s="71" t="s">
        <v>6183</v>
      </c>
      <c r="B171" s="71" t="s">
        <v>206</v>
      </c>
      <c r="C171" s="71" t="s">
        <v>5420</v>
      </c>
      <c r="D171" s="71" t="s">
        <v>3595</v>
      </c>
      <c r="E171" s="71" t="s">
        <v>5422</v>
      </c>
      <c r="F171" s="71" t="s">
        <v>5421</v>
      </c>
      <c r="G171" s="71" t="s">
        <v>6184</v>
      </c>
      <c r="H171" s="71" t="s">
        <v>5675</v>
      </c>
      <c r="I171" s="71" t="s">
        <v>5706</v>
      </c>
      <c r="J171" s="71" t="s">
        <v>5677</v>
      </c>
      <c r="K171" s="71" t="s">
        <v>6185</v>
      </c>
      <c r="L171" s="73">
        <v>44500</v>
      </c>
      <c r="M171" s="71" t="s">
        <v>6185</v>
      </c>
      <c r="N171" s="73">
        <v>44500</v>
      </c>
      <c r="O171" s="71" t="s">
        <v>6185</v>
      </c>
      <c r="P171" s="73">
        <v>44500</v>
      </c>
      <c r="Q171" s="71" t="s">
        <v>1859</v>
      </c>
      <c r="R171" s="73">
        <v>46101</v>
      </c>
      <c r="S171" s="71">
        <f t="shared" si="8"/>
        <v>1601</v>
      </c>
      <c r="T171" s="71">
        <f t="shared" si="9"/>
        <v>1601</v>
      </c>
      <c r="U171" s="71">
        <f t="shared" si="10"/>
        <v>4.3832991101984939</v>
      </c>
      <c r="V171" s="71">
        <f t="shared" si="11"/>
        <v>19.213311089466909</v>
      </c>
      <c r="W171" s="71" t="s">
        <v>5871</v>
      </c>
      <c r="X171" s="71" t="s">
        <v>5872</v>
      </c>
      <c r="Y171" s="71" t="s">
        <v>6185</v>
      </c>
      <c r="Z171" s="71" t="s">
        <v>5682</v>
      </c>
      <c r="AA171" s="71"/>
      <c r="AB171" s="71" t="s">
        <v>6186</v>
      </c>
      <c r="AC171" s="71" t="s">
        <v>6187</v>
      </c>
    </row>
    <row r="172" spans="1:29" ht="29" customHeight="1" x14ac:dyDescent="0.2">
      <c r="A172" s="70" t="s">
        <v>6188</v>
      </c>
      <c r="B172" s="70" t="s">
        <v>206</v>
      </c>
      <c r="C172" s="70" t="s">
        <v>5424</v>
      </c>
      <c r="D172" s="70" t="s">
        <v>3595</v>
      </c>
      <c r="E172" s="70" t="s">
        <v>4193</v>
      </c>
      <c r="F172" s="70" t="s">
        <v>5425</v>
      </c>
      <c r="G172" s="70" t="s">
        <v>6189</v>
      </c>
      <c r="H172" s="70" t="s">
        <v>5675</v>
      </c>
      <c r="I172" s="70" t="s">
        <v>5865</v>
      </c>
      <c r="J172" s="70" t="s">
        <v>5677</v>
      </c>
      <c r="K172" s="70" t="s">
        <v>3959</v>
      </c>
      <c r="L172" s="72">
        <v>45214</v>
      </c>
      <c r="M172" s="70" t="s">
        <v>3959</v>
      </c>
      <c r="N172" s="72">
        <v>45214</v>
      </c>
      <c r="O172" s="70" t="s">
        <v>3959</v>
      </c>
      <c r="P172" s="72">
        <v>45214</v>
      </c>
      <c r="Q172" s="70" t="s">
        <v>1859</v>
      </c>
      <c r="R172" s="72">
        <v>46101</v>
      </c>
      <c r="S172" s="70">
        <f t="shared" si="8"/>
        <v>887</v>
      </c>
      <c r="T172" s="70">
        <f t="shared" si="9"/>
        <v>887</v>
      </c>
      <c r="U172" s="70">
        <f t="shared" si="10"/>
        <v>2.4284736481861739</v>
      </c>
      <c r="V172" s="70">
        <f t="shared" si="11"/>
        <v>5.8974842599346653</v>
      </c>
      <c r="W172" s="70" t="s">
        <v>5679</v>
      </c>
      <c r="X172" s="70" t="s">
        <v>5680</v>
      </c>
      <c r="Y172" s="70" t="s">
        <v>3959</v>
      </c>
      <c r="Z172" s="70" t="s">
        <v>5682</v>
      </c>
      <c r="AA172" s="70"/>
      <c r="AB172" s="70" t="s">
        <v>6186</v>
      </c>
      <c r="AC172" s="70" t="s">
        <v>6020</v>
      </c>
    </row>
    <row r="173" spans="1:29" ht="43.5" customHeight="1" x14ac:dyDescent="0.2">
      <c r="A173" s="71" t="s">
        <v>6190</v>
      </c>
      <c r="B173" s="71" t="s">
        <v>206</v>
      </c>
      <c r="C173" s="71" t="s">
        <v>5426</v>
      </c>
      <c r="D173" s="71" t="s">
        <v>3595</v>
      </c>
      <c r="E173" s="71" t="s">
        <v>4184</v>
      </c>
      <c r="F173" s="71" t="s">
        <v>5427</v>
      </c>
      <c r="G173" s="71" t="s">
        <v>6191</v>
      </c>
      <c r="H173" s="71" t="s">
        <v>5675</v>
      </c>
      <c r="I173" s="71" t="s">
        <v>5676</v>
      </c>
      <c r="J173" s="71" t="s">
        <v>5677</v>
      </c>
      <c r="K173" s="71" t="s">
        <v>6192</v>
      </c>
      <c r="L173" s="73">
        <v>42492</v>
      </c>
      <c r="M173" s="71" t="s">
        <v>6192</v>
      </c>
      <c r="N173" s="73">
        <v>42492</v>
      </c>
      <c r="O173" s="71" t="s">
        <v>6192</v>
      </c>
      <c r="P173" s="73">
        <v>42492</v>
      </c>
      <c r="Q173" s="71" t="s">
        <v>1859</v>
      </c>
      <c r="R173" s="73">
        <v>46101</v>
      </c>
      <c r="S173" s="71">
        <f t="shared" si="8"/>
        <v>3609</v>
      </c>
      <c r="T173" s="71">
        <f t="shared" si="9"/>
        <v>3609</v>
      </c>
      <c r="U173" s="71">
        <f t="shared" si="10"/>
        <v>9.8809034907597528</v>
      </c>
      <c r="V173" s="71">
        <f t="shared" si="11"/>
        <v>97.632253793708273</v>
      </c>
      <c r="W173" s="71" t="s">
        <v>5871</v>
      </c>
      <c r="X173" s="71" t="s">
        <v>5872</v>
      </c>
      <c r="Y173" s="71" t="s">
        <v>6192</v>
      </c>
      <c r="Z173" s="71" t="s">
        <v>5682</v>
      </c>
      <c r="AA173" s="71"/>
      <c r="AB173" s="71" t="s">
        <v>6186</v>
      </c>
      <c r="AC173" s="71" t="s">
        <v>6187</v>
      </c>
    </row>
    <row r="174" spans="1:29" ht="29" customHeight="1" x14ac:dyDescent="0.2">
      <c r="A174" s="70" t="s">
        <v>6193</v>
      </c>
      <c r="B174" s="70" t="s">
        <v>206</v>
      </c>
      <c r="C174" s="70" t="s">
        <v>5426</v>
      </c>
      <c r="D174" s="70" t="s">
        <v>5686</v>
      </c>
      <c r="E174" s="70" t="s">
        <v>4184</v>
      </c>
      <c r="F174" s="70" t="s">
        <v>5427</v>
      </c>
      <c r="G174" s="70" t="s">
        <v>6191</v>
      </c>
      <c r="H174" s="70" t="s">
        <v>5675</v>
      </c>
      <c r="I174" s="70" t="s">
        <v>5096</v>
      </c>
      <c r="J174" s="70" t="s">
        <v>5793</v>
      </c>
      <c r="K174" s="70"/>
      <c r="L174" s="72"/>
      <c r="M174" s="70"/>
      <c r="N174" s="72"/>
      <c r="O174" s="70" t="s">
        <v>6194</v>
      </c>
      <c r="P174" s="72">
        <v>44649</v>
      </c>
      <c r="Q174" s="70" t="s">
        <v>1859</v>
      </c>
      <c r="R174" s="72">
        <v>46101</v>
      </c>
      <c r="S174" s="70">
        <f t="shared" si="8"/>
        <v>1452</v>
      </c>
      <c r="T174" s="70" t="str">
        <f t="shared" si="9"/>
        <v/>
      </c>
      <c r="U174" s="70">
        <f t="shared" si="10"/>
        <v>3.9753593429158109</v>
      </c>
      <c r="V174" s="70">
        <f t="shared" si="11"/>
        <v>15.803481905308027</v>
      </c>
      <c r="W174" s="70" t="s">
        <v>5795</v>
      </c>
      <c r="X174" s="70" t="s">
        <v>5687</v>
      </c>
      <c r="Y174" s="70"/>
      <c r="Z174" s="70"/>
      <c r="AA174" s="70"/>
      <c r="AB174" s="70"/>
      <c r="AC174" s="70"/>
    </row>
    <row r="175" spans="1:29" ht="29" customHeight="1" x14ac:dyDescent="0.2">
      <c r="A175" s="71" t="s">
        <v>6195</v>
      </c>
      <c r="B175" s="71" t="s">
        <v>206</v>
      </c>
      <c r="C175" s="71" t="s">
        <v>5428</v>
      </c>
      <c r="D175" s="71" t="s">
        <v>3595</v>
      </c>
      <c r="E175" s="71" t="s">
        <v>5430</v>
      </c>
      <c r="F175" s="71" t="s">
        <v>5429</v>
      </c>
      <c r="G175" s="71" t="s">
        <v>6196</v>
      </c>
      <c r="H175" s="71" t="s">
        <v>5675</v>
      </c>
      <c r="I175" s="71" t="s">
        <v>5696</v>
      </c>
      <c r="J175" s="71" t="s">
        <v>5677</v>
      </c>
      <c r="K175" s="71" t="s">
        <v>6197</v>
      </c>
      <c r="L175" s="73">
        <v>44899</v>
      </c>
      <c r="M175" s="71" t="s">
        <v>6197</v>
      </c>
      <c r="N175" s="73">
        <v>44899</v>
      </c>
      <c r="O175" s="71" t="s">
        <v>6197</v>
      </c>
      <c r="P175" s="73">
        <v>44899</v>
      </c>
      <c r="Q175" s="71" t="s">
        <v>1859</v>
      </c>
      <c r="R175" s="73">
        <v>46101</v>
      </c>
      <c r="S175" s="71">
        <f t="shared" si="8"/>
        <v>1202</v>
      </c>
      <c r="T175" s="71">
        <f t="shared" si="9"/>
        <v>1202</v>
      </c>
      <c r="U175" s="71">
        <f t="shared" si="10"/>
        <v>3.2908966461327855</v>
      </c>
      <c r="V175" s="71">
        <f t="shared" si="11"/>
        <v>10.830000735528015</v>
      </c>
      <c r="W175" s="71" t="s">
        <v>5679</v>
      </c>
      <c r="X175" s="71" t="s">
        <v>5680</v>
      </c>
      <c r="Y175" s="71" t="s">
        <v>6197</v>
      </c>
      <c r="Z175" s="71" t="s">
        <v>5682</v>
      </c>
      <c r="AA175" s="71"/>
      <c r="AB175" s="71" t="s">
        <v>6186</v>
      </c>
      <c r="AC175" s="71" t="s">
        <v>6198</v>
      </c>
    </row>
    <row r="176" spans="1:29" ht="29" customHeight="1" x14ac:dyDescent="0.2">
      <c r="A176" s="70" t="s">
        <v>6199</v>
      </c>
      <c r="B176" s="70" t="s">
        <v>206</v>
      </c>
      <c r="C176" s="70" t="s">
        <v>5431</v>
      </c>
      <c r="D176" s="70" t="s">
        <v>3595</v>
      </c>
      <c r="E176" s="70" t="s">
        <v>5433</v>
      </c>
      <c r="F176" s="70" t="s">
        <v>5432</v>
      </c>
      <c r="G176" s="70" t="s">
        <v>6200</v>
      </c>
      <c r="H176" s="70" t="s">
        <v>5675</v>
      </c>
      <c r="I176" s="70" t="s">
        <v>5706</v>
      </c>
      <c r="J176" s="70" t="s">
        <v>5677</v>
      </c>
      <c r="K176" s="70" t="s">
        <v>6201</v>
      </c>
      <c r="L176" s="72">
        <v>45482</v>
      </c>
      <c r="M176" s="70" t="s">
        <v>6201</v>
      </c>
      <c r="N176" s="72">
        <v>45482</v>
      </c>
      <c r="O176" s="70" t="s">
        <v>6201</v>
      </c>
      <c r="P176" s="72">
        <v>45482</v>
      </c>
      <c r="Q176" s="70" t="s">
        <v>1859</v>
      </c>
      <c r="R176" s="72">
        <v>46101</v>
      </c>
      <c r="S176" s="70">
        <f t="shared" si="8"/>
        <v>619</v>
      </c>
      <c r="T176" s="70">
        <f t="shared" si="9"/>
        <v>619</v>
      </c>
      <c r="U176" s="70">
        <f t="shared" si="10"/>
        <v>1.6947296372347707</v>
      </c>
      <c r="V176" s="70">
        <f t="shared" si="11"/>
        <v>2.8721085433218971</v>
      </c>
      <c r="W176" s="70" t="s">
        <v>5679</v>
      </c>
      <c r="X176" s="70" t="s">
        <v>5680</v>
      </c>
      <c r="Y176" s="70" t="s">
        <v>6201</v>
      </c>
      <c r="Z176" s="70" t="s">
        <v>5682</v>
      </c>
      <c r="AA176" s="70"/>
      <c r="AB176" s="70" t="s">
        <v>6186</v>
      </c>
      <c r="AC176" s="70" t="s">
        <v>6202</v>
      </c>
    </row>
    <row r="177" spans="1:29" ht="29" customHeight="1" x14ac:dyDescent="0.2">
      <c r="A177" s="71" t="s">
        <v>6203</v>
      </c>
      <c r="B177" s="71" t="s">
        <v>206</v>
      </c>
      <c r="C177" s="71"/>
      <c r="D177" s="71" t="s">
        <v>5717</v>
      </c>
      <c r="E177" s="71" t="s">
        <v>5433</v>
      </c>
      <c r="F177" s="71"/>
      <c r="G177" s="71" t="s">
        <v>6200</v>
      </c>
      <c r="H177" s="71" t="s">
        <v>5675</v>
      </c>
      <c r="I177" s="71" t="s">
        <v>5091</v>
      </c>
      <c r="J177" s="71" t="s">
        <v>5793</v>
      </c>
      <c r="K177" s="71"/>
      <c r="L177" s="73"/>
      <c r="M177" s="71"/>
      <c r="N177" s="73"/>
      <c r="O177" s="71" t="s">
        <v>6204</v>
      </c>
      <c r="P177" s="73">
        <v>45077</v>
      </c>
      <c r="Q177" s="71" t="s">
        <v>1859</v>
      </c>
      <c r="R177" s="73">
        <v>46101</v>
      </c>
      <c r="S177" s="71">
        <f t="shared" si="8"/>
        <v>1024</v>
      </c>
      <c r="T177" s="71" t="str">
        <f t="shared" si="9"/>
        <v/>
      </c>
      <c r="U177" s="71">
        <f t="shared" si="10"/>
        <v>2.8035592060232717</v>
      </c>
      <c r="V177" s="71">
        <f t="shared" si="11"/>
        <v>7.8599442216778375</v>
      </c>
      <c r="W177" s="71" t="s">
        <v>5795</v>
      </c>
      <c r="X177" s="71" t="s">
        <v>5728</v>
      </c>
      <c r="Y177" s="71"/>
      <c r="Z177" s="71"/>
      <c r="AA177" s="71"/>
      <c r="AB177" s="71" t="s">
        <v>5111</v>
      </c>
      <c r="AC177" s="71"/>
    </row>
    <row r="178" spans="1:29" ht="29" customHeight="1" x14ac:dyDescent="0.2">
      <c r="A178" s="70" t="s">
        <v>6205</v>
      </c>
      <c r="B178" s="70" t="s">
        <v>209</v>
      </c>
      <c r="C178" s="70" t="s">
        <v>5434</v>
      </c>
      <c r="D178" s="70" t="s">
        <v>3595</v>
      </c>
      <c r="E178" s="70" t="s">
        <v>5435</v>
      </c>
      <c r="F178" s="70"/>
      <c r="G178" s="70" t="s">
        <v>6206</v>
      </c>
      <c r="H178" s="70" t="s">
        <v>5675</v>
      </c>
      <c r="I178" s="70" t="s">
        <v>5690</v>
      </c>
      <c r="J178" s="70" t="s">
        <v>5793</v>
      </c>
      <c r="K178" s="70"/>
      <c r="L178" s="72"/>
      <c r="M178" s="70"/>
      <c r="N178" s="72"/>
      <c r="O178" s="70" t="s">
        <v>6207</v>
      </c>
      <c r="P178" s="72">
        <v>44703</v>
      </c>
      <c r="Q178" s="70" t="s">
        <v>1859</v>
      </c>
      <c r="R178" s="72">
        <v>46101</v>
      </c>
      <c r="S178" s="70">
        <f t="shared" si="8"/>
        <v>1398</v>
      </c>
      <c r="T178" s="70" t="str">
        <f t="shared" si="9"/>
        <v/>
      </c>
      <c r="U178" s="70">
        <f t="shared" si="10"/>
        <v>3.8275154004106775</v>
      </c>
      <c r="V178" s="70">
        <f t="shared" si="11"/>
        <v>14.649874140380909</v>
      </c>
      <c r="W178" s="70" t="s">
        <v>5795</v>
      </c>
      <c r="X178" s="70" t="s">
        <v>5728</v>
      </c>
      <c r="Y178" s="70"/>
      <c r="Z178" s="70"/>
      <c r="AA178" s="70"/>
      <c r="AB178" s="70" t="s">
        <v>6208</v>
      </c>
      <c r="AC178" s="70"/>
    </row>
    <row r="179" spans="1:29" ht="29" customHeight="1" x14ac:dyDescent="0.2">
      <c r="A179" s="71" t="s">
        <v>6209</v>
      </c>
      <c r="B179" s="71" t="s">
        <v>209</v>
      </c>
      <c r="C179" s="71" t="s">
        <v>5437</v>
      </c>
      <c r="D179" s="71" t="s">
        <v>3595</v>
      </c>
      <c r="E179" s="71" t="s">
        <v>5438</v>
      </c>
      <c r="F179" s="71"/>
      <c r="G179" s="71" t="s">
        <v>6210</v>
      </c>
      <c r="H179" s="71" t="s">
        <v>5675</v>
      </c>
      <c r="I179" s="71" t="s">
        <v>5876</v>
      </c>
      <c r="J179" s="71" t="s">
        <v>5793</v>
      </c>
      <c r="K179" s="71"/>
      <c r="L179" s="73"/>
      <c r="M179" s="71"/>
      <c r="N179" s="73"/>
      <c r="O179" s="71" t="s">
        <v>6207</v>
      </c>
      <c r="P179" s="73">
        <v>44703</v>
      </c>
      <c r="Q179" s="71" t="s">
        <v>1859</v>
      </c>
      <c r="R179" s="73">
        <v>46101</v>
      </c>
      <c r="S179" s="71">
        <f t="shared" si="8"/>
        <v>1398</v>
      </c>
      <c r="T179" s="71" t="str">
        <f t="shared" si="9"/>
        <v/>
      </c>
      <c r="U179" s="71">
        <f t="shared" si="10"/>
        <v>3.8275154004106775</v>
      </c>
      <c r="V179" s="71">
        <f t="shared" si="11"/>
        <v>14.649874140380909</v>
      </c>
      <c r="W179" s="71" t="s">
        <v>5795</v>
      </c>
      <c r="X179" s="71" t="s">
        <v>5728</v>
      </c>
      <c r="Y179" s="71"/>
      <c r="Z179" s="71"/>
      <c r="AA179" s="71"/>
      <c r="AB179" s="71" t="s">
        <v>6208</v>
      </c>
      <c r="AC179" s="71"/>
    </row>
    <row r="180" spans="1:29" ht="29" customHeight="1" x14ac:dyDescent="0.2">
      <c r="A180" s="70" t="s">
        <v>6211</v>
      </c>
      <c r="B180" s="70" t="s">
        <v>209</v>
      </c>
      <c r="C180" s="70" t="s">
        <v>5437</v>
      </c>
      <c r="D180" s="70" t="s">
        <v>5686</v>
      </c>
      <c r="E180" s="70" t="s">
        <v>5438</v>
      </c>
      <c r="F180" s="70" t="s">
        <v>5438</v>
      </c>
      <c r="G180" s="70" t="s">
        <v>6210</v>
      </c>
      <c r="H180" s="70" t="s">
        <v>5675</v>
      </c>
      <c r="I180" s="70" t="s">
        <v>5096</v>
      </c>
      <c r="J180" s="70" t="s">
        <v>5793</v>
      </c>
      <c r="K180" s="70"/>
      <c r="L180" s="72"/>
      <c r="M180" s="70"/>
      <c r="N180" s="72"/>
      <c r="O180" s="70" t="s">
        <v>6207</v>
      </c>
      <c r="P180" s="72">
        <v>44703</v>
      </c>
      <c r="Q180" s="70" t="s">
        <v>1859</v>
      </c>
      <c r="R180" s="72">
        <v>46101</v>
      </c>
      <c r="S180" s="70">
        <f t="shared" si="8"/>
        <v>1398</v>
      </c>
      <c r="T180" s="70" t="str">
        <f t="shared" si="9"/>
        <v/>
      </c>
      <c r="U180" s="70">
        <f t="shared" si="10"/>
        <v>3.8275154004106775</v>
      </c>
      <c r="V180" s="70">
        <f t="shared" si="11"/>
        <v>14.649874140380909</v>
      </c>
      <c r="W180" s="70" t="s">
        <v>5795</v>
      </c>
      <c r="X180" s="70" t="s">
        <v>5687</v>
      </c>
      <c r="Y180" s="70"/>
      <c r="Z180" s="70"/>
      <c r="AA180" s="70"/>
      <c r="AB180" s="70"/>
      <c r="AC180" s="70"/>
    </row>
    <row r="181" spans="1:29" ht="29" customHeight="1" x14ac:dyDescent="0.2">
      <c r="A181" s="71" t="s">
        <v>6212</v>
      </c>
      <c r="B181" s="71" t="s">
        <v>209</v>
      </c>
      <c r="C181" s="71" t="s">
        <v>5439</v>
      </c>
      <c r="D181" s="71" t="s">
        <v>3595</v>
      </c>
      <c r="E181" s="71" t="s">
        <v>5440</v>
      </c>
      <c r="F181" s="71"/>
      <c r="G181" s="71" t="s">
        <v>6213</v>
      </c>
      <c r="H181" s="71" t="s">
        <v>5675</v>
      </c>
      <c r="I181" s="71" t="s">
        <v>5706</v>
      </c>
      <c r="J181" s="71" t="s">
        <v>5793</v>
      </c>
      <c r="K181" s="71"/>
      <c r="L181" s="73"/>
      <c r="M181" s="71"/>
      <c r="N181" s="73"/>
      <c r="O181" s="71" t="s">
        <v>6207</v>
      </c>
      <c r="P181" s="73">
        <v>44703</v>
      </c>
      <c r="Q181" s="71" t="s">
        <v>1859</v>
      </c>
      <c r="R181" s="73">
        <v>46101</v>
      </c>
      <c r="S181" s="71">
        <f t="shared" si="8"/>
        <v>1398</v>
      </c>
      <c r="T181" s="71" t="str">
        <f t="shared" si="9"/>
        <v/>
      </c>
      <c r="U181" s="71">
        <f t="shared" si="10"/>
        <v>3.8275154004106775</v>
      </c>
      <c r="V181" s="71">
        <f t="shared" si="11"/>
        <v>14.649874140380909</v>
      </c>
      <c r="W181" s="71" t="s">
        <v>5795</v>
      </c>
      <c r="X181" s="71" t="s">
        <v>5728</v>
      </c>
      <c r="Y181" s="71"/>
      <c r="Z181" s="71"/>
      <c r="AA181" s="71"/>
      <c r="AB181" s="71" t="s">
        <v>6208</v>
      </c>
      <c r="AC181" s="71"/>
    </row>
    <row r="182" spans="1:29" ht="29" customHeight="1" x14ac:dyDescent="0.2">
      <c r="A182" s="70" t="s">
        <v>6214</v>
      </c>
      <c r="B182" s="70" t="s">
        <v>209</v>
      </c>
      <c r="C182" s="70" t="s">
        <v>5441</v>
      </c>
      <c r="D182" s="70" t="s">
        <v>3595</v>
      </c>
      <c r="E182" s="70" t="s">
        <v>5442</v>
      </c>
      <c r="F182" s="70"/>
      <c r="G182" s="70" t="s">
        <v>6215</v>
      </c>
      <c r="H182" s="70" t="s">
        <v>5675</v>
      </c>
      <c r="I182" s="70" t="s">
        <v>5706</v>
      </c>
      <c r="J182" s="70" t="s">
        <v>5677</v>
      </c>
      <c r="K182" s="70" t="s">
        <v>6216</v>
      </c>
      <c r="L182" s="72">
        <v>45365</v>
      </c>
      <c r="M182" s="70" t="s">
        <v>6216</v>
      </c>
      <c r="N182" s="72">
        <v>45365</v>
      </c>
      <c r="O182" s="70" t="s">
        <v>6216</v>
      </c>
      <c r="P182" s="72">
        <v>45365</v>
      </c>
      <c r="Q182" s="70" t="s">
        <v>1859</v>
      </c>
      <c r="R182" s="72">
        <v>46101</v>
      </c>
      <c r="S182" s="70">
        <f t="shared" si="8"/>
        <v>736</v>
      </c>
      <c r="T182" s="70">
        <f t="shared" si="9"/>
        <v>736</v>
      </c>
      <c r="U182" s="70">
        <f t="shared" si="10"/>
        <v>2.0150581793292264</v>
      </c>
      <c r="V182" s="70">
        <f t="shared" si="11"/>
        <v>4.0604594660816167</v>
      </c>
      <c r="W182" s="70" t="s">
        <v>5679</v>
      </c>
      <c r="X182" s="70" t="s">
        <v>5728</v>
      </c>
      <c r="Y182" s="70"/>
      <c r="Z182" s="70"/>
      <c r="AA182" s="70"/>
      <c r="AB182" s="70" t="s">
        <v>6217</v>
      </c>
      <c r="AC182" s="70"/>
    </row>
    <row r="183" spans="1:29" ht="29" customHeight="1" x14ac:dyDescent="0.2">
      <c r="A183" s="71" t="s">
        <v>6218</v>
      </c>
      <c r="B183" s="71" t="s">
        <v>209</v>
      </c>
      <c r="C183" s="71" t="s">
        <v>5443</v>
      </c>
      <c r="D183" s="71" t="s">
        <v>3595</v>
      </c>
      <c r="E183" s="71" t="s">
        <v>5444</v>
      </c>
      <c r="F183" s="71"/>
      <c r="G183" s="71" t="s">
        <v>6219</v>
      </c>
      <c r="H183" s="71" t="s">
        <v>5675</v>
      </c>
      <c r="I183" s="71" t="s">
        <v>5706</v>
      </c>
      <c r="J183" s="71" t="s">
        <v>5677</v>
      </c>
      <c r="K183" s="71" t="s">
        <v>6216</v>
      </c>
      <c r="L183" s="73">
        <v>45365</v>
      </c>
      <c r="M183" s="71" t="s">
        <v>6216</v>
      </c>
      <c r="N183" s="73">
        <v>45365</v>
      </c>
      <c r="O183" s="71" t="s">
        <v>6216</v>
      </c>
      <c r="P183" s="73">
        <v>45365</v>
      </c>
      <c r="Q183" s="71" t="s">
        <v>1859</v>
      </c>
      <c r="R183" s="73">
        <v>46101</v>
      </c>
      <c r="S183" s="71">
        <f t="shared" si="8"/>
        <v>736</v>
      </c>
      <c r="T183" s="71">
        <f t="shared" si="9"/>
        <v>736</v>
      </c>
      <c r="U183" s="71">
        <f t="shared" si="10"/>
        <v>2.0150581793292264</v>
      </c>
      <c r="V183" s="71">
        <f t="shared" si="11"/>
        <v>4.0604594660816167</v>
      </c>
      <c r="W183" s="71" t="s">
        <v>5679</v>
      </c>
      <c r="X183" s="71" t="s">
        <v>5728</v>
      </c>
      <c r="Y183" s="71"/>
      <c r="Z183" s="71"/>
      <c r="AA183" s="71"/>
      <c r="AB183" s="71" t="s">
        <v>6217</v>
      </c>
      <c r="AC183" s="71"/>
    </row>
    <row r="184" spans="1:29" ht="29" customHeight="1" x14ac:dyDescent="0.2">
      <c r="A184" s="70" t="s">
        <v>6220</v>
      </c>
      <c r="B184" s="70" t="s">
        <v>209</v>
      </c>
      <c r="C184" s="70"/>
      <c r="D184" s="70" t="s">
        <v>5717</v>
      </c>
      <c r="E184" s="70" t="s">
        <v>5444</v>
      </c>
      <c r="F184" s="70"/>
      <c r="G184" s="70" t="s">
        <v>6219</v>
      </c>
      <c r="H184" s="70" t="s">
        <v>5675</v>
      </c>
      <c r="I184" s="70" t="s">
        <v>5091</v>
      </c>
      <c r="J184" s="70" t="s">
        <v>5677</v>
      </c>
      <c r="K184" s="70" t="s">
        <v>6216</v>
      </c>
      <c r="L184" s="72">
        <v>45365</v>
      </c>
      <c r="M184" s="70" t="s">
        <v>6216</v>
      </c>
      <c r="N184" s="72">
        <v>45365</v>
      </c>
      <c r="O184" s="70" t="s">
        <v>6216</v>
      </c>
      <c r="P184" s="72">
        <v>45365</v>
      </c>
      <c r="Q184" s="70" t="s">
        <v>1859</v>
      </c>
      <c r="R184" s="72">
        <v>46101</v>
      </c>
      <c r="S184" s="70">
        <f t="shared" si="8"/>
        <v>736</v>
      </c>
      <c r="T184" s="70">
        <f t="shared" si="9"/>
        <v>736</v>
      </c>
      <c r="U184" s="70">
        <f t="shared" si="10"/>
        <v>2.0150581793292264</v>
      </c>
      <c r="V184" s="70">
        <f t="shared" si="11"/>
        <v>4.0604594660816167</v>
      </c>
      <c r="W184" s="70" t="s">
        <v>5679</v>
      </c>
      <c r="X184" s="70" t="s">
        <v>5728</v>
      </c>
      <c r="Y184" s="70"/>
      <c r="Z184" s="70"/>
      <c r="AA184" s="70"/>
      <c r="AB184" s="70" t="s">
        <v>5111</v>
      </c>
      <c r="AC184" s="70"/>
    </row>
    <row r="185" spans="1:29" ht="29" customHeight="1" x14ac:dyDescent="0.2">
      <c r="A185" s="71" t="s">
        <v>6221</v>
      </c>
      <c r="B185" s="71" t="s">
        <v>212</v>
      </c>
      <c r="C185" s="71" t="s">
        <v>5445</v>
      </c>
      <c r="D185" s="71" t="s">
        <v>3595</v>
      </c>
      <c r="E185" s="71" t="s">
        <v>5446</v>
      </c>
      <c r="F185" s="71"/>
      <c r="G185" s="71" t="s">
        <v>6222</v>
      </c>
      <c r="H185" s="71" t="s">
        <v>5675</v>
      </c>
      <c r="I185" s="71" t="s">
        <v>5706</v>
      </c>
      <c r="J185" s="71" t="s">
        <v>5793</v>
      </c>
      <c r="K185" s="71"/>
      <c r="L185" s="73"/>
      <c r="M185" s="71"/>
      <c r="N185" s="73"/>
      <c r="O185" s="71" t="s">
        <v>6223</v>
      </c>
      <c r="P185" s="73">
        <v>44714</v>
      </c>
      <c r="Q185" s="71" t="s">
        <v>1859</v>
      </c>
      <c r="R185" s="73">
        <v>46101</v>
      </c>
      <c r="S185" s="71">
        <f t="shared" si="8"/>
        <v>1387</v>
      </c>
      <c r="T185" s="71" t="str">
        <f t="shared" si="9"/>
        <v/>
      </c>
      <c r="U185" s="71">
        <f t="shared" si="10"/>
        <v>3.7973990417522243</v>
      </c>
      <c r="V185" s="71">
        <f t="shared" si="11"/>
        <v>14.420239482300712</v>
      </c>
      <c r="W185" s="71" t="s">
        <v>5795</v>
      </c>
      <c r="X185" s="71" t="s">
        <v>5728</v>
      </c>
      <c r="Y185" s="71"/>
      <c r="Z185" s="71"/>
      <c r="AA185" s="71"/>
      <c r="AB185" s="71" t="s">
        <v>6224</v>
      </c>
      <c r="AC185" s="71"/>
    </row>
    <row r="186" spans="1:29" ht="29" customHeight="1" x14ac:dyDescent="0.2">
      <c r="A186" s="70" t="s">
        <v>6225</v>
      </c>
      <c r="B186" s="70" t="s">
        <v>212</v>
      </c>
      <c r="C186" s="70" t="s">
        <v>5448</v>
      </c>
      <c r="D186" s="70" t="s">
        <v>3595</v>
      </c>
      <c r="E186" s="70" t="s">
        <v>5449</v>
      </c>
      <c r="F186" s="70"/>
      <c r="G186" s="70" t="s">
        <v>6226</v>
      </c>
      <c r="H186" s="70" t="s">
        <v>5675</v>
      </c>
      <c r="I186" s="70" t="s">
        <v>5706</v>
      </c>
      <c r="J186" s="70" t="s">
        <v>5697</v>
      </c>
      <c r="K186" s="70"/>
      <c r="L186" s="72"/>
      <c r="M186" s="70" t="s">
        <v>6227</v>
      </c>
      <c r="N186" s="72">
        <v>44767</v>
      </c>
      <c r="O186" s="70" t="s">
        <v>6228</v>
      </c>
      <c r="P186" s="72">
        <v>45243</v>
      </c>
      <c r="Q186" s="70" t="s">
        <v>1859</v>
      </c>
      <c r="R186" s="72">
        <v>46101</v>
      </c>
      <c r="S186" s="70">
        <f t="shared" si="8"/>
        <v>858</v>
      </c>
      <c r="T186" s="70">
        <f t="shared" si="9"/>
        <v>1334</v>
      </c>
      <c r="U186" s="70">
        <f t="shared" si="10"/>
        <v>2.3490759753593431</v>
      </c>
      <c r="V186" s="70">
        <f t="shared" si="11"/>
        <v>5.5181579380104493</v>
      </c>
      <c r="W186" s="70" t="s">
        <v>6229</v>
      </c>
      <c r="X186" s="70" t="s">
        <v>5701</v>
      </c>
      <c r="Y186" s="70" t="s">
        <v>6228</v>
      </c>
      <c r="Z186" s="70" t="s">
        <v>5682</v>
      </c>
      <c r="AA186" s="70"/>
      <c r="AB186" s="70" t="s">
        <v>6230</v>
      </c>
      <c r="AC186" s="70" t="s">
        <v>6231</v>
      </c>
    </row>
    <row r="187" spans="1:29" ht="29" customHeight="1" x14ac:dyDescent="0.2">
      <c r="A187" s="71" t="s">
        <v>6232</v>
      </c>
      <c r="B187" s="71" t="s">
        <v>212</v>
      </c>
      <c r="C187" s="71" t="s">
        <v>5450</v>
      </c>
      <c r="D187" s="71" t="s">
        <v>3595</v>
      </c>
      <c r="E187" s="71" t="s">
        <v>5451</v>
      </c>
      <c r="F187" s="71"/>
      <c r="G187" s="71" t="s">
        <v>6233</v>
      </c>
      <c r="H187" s="71" t="s">
        <v>5675</v>
      </c>
      <c r="I187" s="71" t="s">
        <v>5876</v>
      </c>
      <c r="J187" s="71" t="s">
        <v>5677</v>
      </c>
      <c r="K187" s="71" t="s">
        <v>6234</v>
      </c>
      <c r="L187" s="73">
        <v>45223</v>
      </c>
      <c r="M187" s="71" t="s">
        <v>6234</v>
      </c>
      <c r="N187" s="73">
        <v>45223</v>
      </c>
      <c r="O187" s="71" t="s">
        <v>6234</v>
      </c>
      <c r="P187" s="73">
        <v>45223</v>
      </c>
      <c r="Q187" s="71" t="s">
        <v>1859</v>
      </c>
      <c r="R187" s="73">
        <v>46101</v>
      </c>
      <c r="S187" s="71">
        <f t="shared" si="8"/>
        <v>878</v>
      </c>
      <c r="T187" s="71">
        <f t="shared" si="9"/>
        <v>878</v>
      </c>
      <c r="U187" s="71">
        <f t="shared" si="10"/>
        <v>2.4038329911019849</v>
      </c>
      <c r="V187" s="71">
        <f t="shared" si="11"/>
        <v>5.7784130491103154</v>
      </c>
      <c r="W187" s="71" t="s">
        <v>5679</v>
      </c>
      <c r="X187" s="71" t="s">
        <v>5680</v>
      </c>
      <c r="Y187" s="71" t="s">
        <v>6235</v>
      </c>
      <c r="Z187" s="71" t="s">
        <v>5682</v>
      </c>
      <c r="AA187" s="71"/>
      <c r="AB187" s="71" t="s">
        <v>6236</v>
      </c>
      <c r="AC187" s="71" t="s">
        <v>6237</v>
      </c>
    </row>
    <row r="188" spans="1:29" ht="29" customHeight="1" x14ac:dyDescent="0.2">
      <c r="A188" s="70" t="s">
        <v>6238</v>
      </c>
      <c r="B188" s="70" t="s">
        <v>212</v>
      </c>
      <c r="C188" s="70" t="s">
        <v>5450</v>
      </c>
      <c r="D188" s="70" t="s">
        <v>5686</v>
      </c>
      <c r="E188" s="70" t="s">
        <v>5451</v>
      </c>
      <c r="F188" s="70" t="s">
        <v>5451</v>
      </c>
      <c r="G188" s="70" t="s">
        <v>6233</v>
      </c>
      <c r="H188" s="70" t="s">
        <v>5675</v>
      </c>
      <c r="I188" s="70" t="s">
        <v>5096</v>
      </c>
      <c r="J188" s="70" t="s">
        <v>5677</v>
      </c>
      <c r="K188" s="70" t="s">
        <v>6234</v>
      </c>
      <c r="L188" s="72">
        <v>45223</v>
      </c>
      <c r="M188" s="70" t="s">
        <v>6234</v>
      </c>
      <c r="N188" s="72">
        <v>45223</v>
      </c>
      <c r="O188" s="70" t="s">
        <v>6234</v>
      </c>
      <c r="P188" s="72">
        <v>45223</v>
      </c>
      <c r="Q188" s="70" t="s">
        <v>1859</v>
      </c>
      <c r="R188" s="72">
        <v>46101</v>
      </c>
      <c r="S188" s="70">
        <f t="shared" si="8"/>
        <v>878</v>
      </c>
      <c r="T188" s="70">
        <f t="shared" si="9"/>
        <v>878</v>
      </c>
      <c r="U188" s="70">
        <f t="shared" si="10"/>
        <v>2.4038329911019849</v>
      </c>
      <c r="V188" s="70">
        <f t="shared" si="11"/>
        <v>5.7784130491103154</v>
      </c>
      <c r="W188" s="70" t="s">
        <v>5679</v>
      </c>
      <c r="X188" s="70" t="s">
        <v>5687</v>
      </c>
      <c r="Y188" s="70"/>
      <c r="Z188" s="70"/>
      <c r="AA188" s="70"/>
      <c r="AB188" s="70"/>
      <c r="AC188" s="70"/>
    </row>
    <row r="189" spans="1:29" ht="29" customHeight="1" x14ac:dyDescent="0.2">
      <c r="A189" s="71" t="s">
        <v>6239</v>
      </c>
      <c r="B189" s="71" t="s">
        <v>212</v>
      </c>
      <c r="C189" s="71" t="s">
        <v>5452</v>
      </c>
      <c r="D189" s="71" t="s">
        <v>3595</v>
      </c>
      <c r="E189" s="71" t="s">
        <v>5453</v>
      </c>
      <c r="F189" s="71"/>
      <c r="G189" s="71" t="s">
        <v>6240</v>
      </c>
      <c r="H189" s="71" t="s">
        <v>5675</v>
      </c>
      <c r="I189" s="71" t="s">
        <v>5706</v>
      </c>
      <c r="J189" s="71" t="s">
        <v>5677</v>
      </c>
      <c r="K189" s="71" t="s">
        <v>6241</v>
      </c>
      <c r="L189" s="73">
        <v>45668</v>
      </c>
      <c r="M189" s="71" t="s">
        <v>6241</v>
      </c>
      <c r="N189" s="73">
        <v>45668</v>
      </c>
      <c r="O189" s="71" t="s">
        <v>6241</v>
      </c>
      <c r="P189" s="73">
        <v>45668</v>
      </c>
      <c r="Q189" s="71" t="s">
        <v>1859</v>
      </c>
      <c r="R189" s="73">
        <v>46101</v>
      </c>
      <c r="S189" s="71">
        <f t="shared" si="8"/>
        <v>433</v>
      </c>
      <c r="T189" s="71">
        <f t="shared" si="9"/>
        <v>433</v>
      </c>
      <c r="U189" s="71">
        <f t="shared" si="10"/>
        <v>1.1854893908281998</v>
      </c>
      <c r="V189" s="71">
        <f t="shared" si="11"/>
        <v>1.4053850957662164</v>
      </c>
      <c r="W189" s="71" t="s">
        <v>5679</v>
      </c>
      <c r="X189" s="71" t="s">
        <v>5680</v>
      </c>
      <c r="Y189" s="71" t="s">
        <v>6241</v>
      </c>
      <c r="Z189" s="71" t="s">
        <v>5682</v>
      </c>
      <c r="AA189" s="71"/>
      <c r="AB189" s="71" t="s">
        <v>6242</v>
      </c>
      <c r="AC189" s="71" t="s">
        <v>6243</v>
      </c>
    </row>
    <row r="190" spans="1:29" ht="29" customHeight="1" x14ac:dyDescent="0.2">
      <c r="A190" s="70" t="s">
        <v>6244</v>
      </c>
      <c r="B190" s="70" t="s">
        <v>212</v>
      </c>
      <c r="C190" s="70" t="s">
        <v>5454</v>
      </c>
      <c r="D190" s="70" t="s">
        <v>3595</v>
      </c>
      <c r="E190" s="70" t="s">
        <v>5455</v>
      </c>
      <c r="F190" s="70"/>
      <c r="G190" s="70" t="s">
        <v>6245</v>
      </c>
      <c r="H190" s="70" t="s">
        <v>5675</v>
      </c>
      <c r="I190" s="70" t="s">
        <v>5690</v>
      </c>
      <c r="J190" s="70" t="s">
        <v>5677</v>
      </c>
      <c r="K190" s="70" t="s">
        <v>6228</v>
      </c>
      <c r="L190" s="72">
        <v>45243</v>
      </c>
      <c r="M190" s="70" t="s">
        <v>6228</v>
      </c>
      <c r="N190" s="72">
        <v>45243</v>
      </c>
      <c r="O190" s="70" t="s">
        <v>6228</v>
      </c>
      <c r="P190" s="72">
        <v>45243</v>
      </c>
      <c r="Q190" s="70" t="s">
        <v>1859</v>
      </c>
      <c r="R190" s="72">
        <v>46101</v>
      </c>
      <c r="S190" s="70">
        <f t="shared" si="8"/>
        <v>858</v>
      </c>
      <c r="T190" s="70">
        <f t="shared" si="9"/>
        <v>858</v>
      </c>
      <c r="U190" s="70">
        <f t="shared" si="10"/>
        <v>2.3490759753593431</v>
      </c>
      <c r="V190" s="70">
        <f t="shared" si="11"/>
        <v>5.5181579380104493</v>
      </c>
      <c r="W190" s="70" t="s">
        <v>5679</v>
      </c>
      <c r="X190" s="70" t="s">
        <v>5680</v>
      </c>
      <c r="Y190" s="70" t="s">
        <v>6228</v>
      </c>
      <c r="Z190" s="70" t="s">
        <v>5682</v>
      </c>
      <c r="AA190" s="70"/>
      <c r="AB190" s="70" t="s">
        <v>6246</v>
      </c>
      <c r="AC190" s="70" t="s">
        <v>6247</v>
      </c>
    </row>
    <row r="191" spans="1:29" ht="29" customHeight="1" x14ac:dyDescent="0.2">
      <c r="A191" s="71" t="s">
        <v>6248</v>
      </c>
      <c r="B191" s="71" t="s">
        <v>212</v>
      </c>
      <c r="C191" s="71"/>
      <c r="D191" s="71" t="s">
        <v>5717</v>
      </c>
      <c r="E191" s="71" t="s">
        <v>5449</v>
      </c>
      <c r="F191" s="71"/>
      <c r="G191" s="71" t="s">
        <v>6226</v>
      </c>
      <c r="H191" s="71" t="s">
        <v>5675</v>
      </c>
      <c r="I191" s="71" t="s">
        <v>5091</v>
      </c>
      <c r="J191" s="71" t="s">
        <v>5677</v>
      </c>
      <c r="K191" s="71" t="s">
        <v>6249</v>
      </c>
      <c r="L191" s="73">
        <v>45172</v>
      </c>
      <c r="M191" s="71" t="s">
        <v>6249</v>
      </c>
      <c r="N191" s="73">
        <v>45172</v>
      </c>
      <c r="O191" s="71" t="s">
        <v>6249</v>
      </c>
      <c r="P191" s="73">
        <v>45172</v>
      </c>
      <c r="Q191" s="71" t="s">
        <v>1859</v>
      </c>
      <c r="R191" s="73">
        <v>46101</v>
      </c>
      <c r="S191" s="71">
        <f t="shared" si="8"/>
        <v>929</v>
      </c>
      <c r="T191" s="71">
        <f t="shared" si="9"/>
        <v>929</v>
      </c>
      <c r="U191" s="71">
        <f t="shared" si="10"/>
        <v>2.5434633812457221</v>
      </c>
      <c r="V191" s="71">
        <f t="shared" si="11"/>
        <v>6.4692059717379218</v>
      </c>
      <c r="W191" s="71" t="s">
        <v>5679</v>
      </c>
      <c r="X191" s="71" t="s">
        <v>5728</v>
      </c>
      <c r="Y191" s="71"/>
      <c r="Z191" s="71"/>
      <c r="AA191" s="71"/>
      <c r="AB191" s="71" t="s">
        <v>5111</v>
      </c>
      <c r="AC191" s="71"/>
    </row>
    <row r="192" spans="1:29" ht="29" customHeight="1" x14ac:dyDescent="0.2">
      <c r="A192" s="70" t="s">
        <v>6250</v>
      </c>
      <c r="B192" s="70" t="s">
        <v>24</v>
      </c>
      <c r="C192" s="70" t="s">
        <v>5456</v>
      </c>
      <c r="D192" s="70" t="s">
        <v>3595</v>
      </c>
      <c r="E192" s="70"/>
      <c r="F192" s="70"/>
      <c r="G192" s="70"/>
      <c r="H192" s="70"/>
      <c r="I192" s="70"/>
      <c r="J192" s="70" t="s">
        <v>2016</v>
      </c>
      <c r="K192" s="70"/>
      <c r="L192" s="72"/>
      <c r="M192" s="70"/>
      <c r="N192" s="72"/>
      <c r="O192" s="70"/>
      <c r="P192" s="72"/>
      <c r="Q192" s="70" t="s">
        <v>1859</v>
      </c>
      <c r="R192" s="72">
        <v>46101</v>
      </c>
      <c r="S192" s="70" t="str">
        <f t="shared" si="8"/>
        <v/>
      </c>
      <c r="T192" s="70" t="str">
        <f t="shared" si="9"/>
        <v/>
      </c>
      <c r="U192" s="70" t="str">
        <f t="shared" si="10"/>
        <v/>
      </c>
      <c r="V192" s="70" t="str">
        <f t="shared" si="11"/>
        <v/>
      </c>
      <c r="W192" s="70" t="s">
        <v>6251</v>
      </c>
      <c r="X192" s="70" t="s">
        <v>6252</v>
      </c>
      <c r="Y192" s="70"/>
      <c r="Z192" s="70"/>
      <c r="AA192" s="70"/>
      <c r="AB192" s="70"/>
      <c r="AC192" s="70"/>
    </row>
    <row r="193" spans="1:29" ht="29" customHeight="1" x14ac:dyDescent="0.2">
      <c r="A193" s="71" t="s">
        <v>6253</v>
      </c>
      <c r="B193" s="71" t="s">
        <v>28</v>
      </c>
      <c r="C193" s="71" t="s">
        <v>5459</v>
      </c>
      <c r="D193" s="71" t="s">
        <v>3595</v>
      </c>
      <c r="E193" s="71" t="s">
        <v>5121</v>
      </c>
      <c r="F193" s="71" t="s">
        <v>5120</v>
      </c>
      <c r="G193" s="71"/>
      <c r="H193" s="71" t="s">
        <v>5721</v>
      </c>
      <c r="I193" s="71" t="s">
        <v>5690</v>
      </c>
      <c r="J193" s="71" t="s">
        <v>2016</v>
      </c>
      <c r="K193" s="71"/>
      <c r="L193" s="73"/>
      <c r="M193" s="71"/>
      <c r="N193" s="73"/>
      <c r="O193" s="71"/>
      <c r="P193" s="73"/>
      <c r="Q193" s="71" t="s">
        <v>4364</v>
      </c>
      <c r="R193" s="73">
        <v>45829</v>
      </c>
      <c r="S193" s="71" t="str">
        <f t="shared" si="8"/>
        <v/>
      </c>
      <c r="T193" s="71" t="str">
        <f t="shared" si="9"/>
        <v/>
      </c>
      <c r="U193" s="71" t="str">
        <f t="shared" si="10"/>
        <v/>
      </c>
      <c r="V193" s="71" t="str">
        <f t="shared" si="11"/>
        <v/>
      </c>
      <c r="W193" s="71" t="s">
        <v>5722</v>
      </c>
      <c r="X193" s="71" t="s">
        <v>2274</v>
      </c>
      <c r="Y193" s="71"/>
      <c r="Z193" s="71"/>
      <c r="AA193" s="71"/>
      <c r="AB193" s="71" t="s">
        <v>6254</v>
      </c>
      <c r="AC193" s="71" t="s">
        <v>5724</v>
      </c>
    </row>
    <row r="194" spans="1:29" ht="29" customHeight="1" x14ac:dyDescent="0.2">
      <c r="A194" s="70" t="s">
        <v>6255</v>
      </c>
      <c r="B194" s="70" t="s">
        <v>28</v>
      </c>
      <c r="C194" s="70" t="s">
        <v>5461</v>
      </c>
      <c r="D194" s="70" t="s">
        <v>3595</v>
      </c>
      <c r="E194" s="70" t="s">
        <v>5121</v>
      </c>
      <c r="F194" s="70" t="s">
        <v>5462</v>
      </c>
      <c r="G194" s="70"/>
      <c r="H194" s="70" t="s">
        <v>5721</v>
      </c>
      <c r="I194" s="70" t="s">
        <v>5676</v>
      </c>
      <c r="J194" s="70" t="s">
        <v>2016</v>
      </c>
      <c r="K194" s="70"/>
      <c r="L194" s="72"/>
      <c r="M194" s="70"/>
      <c r="N194" s="72"/>
      <c r="O194" s="70"/>
      <c r="P194" s="72"/>
      <c r="Q194" s="70" t="s">
        <v>4364</v>
      </c>
      <c r="R194" s="72">
        <v>45829</v>
      </c>
      <c r="S194" s="70" t="str">
        <f t="shared" si="8"/>
        <v/>
      </c>
      <c r="T194" s="70" t="str">
        <f t="shared" si="9"/>
        <v/>
      </c>
      <c r="U194" s="70" t="str">
        <f t="shared" si="10"/>
        <v/>
      </c>
      <c r="V194" s="70" t="str">
        <f t="shared" si="11"/>
        <v/>
      </c>
      <c r="W194" s="70" t="s">
        <v>5722</v>
      </c>
      <c r="X194" s="70" t="s">
        <v>2274</v>
      </c>
      <c r="Y194" s="70"/>
      <c r="Z194" s="70"/>
      <c r="AA194" s="70"/>
      <c r="AB194" s="70" t="s">
        <v>6254</v>
      </c>
      <c r="AC194" s="70" t="s">
        <v>5724</v>
      </c>
    </row>
    <row r="195" spans="1:29" ht="29" customHeight="1" x14ac:dyDescent="0.2">
      <c r="A195" s="71" t="s">
        <v>6256</v>
      </c>
      <c r="B195" s="71" t="s">
        <v>28</v>
      </c>
      <c r="C195" s="71" t="s">
        <v>5461</v>
      </c>
      <c r="D195" s="71" t="s">
        <v>5686</v>
      </c>
      <c r="E195" s="71" t="s">
        <v>5462</v>
      </c>
      <c r="F195" s="71" t="s">
        <v>5462</v>
      </c>
      <c r="G195" s="71"/>
      <c r="H195" s="71" t="s">
        <v>6257</v>
      </c>
      <c r="I195" s="71" t="s">
        <v>5096</v>
      </c>
      <c r="J195" s="71" t="s">
        <v>5793</v>
      </c>
      <c r="K195" s="71"/>
      <c r="L195" s="73"/>
      <c r="M195" s="71"/>
      <c r="N195" s="73"/>
      <c r="O195" s="71" t="s">
        <v>6258</v>
      </c>
      <c r="P195" s="73">
        <v>44832</v>
      </c>
      <c r="Q195" s="71" t="s">
        <v>4364</v>
      </c>
      <c r="R195" s="73">
        <v>45829</v>
      </c>
      <c r="S195" s="71">
        <f t="shared" si="8"/>
        <v>997</v>
      </c>
      <c r="T195" s="71" t="str">
        <f t="shared" si="9"/>
        <v/>
      </c>
      <c r="U195" s="71">
        <f t="shared" si="10"/>
        <v>2.729637234770705</v>
      </c>
      <c r="V195" s="71">
        <f t="shared" si="11"/>
        <v>7.4509194334466606</v>
      </c>
      <c r="W195" s="71" t="s">
        <v>5795</v>
      </c>
      <c r="X195" s="71" t="s">
        <v>6259</v>
      </c>
      <c r="Y195" s="71"/>
      <c r="Z195" s="71"/>
      <c r="AA195" s="71"/>
      <c r="AB195" s="71"/>
      <c r="AC195" s="71"/>
    </row>
    <row r="196" spans="1:29" ht="29" customHeight="1" x14ac:dyDescent="0.2">
      <c r="A196" s="70" t="s">
        <v>6260</v>
      </c>
      <c r="B196" s="70" t="s">
        <v>28</v>
      </c>
      <c r="C196" s="70" t="s">
        <v>5463</v>
      </c>
      <c r="D196" s="70" t="s">
        <v>3595</v>
      </c>
      <c r="E196" s="70" t="s">
        <v>5121</v>
      </c>
      <c r="F196" s="70" t="s">
        <v>5124</v>
      </c>
      <c r="G196" s="70"/>
      <c r="H196" s="70" t="s">
        <v>5721</v>
      </c>
      <c r="I196" s="70" t="s">
        <v>5706</v>
      </c>
      <c r="J196" s="70" t="s">
        <v>2016</v>
      </c>
      <c r="K196" s="70"/>
      <c r="L196" s="72"/>
      <c r="M196" s="70"/>
      <c r="N196" s="72"/>
      <c r="O196" s="70"/>
      <c r="P196" s="72"/>
      <c r="Q196" s="70" t="s">
        <v>4364</v>
      </c>
      <c r="R196" s="72">
        <v>45829</v>
      </c>
      <c r="S196" s="70" t="str">
        <f t="shared" ref="S196:S259" si="12">IF(OR(J196="UNKNOWN",R196=""),"",R196-IF(J196="EXACT",L196,P196))</f>
        <v/>
      </c>
      <c r="T196" s="70" t="str">
        <f t="shared" ref="T196:T206" si="13">IF(J196="EXACT",R196-L196,IF(J196="INTERVAL",R196-N196,""))</f>
        <v/>
      </c>
      <c r="U196" s="70" t="str">
        <f t="shared" ref="U196:U206" si="14">IF(S196="","",S196/365.25)</f>
        <v/>
      </c>
      <c r="V196" s="70" t="str">
        <f t="shared" ref="V196:V259" si="15">IF(U196="","",U196^2)</f>
        <v/>
      </c>
      <c r="W196" s="70" t="s">
        <v>5722</v>
      </c>
      <c r="X196" s="70" t="s">
        <v>2274</v>
      </c>
      <c r="Y196" s="70"/>
      <c r="Z196" s="70"/>
      <c r="AA196" s="70"/>
      <c r="AB196" s="70" t="s">
        <v>6254</v>
      </c>
      <c r="AC196" s="70" t="s">
        <v>5724</v>
      </c>
    </row>
    <row r="197" spans="1:29" ht="29" customHeight="1" x14ac:dyDescent="0.2">
      <c r="A197" s="71" t="s">
        <v>6261</v>
      </c>
      <c r="B197" s="71" t="s">
        <v>28</v>
      </c>
      <c r="C197" s="71" t="s">
        <v>5464</v>
      </c>
      <c r="D197" s="71" t="s">
        <v>3595</v>
      </c>
      <c r="E197" s="71" t="s">
        <v>5121</v>
      </c>
      <c r="F197" s="71" t="s">
        <v>5465</v>
      </c>
      <c r="G197" s="71"/>
      <c r="H197" s="71" t="s">
        <v>5721</v>
      </c>
      <c r="I197" s="71" t="s">
        <v>5696</v>
      </c>
      <c r="J197" s="71" t="s">
        <v>2016</v>
      </c>
      <c r="K197" s="71"/>
      <c r="L197" s="73"/>
      <c r="M197" s="71"/>
      <c r="N197" s="73"/>
      <c r="O197" s="71"/>
      <c r="P197" s="73"/>
      <c r="Q197" s="71" t="s">
        <v>4364</v>
      </c>
      <c r="R197" s="73">
        <v>45829</v>
      </c>
      <c r="S197" s="71" t="str">
        <f t="shared" si="12"/>
        <v/>
      </c>
      <c r="T197" s="71" t="str">
        <f t="shared" si="13"/>
        <v/>
      </c>
      <c r="U197" s="71" t="str">
        <f t="shared" si="14"/>
        <v/>
      </c>
      <c r="V197" s="71" t="str">
        <f t="shared" si="15"/>
        <v/>
      </c>
      <c r="W197" s="71" t="s">
        <v>5722</v>
      </c>
      <c r="X197" s="71" t="s">
        <v>2274</v>
      </c>
      <c r="Y197" s="71"/>
      <c r="Z197" s="71"/>
      <c r="AA197" s="71"/>
      <c r="AB197" s="71" t="s">
        <v>6254</v>
      </c>
      <c r="AC197" s="71" t="s">
        <v>5724</v>
      </c>
    </row>
    <row r="198" spans="1:29" ht="29" customHeight="1" x14ac:dyDescent="0.2">
      <c r="A198" s="70" t="s">
        <v>6262</v>
      </c>
      <c r="B198" s="70" t="s">
        <v>28</v>
      </c>
      <c r="C198" s="70" t="s">
        <v>5466</v>
      </c>
      <c r="D198" s="70" t="s">
        <v>3595</v>
      </c>
      <c r="E198" s="70" t="s">
        <v>5121</v>
      </c>
      <c r="F198" s="70" t="s">
        <v>5467</v>
      </c>
      <c r="G198" s="70"/>
      <c r="H198" s="70" t="s">
        <v>5721</v>
      </c>
      <c r="I198" s="70" t="s">
        <v>5696</v>
      </c>
      <c r="J198" s="70" t="s">
        <v>2016</v>
      </c>
      <c r="K198" s="70"/>
      <c r="L198" s="72"/>
      <c r="M198" s="70"/>
      <c r="N198" s="72"/>
      <c r="O198" s="70"/>
      <c r="P198" s="72"/>
      <c r="Q198" s="70" t="s">
        <v>4364</v>
      </c>
      <c r="R198" s="72">
        <v>45829</v>
      </c>
      <c r="S198" s="70" t="str">
        <f t="shared" si="12"/>
        <v/>
      </c>
      <c r="T198" s="70" t="str">
        <f t="shared" si="13"/>
        <v/>
      </c>
      <c r="U198" s="70" t="str">
        <f t="shared" si="14"/>
        <v/>
      </c>
      <c r="V198" s="70" t="str">
        <f t="shared" si="15"/>
        <v/>
      </c>
      <c r="W198" s="70" t="s">
        <v>5722</v>
      </c>
      <c r="X198" s="70" t="s">
        <v>2274</v>
      </c>
      <c r="Y198" s="70"/>
      <c r="Z198" s="70"/>
      <c r="AA198" s="70"/>
      <c r="AB198" s="70" t="s">
        <v>6263</v>
      </c>
      <c r="AC198" s="70" t="s">
        <v>5724</v>
      </c>
    </row>
    <row r="199" spans="1:29" ht="20" customHeight="1" x14ac:dyDescent="0.2">
      <c r="A199" s="71" t="s">
        <v>6264</v>
      </c>
      <c r="B199" s="71" t="s">
        <v>28</v>
      </c>
      <c r="C199" s="71"/>
      <c r="D199" s="71" t="s">
        <v>5717</v>
      </c>
      <c r="E199" s="71"/>
      <c r="F199" s="71"/>
      <c r="G199" s="71"/>
      <c r="H199" s="71"/>
      <c r="I199" s="71"/>
      <c r="J199" s="71" t="s">
        <v>2016</v>
      </c>
      <c r="K199" s="71"/>
      <c r="L199" s="73"/>
      <c r="M199" s="71"/>
      <c r="N199" s="73"/>
      <c r="O199" s="71"/>
      <c r="P199" s="73"/>
      <c r="Q199" s="71" t="s">
        <v>4364</v>
      </c>
      <c r="R199" s="73">
        <v>45829</v>
      </c>
      <c r="S199" s="71" t="str">
        <f t="shared" si="12"/>
        <v/>
      </c>
      <c r="T199" s="71" t="str">
        <f t="shared" si="13"/>
        <v/>
      </c>
      <c r="U199" s="71" t="str">
        <f t="shared" si="14"/>
        <v/>
      </c>
      <c r="V199" s="71" t="str">
        <f t="shared" si="15"/>
        <v/>
      </c>
      <c r="W199" s="71" t="s">
        <v>6265</v>
      </c>
      <c r="X199" s="71"/>
      <c r="Y199" s="71"/>
      <c r="Z199" s="71"/>
      <c r="AA199" s="71"/>
      <c r="AB199" s="71"/>
      <c r="AC199" s="71"/>
    </row>
    <row r="200" spans="1:29" ht="29" customHeight="1" x14ac:dyDescent="0.2">
      <c r="A200" s="70" t="s">
        <v>6266</v>
      </c>
      <c r="B200" s="70" t="s">
        <v>222</v>
      </c>
      <c r="C200" s="70" t="s">
        <v>5468</v>
      </c>
      <c r="D200" s="70" t="s">
        <v>3595</v>
      </c>
      <c r="E200" s="70" t="s">
        <v>2894</v>
      </c>
      <c r="F200" s="70" t="s">
        <v>2895</v>
      </c>
      <c r="G200" s="70" t="s">
        <v>6267</v>
      </c>
      <c r="H200" s="70" t="s">
        <v>5675</v>
      </c>
      <c r="I200" s="70" t="s">
        <v>5690</v>
      </c>
      <c r="J200" s="70" t="s">
        <v>5677</v>
      </c>
      <c r="K200" s="70" t="s">
        <v>3113</v>
      </c>
      <c r="L200" s="72">
        <v>45705</v>
      </c>
      <c r="M200" s="70" t="s">
        <v>3113</v>
      </c>
      <c r="N200" s="72">
        <v>45705</v>
      </c>
      <c r="O200" s="70" t="s">
        <v>3113</v>
      </c>
      <c r="P200" s="72">
        <v>45705</v>
      </c>
      <c r="Q200" s="70" t="s">
        <v>3879</v>
      </c>
      <c r="R200" s="72">
        <v>45922</v>
      </c>
      <c r="S200" s="70">
        <f t="shared" si="12"/>
        <v>217</v>
      </c>
      <c r="T200" s="70">
        <f t="shared" si="13"/>
        <v>217</v>
      </c>
      <c r="U200" s="70">
        <f t="shared" si="14"/>
        <v>0.59411362080766594</v>
      </c>
      <c r="V200" s="70">
        <f t="shared" si="15"/>
        <v>0.35297099442919505</v>
      </c>
      <c r="W200" s="70" t="s">
        <v>5679</v>
      </c>
      <c r="X200" s="70" t="s">
        <v>5680</v>
      </c>
      <c r="Y200" s="70" t="s">
        <v>6143</v>
      </c>
      <c r="Z200" s="70" t="s">
        <v>5682</v>
      </c>
      <c r="AA200" s="70"/>
      <c r="AB200" s="70" t="s">
        <v>6268</v>
      </c>
      <c r="AC200" s="70" t="s">
        <v>6269</v>
      </c>
    </row>
    <row r="201" spans="1:29" ht="29" customHeight="1" x14ac:dyDescent="0.2">
      <c r="A201" s="71" t="s">
        <v>6270</v>
      </c>
      <c r="B201" s="71" t="s">
        <v>222</v>
      </c>
      <c r="C201" s="71" t="s">
        <v>5470</v>
      </c>
      <c r="D201" s="71" t="s">
        <v>3595</v>
      </c>
      <c r="E201" s="71" t="s">
        <v>5471</v>
      </c>
      <c r="F201" s="71" t="s">
        <v>2904</v>
      </c>
      <c r="G201" s="71" t="s">
        <v>6271</v>
      </c>
      <c r="H201" s="71" t="s">
        <v>5675</v>
      </c>
      <c r="I201" s="71" t="s">
        <v>5696</v>
      </c>
      <c r="J201" s="71" t="s">
        <v>5677</v>
      </c>
      <c r="K201" s="71" t="s">
        <v>6272</v>
      </c>
      <c r="L201" s="73">
        <v>45809</v>
      </c>
      <c r="M201" s="71" t="s">
        <v>6272</v>
      </c>
      <c r="N201" s="73">
        <v>45809</v>
      </c>
      <c r="O201" s="71" t="s">
        <v>6272</v>
      </c>
      <c r="P201" s="73">
        <v>45809</v>
      </c>
      <c r="Q201" s="71" t="s">
        <v>3879</v>
      </c>
      <c r="R201" s="73">
        <v>45922</v>
      </c>
      <c r="S201" s="71">
        <f t="shared" si="12"/>
        <v>113</v>
      </c>
      <c r="T201" s="71">
        <f t="shared" si="13"/>
        <v>113</v>
      </c>
      <c r="U201" s="71">
        <f t="shared" si="14"/>
        <v>0.30937713894592744</v>
      </c>
      <c r="V201" s="71">
        <f t="shared" si="15"/>
        <v>9.571421410236769E-2</v>
      </c>
      <c r="W201" s="71" t="s">
        <v>5679</v>
      </c>
      <c r="X201" s="71" t="s">
        <v>5728</v>
      </c>
      <c r="Y201" s="71"/>
      <c r="Z201" s="71"/>
      <c r="AA201" s="71"/>
      <c r="AB201" s="71" t="s">
        <v>6268</v>
      </c>
      <c r="AC201" s="71"/>
    </row>
    <row r="202" spans="1:29" ht="29" customHeight="1" x14ac:dyDescent="0.2">
      <c r="A202" s="70" t="s">
        <v>6273</v>
      </c>
      <c r="B202" s="70" t="s">
        <v>222</v>
      </c>
      <c r="C202" s="70" t="s">
        <v>5472</v>
      </c>
      <c r="D202" s="70" t="s">
        <v>3595</v>
      </c>
      <c r="E202" s="70" t="s">
        <v>223</v>
      </c>
      <c r="F202" s="70" t="s">
        <v>2907</v>
      </c>
      <c r="G202" s="70" t="s">
        <v>6274</v>
      </c>
      <c r="H202" s="70" t="s">
        <v>5675</v>
      </c>
      <c r="I202" s="70" t="s">
        <v>5676</v>
      </c>
      <c r="J202" s="70" t="s">
        <v>5677</v>
      </c>
      <c r="K202" s="70" t="s">
        <v>3113</v>
      </c>
      <c r="L202" s="72">
        <v>45705</v>
      </c>
      <c r="M202" s="70" t="s">
        <v>3113</v>
      </c>
      <c r="N202" s="72">
        <v>45705</v>
      </c>
      <c r="O202" s="70" t="s">
        <v>3113</v>
      </c>
      <c r="P202" s="72">
        <v>45705</v>
      </c>
      <c r="Q202" s="70" t="s">
        <v>3879</v>
      </c>
      <c r="R202" s="72">
        <v>45922</v>
      </c>
      <c r="S202" s="70">
        <f t="shared" si="12"/>
        <v>217</v>
      </c>
      <c r="T202" s="70">
        <f t="shared" si="13"/>
        <v>217</v>
      </c>
      <c r="U202" s="70">
        <f t="shared" si="14"/>
        <v>0.59411362080766594</v>
      </c>
      <c r="V202" s="70">
        <f t="shared" si="15"/>
        <v>0.35297099442919505</v>
      </c>
      <c r="W202" s="70" t="s">
        <v>5679</v>
      </c>
      <c r="X202" s="70" t="s">
        <v>5680</v>
      </c>
      <c r="Y202" s="70" t="s">
        <v>3113</v>
      </c>
      <c r="Z202" s="70" t="s">
        <v>5682</v>
      </c>
      <c r="AA202" s="70"/>
      <c r="AB202" s="70" t="s">
        <v>6268</v>
      </c>
      <c r="AC202" s="70" t="s">
        <v>6275</v>
      </c>
    </row>
    <row r="203" spans="1:29" ht="29" customHeight="1" x14ac:dyDescent="0.2">
      <c r="A203" s="71" t="s">
        <v>6276</v>
      </c>
      <c r="B203" s="71" t="s">
        <v>222</v>
      </c>
      <c r="C203" s="71" t="s">
        <v>5472</v>
      </c>
      <c r="D203" s="71" t="s">
        <v>5686</v>
      </c>
      <c r="E203" s="71" t="s">
        <v>223</v>
      </c>
      <c r="F203" s="71" t="s">
        <v>2907</v>
      </c>
      <c r="G203" s="71" t="s">
        <v>6274</v>
      </c>
      <c r="H203" s="71" t="s">
        <v>5675</v>
      </c>
      <c r="I203" s="71" t="s">
        <v>5096</v>
      </c>
      <c r="J203" s="71" t="s">
        <v>5677</v>
      </c>
      <c r="K203" s="71" t="s">
        <v>3113</v>
      </c>
      <c r="L203" s="73">
        <v>45705</v>
      </c>
      <c r="M203" s="71" t="s">
        <v>3113</v>
      </c>
      <c r="N203" s="73">
        <v>45705</v>
      </c>
      <c r="O203" s="71" t="s">
        <v>3113</v>
      </c>
      <c r="P203" s="73">
        <v>45705</v>
      </c>
      <c r="Q203" s="71" t="s">
        <v>3879</v>
      </c>
      <c r="R203" s="73">
        <v>45922</v>
      </c>
      <c r="S203" s="71">
        <f t="shared" si="12"/>
        <v>217</v>
      </c>
      <c r="T203" s="71">
        <f t="shared" si="13"/>
        <v>217</v>
      </c>
      <c r="U203" s="71">
        <f t="shared" si="14"/>
        <v>0.59411362080766594</v>
      </c>
      <c r="V203" s="71">
        <f t="shared" si="15"/>
        <v>0.35297099442919505</v>
      </c>
      <c r="W203" s="71" t="s">
        <v>5679</v>
      </c>
      <c r="X203" s="71" t="s">
        <v>5687</v>
      </c>
      <c r="Y203" s="71"/>
      <c r="Z203" s="71"/>
      <c r="AA203" s="71"/>
      <c r="AB203" s="71"/>
      <c r="AC203" s="71"/>
    </row>
    <row r="204" spans="1:29" ht="29" customHeight="1" x14ac:dyDescent="0.2">
      <c r="A204" s="70" t="s">
        <v>6277</v>
      </c>
      <c r="B204" s="70" t="s">
        <v>222</v>
      </c>
      <c r="C204" s="70" t="s">
        <v>5473</v>
      </c>
      <c r="D204" s="70" t="s">
        <v>3595</v>
      </c>
      <c r="E204" s="70" t="s">
        <v>5121</v>
      </c>
      <c r="F204" s="70" t="s">
        <v>5167</v>
      </c>
      <c r="G204" s="70"/>
      <c r="H204" s="70" t="s">
        <v>5721</v>
      </c>
      <c r="I204" s="70" t="s">
        <v>5696</v>
      </c>
      <c r="J204" s="70" t="s">
        <v>2016</v>
      </c>
      <c r="K204" s="70"/>
      <c r="L204" s="72"/>
      <c r="M204" s="70"/>
      <c r="N204" s="72"/>
      <c r="O204" s="70"/>
      <c r="P204" s="72"/>
      <c r="Q204" s="70" t="s">
        <v>3879</v>
      </c>
      <c r="R204" s="72">
        <v>45922</v>
      </c>
      <c r="S204" s="70" t="str">
        <f t="shared" si="12"/>
        <v/>
      </c>
      <c r="T204" s="70" t="str">
        <f t="shared" si="13"/>
        <v/>
      </c>
      <c r="U204" s="70" t="str">
        <f t="shared" si="14"/>
        <v/>
      </c>
      <c r="V204" s="70" t="str">
        <f t="shared" si="15"/>
        <v/>
      </c>
      <c r="W204" s="70" t="s">
        <v>5722</v>
      </c>
      <c r="X204" s="70" t="s">
        <v>2274</v>
      </c>
      <c r="Y204" s="70"/>
      <c r="Z204" s="70"/>
      <c r="AA204" s="70"/>
      <c r="AB204" s="70" t="s">
        <v>6278</v>
      </c>
      <c r="AC204" s="70" t="s">
        <v>5724</v>
      </c>
    </row>
    <row r="205" spans="1:29" ht="29" customHeight="1" x14ac:dyDescent="0.2">
      <c r="A205" s="71" t="s">
        <v>6279</v>
      </c>
      <c r="B205" s="71" t="s">
        <v>222</v>
      </c>
      <c r="C205" s="71" t="s">
        <v>5474</v>
      </c>
      <c r="D205" s="71" t="s">
        <v>3595</v>
      </c>
      <c r="E205" s="71" t="s">
        <v>2915</v>
      </c>
      <c r="F205" s="71" t="s">
        <v>2916</v>
      </c>
      <c r="G205" s="71" t="s">
        <v>6280</v>
      </c>
      <c r="H205" s="71" t="s">
        <v>5675</v>
      </c>
      <c r="I205" s="71" t="s">
        <v>5696</v>
      </c>
      <c r="J205" s="71" t="s">
        <v>5677</v>
      </c>
      <c r="K205" s="71" t="s">
        <v>3113</v>
      </c>
      <c r="L205" s="73">
        <v>45705</v>
      </c>
      <c r="M205" s="71" t="s">
        <v>3113</v>
      </c>
      <c r="N205" s="73">
        <v>45705</v>
      </c>
      <c r="O205" s="71" t="s">
        <v>3113</v>
      </c>
      <c r="P205" s="73">
        <v>45705</v>
      </c>
      <c r="Q205" s="71" t="s">
        <v>3879</v>
      </c>
      <c r="R205" s="73">
        <v>45922</v>
      </c>
      <c r="S205" s="71">
        <f t="shared" si="12"/>
        <v>217</v>
      </c>
      <c r="T205" s="71">
        <f t="shared" si="13"/>
        <v>217</v>
      </c>
      <c r="U205" s="71">
        <f t="shared" si="14"/>
        <v>0.59411362080766594</v>
      </c>
      <c r="V205" s="71">
        <f t="shared" si="15"/>
        <v>0.35297099442919505</v>
      </c>
      <c r="W205" s="71" t="s">
        <v>5679</v>
      </c>
      <c r="X205" s="71" t="s">
        <v>5680</v>
      </c>
      <c r="Y205" s="71" t="s">
        <v>3113</v>
      </c>
      <c r="Z205" s="71" t="s">
        <v>5682</v>
      </c>
      <c r="AA205" s="71"/>
      <c r="AB205" s="71" t="s">
        <v>6268</v>
      </c>
      <c r="AC205" s="71" t="s">
        <v>6275</v>
      </c>
    </row>
    <row r="206" spans="1:29" ht="29" customHeight="1" x14ac:dyDescent="0.2">
      <c r="A206" s="70" t="s">
        <v>6281</v>
      </c>
      <c r="B206" s="70" t="s">
        <v>222</v>
      </c>
      <c r="C206" s="70"/>
      <c r="D206" s="70" t="s">
        <v>5717</v>
      </c>
      <c r="E206" s="70" t="s">
        <v>2894</v>
      </c>
      <c r="F206" s="70"/>
      <c r="G206" s="70" t="s">
        <v>6267</v>
      </c>
      <c r="H206" s="70" t="s">
        <v>5675</v>
      </c>
      <c r="I206" s="70" t="s">
        <v>5091</v>
      </c>
      <c r="J206" s="70" t="s">
        <v>5677</v>
      </c>
      <c r="K206" s="70" t="s">
        <v>3113</v>
      </c>
      <c r="L206" s="72">
        <v>45705</v>
      </c>
      <c r="M206" s="70" t="s">
        <v>3113</v>
      </c>
      <c r="N206" s="72">
        <v>45705</v>
      </c>
      <c r="O206" s="70" t="s">
        <v>3113</v>
      </c>
      <c r="P206" s="72">
        <v>45705</v>
      </c>
      <c r="Q206" s="70" t="s">
        <v>3879</v>
      </c>
      <c r="R206" s="72">
        <v>45922</v>
      </c>
      <c r="S206" s="70">
        <f t="shared" si="12"/>
        <v>217</v>
      </c>
      <c r="T206" s="70">
        <f t="shared" si="13"/>
        <v>217</v>
      </c>
      <c r="U206" s="70">
        <f t="shared" si="14"/>
        <v>0.59411362080766594</v>
      </c>
      <c r="V206" s="70">
        <f t="shared" si="15"/>
        <v>0.35297099442919505</v>
      </c>
      <c r="W206" s="70" t="s">
        <v>5679</v>
      </c>
      <c r="X206" s="70" t="s">
        <v>5728</v>
      </c>
      <c r="Y206" s="70"/>
      <c r="Z206" s="70"/>
      <c r="AA206" s="70"/>
      <c r="AB206" s="70" t="s">
        <v>5111</v>
      </c>
      <c r="AC206" s="70"/>
    </row>
  </sheetData>
  <mergeCells count="2">
    <mergeCell ref="A2:AC2"/>
    <mergeCell ref="A1:AC1"/>
  </mergeCells>
  <pageMargins left="0.75" right="0.75" top="1" bottom="1" header="0.5" footer="0.5"/>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AJ33"/>
  <sheetViews>
    <sheetView showGridLines="0" rightToLeft="1" workbookViewId="0">
      <pane xSplit="2" ySplit="3" topLeftCell="C4" activePane="bottomRight" state="frozen"/>
      <selection pane="topRight"/>
      <selection pane="bottomLeft"/>
      <selection pane="bottomRight"/>
    </sheetView>
  </sheetViews>
  <sheetFormatPr baseColWidth="10" defaultColWidth="8.83203125" defaultRowHeight="15" x14ac:dyDescent="0.2"/>
  <cols>
    <col min="1" max="1" width="7" customWidth="1"/>
    <col min="2" max="2" width="9" customWidth="1"/>
    <col min="3" max="3" width="10" customWidth="1"/>
    <col min="4" max="4" width="8" customWidth="1"/>
    <col min="5" max="5" width="22" customWidth="1"/>
    <col min="6" max="6" width="8" customWidth="1"/>
    <col min="7" max="7" width="22" customWidth="1"/>
    <col min="8" max="36" width="10" customWidth="1"/>
  </cols>
  <sheetData>
    <row r="1" spans="1:36" ht="30" customHeight="1" x14ac:dyDescent="0.2">
      <c r="A1" s="88" t="s">
        <v>6282</v>
      </c>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c r="AF1" s="76"/>
      <c r="AG1" s="76"/>
      <c r="AH1" s="76"/>
      <c r="AI1" s="76"/>
      <c r="AJ1" s="76"/>
    </row>
    <row r="2" spans="1:36" ht="22" customHeight="1" x14ac:dyDescent="0.2">
      <c r="A2" s="85" t="s">
        <v>6283</v>
      </c>
      <c r="B2" s="76"/>
      <c r="C2" s="76"/>
      <c r="D2" s="76"/>
      <c r="E2" s="76"/>
      <c r="F2" s="76"/>
      <c r="G2" s="76"/>
      <c r="H2" s="76"/>
      <c r="I2" s="76"/>
      <c r="J2" s="76"/>
      <c r="K2" s="76"/>
      <c r="L2" s="76"/>
      <c r="M2" s="76"/>
      <c r="N2" s="76"/>
      <c r="O2" s="76"/>
      <c r="P2" s="76"/>
      <c r="Q2" s="76"/>
      <c r="R2" s="76"/>
      <c r="S2" s="76"/>
      <c r="T2" s="76"/>
      <c r="U2" s="76"/>
      <c r="V2" s="76"/>
      <c r="W2" s="76"/>
      <c r="X2" s="76"/>
      <c r="Y2" s="76"/>
      <c r="Z2" s="76"/>
      <c r="AA2" s="76"/>
      <c r="AB2" s="76"/>
      <c r="AC2" s="76"/>
      <c r="AD2" s="76"/>
      <c r="AE2" s="76"/>
      <c r="AF2" s="76"/>
      <c r="AG2" s="76"/>
      <c r="AH2" s="76"/>
      <c r="AI2" s="76"/>
      <c r="AJ2" s="76"/>
    </row>
    <row r="3" spans="1:36" ht="56" customHeight="1" x14ac:dyDescent="0.2">
      <c r="A3" s="69" t="s">
        <v>257</v>
      </c>
      <c r="B3" s="69" t="s">
        <v>2677</v>
      </c>
      <c r="C3" s="69" t="s">
        <v>5090</v>
      </c>
      <c r="D3" s="69" t="s">
        <v>6284</v>
      </c>
      <c r="E3" s="69" t="s">
        <v>5091</v>
      </c>
      <c r="F3" s="69" t="s">
        <v>6285</v>
      </c>
      <c r="G3" s="69" t="s">
        <v>5096</v>
      </c>
      <c r="H3" s="69" t="s">
        <v>6286</v>
      </c>
      <c r="I3" s="69" t="s">
        <v>6287</v>
      </c>
      <c r="J3" s="69" t="s">
        <v>1069</v>
      </c>
      <c r="K3" s="69" t="s">
        <v>3725</v>
      </c>
      <c r="L3" s="69" t="s">
        <v>6288</v>
      </c>
      <c r="M3" s="69" t="s">
        <v>6289</v>
      </c>
      <c r="N3" s="69" t="s">
        <v>6290</v>
      </c>
      <c r="O3" s="69" t="s">
        <v>6291</v>
      </c>
      <c r="P3" s="69" t="s">
        <v>6292</v>
      </c>
      <c r="Q3" s="69" t="s">
        <v>6293</v>
      </c>
      <c r="R3" s="69" t="s">
        <v>6294</v>
      </c>
      <c r="S3" s="69" t="s">
        <v>6295</v>
      </c>
      <c r="T3" s="69" t="s">
        <v>6296</v>
      </c>
      <c r="U3" s="69" t="s">
        <v>6297</v>
      </c>
      <c r="V3" s="69" t="s">
        <v>6298</v>
      </c>
      <c r="W3" s="69" t="s">
        <v>6299</v>
      </c>
      <c r="X3" s="69" t="s">
        <v>6300</v>
      </c>
      <c r="Y3" s="69" t="s">
        <v>6301</v>
      </c>
      <c r="Z3" s="69" t="s">
        <v>6302</v>
      </c>
      <c r="AA3" s="69" t="s">
        <v>6303</v>
      </c>
      <c r="AB3" s="69" t="s">
        <v>6304</v>
      </c>
      <c r="AC3" s="69" t="s">
        <v>6305</v>
      </c>
      <c r="AD3" s="69" t="s">
        <v>6306</v>
      </c>
      <c r="AE3" s="69" t="s">
        <v>6307</v>
      </c>
      <c r="AF3" s="69" t="s">
        <v>6308</v>
      </c>
      <c r="AG3" s="69" t="s">
        <v>6309</v>
      </c>
      <c r="AH3" s="69" t="s">
        <v>6310</v>
      </c>
      <c r="AI3" s="69" t="s">
        <v>6311</v>
      </c>
      <c r="AJ3" s="69" t="s">
        <v>6312</v>
      </c>
    </row>
    <row r="4" spans="1:36" ht="20" customHeight="1" x14ac:dyDescent="0.2">
      <c r="A4" s="70" t="s">
        <v>4982</v>
      </c>
      <c r="B4" s="70" t="s">
        <v>109</v>
      </c>
      <c r="C4" s="70" t="s">
        <v>1859</v>
      </c>
      <c r="D4" s="70">
        <v>5</v>
      </c>
      <c r="E4" s="70" t="s">
        <v>5104</v>
      </c>
      <c r="F4" s="70" t="s">
        <v>119</v>
      </c>
      <c r="G4" s="70" t="s">
        <v>5094</v>
      </c>
      <c r="H4" s="70">
        <v>0</v>
      </c>
      <c r="I4" s="70">
        <f>COUNTIFS('BR Independence v41'!$B$4:$B$148,B4,'BR Independence v41'!$P$4:$P$148,"NOT_INDEPENDENT_DOCUMENTED_EXECUTIVE")</f>
        <v>2</v>
      </c>
      <c r="J4" s="70">
        <f>COUNTIFS('BR Independence v41'!$B$4:$B$148,B4,'BR Independence v41'!$P$4:$P$148,"UNKNOWN")</f>
        <v>3</v>
      </c>
      <c r="K4" s="70">
        <f>COUNTIFS('BR Independence v41'!$B$4:$B$148,B4,'BR Independence v41'!$P$4:$P$148,"CONFLICT_DUTY_STATUS")</f>
        <v>0</v>
      </c>
      <c r="L4" s="70" t="str">
        <f t="shared" ref="L4:L30" si="0">IF(AND(J4=0,K4=0),H4/D4,"")</f>
        <v/>
      </c>
      <c r="M4" s="70">
        <f t="shared" ref="M4:M30" si="1">IF(H4+I4=0,"",H4/(H4+I4))</f>
        <v>0</v>
      </c>
      <c r="N4" s="70">
        <f t="shared" ref="N4:N30" si="2">H4/D4</f>
        <v>0</v>
      </c>
      <c r="O4" s="70">
        <f t="shared" ref="O4:O30" si="3">(D4-I4)/D4</f>
        <v>0.6</v>
      </c>
      <c r="P4" s="70" t="s">
        <v>2016</v>
      </c>
      <c r="Q4" s="70">
        <v>5</v>
      </c>
      <c r="R4" s="70">
        <v>0</v>
      </c>
      <c r="S4" s="70">
        <v>0</v>
      </c>
      <c r="T4" s="70">
        <v>0</v>
      </c>
      <c r="U4" s="70">
        <v>2</v>
      </c>
      <c r="V4" s="70">
        <v>0.4</v>
      </c>
      <c r="W4" s="70">
        <f>COUNTIFS('BR Tenure v41'!$B$4:$B$206,B4,'BR Tenure v41'!$D$4:$D$206,"MEMBER",'BR Tenure v41'!$J$4:$J$206,"EXACT")</f>
        <v>3</v>
      </c>
      <c r="X4" s="70">
        <f>COUNTIFS('BR Tenure v41'!$B$4:$B$206,B4,'BR Tenure v41'!$D$4:$D$206,"MEMBER",'BR Tenure v41'!$J$4:$J$206,"INTERVAL")</f>
        <v>2</v>
      </c>
      <c r="Y4" s="70">
        <f>COUNTIFS('BR Tenure v41'!$B$4:$B$206,B4,'BR Tenure v41'!$D$4:$D$206,"MEMBER",'BR Tenure v41'!$J$4:$J$206,"MIN_CONTINUOUS")</f>
        <v>0</v>
      </c>
      <c r="Z4" s="70">
        <f>COUNTIFS('BR Tenure v41'!$B$4:$B$206,B4,'BR Tenure v41'!$D$4:$D$206,"MEMBER",'BR Tenure v41'!$J$4:$J$206,"CONFLICT_MIN")</f>
        <v>0</v>
      </c>
      <c r="AA4" s="70">
        <f>COUNTIFS('BR Tenure v41'!$B$4:$B$206,B4,'BR Tenure v41'!$D$4:$D$206,"MEMBER",'BR Tenure v41'!$J$4:$J$206,"UNKNOWN")</f>
        <v>0</v>
      </c>
      <c r="AB4" s="70">
        <f>IF(W4=0,"",AVERAGEIFS('BR Tenure v41'!$U$4:$U$206,'BR Tenure v41'!$B$4:$B$206,B4,'BR Tenure v41'!$D$4:$D$206,"MEMBER",'BR Tenure v41'!$J$4:$J$206,"EXACT"))</f>
        <v>0.82318046999771843</v>
      </c>
      <c r="AC4" s="70">
        <f>IF(W4&lt;2,"",SQRT((SUMIFS('BR Tenure v41'!$V$4:$V$206,'BR Tenure v41'!$B$4:$B$206,B4,'BR Tenure v41'!$D$4:$D$206,"MEMBER",'BR Tenure v41'!$J$4:$J$206,"EXACT")-W4*AB4^2)/(W4-1)))</f>
        <v>0.17037118445325303</v>
      </c>
      <c r="AD4" s="70" t="str">
        <f>IFERROR(INDEX('BR Tenure v41'!$J$4:$J$206,MATCH(1,INDEX(('BR Tenure v41'!$B$4:$B$206=B4)*('BR Tenure v41'!$D$4:$D$206="CHAIR"),0),0)),"")</f>
        <v>EXACT</v>
      </c>
      <c r="AE4" s="70">
        <f>IFERROR(INDEX('BR Tenure v41'!$U$4:$U$206,MATCH(1,INDEX(('BR Tenure v41'!$B$4:$B$206=B4)*('BR Tenure v41'!$D$4:$D$206="CHAIR"),0),0)),"")</f>
        <v>0.90896646132785763</v>
      </c>
      <c r="AF4" s="70" t="str">
        <f>IFERROR(INDEX('BR Tenure v41'!$J$4:$J$206,MATCH(1,INDEX(('BR Tenure v41'!$B$4:$B$206=B4)*('BR Tenure v41'!$D$4:$D$206="CEO"),0),0)),"")</f>
        <v>EXACT</v>
      </c>
      <c r="AG4" s="70">
        <f>IFERROR(INDEX('BR Tenure v41'!$U$4:$U$206,MATCH(1,INDEX(('BR Tenure v41'!$B$4:$B$206=B4)*('BR Tenure v41'!$D$4:$D$206="CEO"),0),0)),"")</f>
        <v>1.0431211498973305</v>
      </c>
      <c r="AH4" s="70" t="str">
        <f t="shared" ref="AH4:AH33" si="4">IF(D4=0,"NO_ROSTER",IF(W4=D4,"FULL_EXACT",IF(W4&gt;0,"PARTIAL_EXACT","NO_EXACT")))</f>
        <v>PARTIAL_EXACT</v>
      </c>
      <c r="AI4" s="70">
        <f>IF(COUNTIFS('BR Tenure v41'!$B$4:$B$206,B4,'BR Tenure v41'!$D$4:$D$206,"MEMBER",'BR Tenure v41'!$U$4:$U$206,"&gt;=0")=0,"",AVERAGEIFS('BR Tenure v41'!$U$4:$U$206,'BR Tenure v41'!$B$4:$B$206,B4,'BR Tenure v41'!$D$4:$D$206,"MEMBER",'BR Tenure v41'!$U$4:$U$206,"&gt;=0"))</f>
        <v>1.1860369609856263</v>
      </c>
      <c r="AJ4" s="70">
        <f>COUNTIFS('BR Tenure v41'!$B$4:$B$206,B4,'BR Tenure v41'!$D$4:$D$206,"MEMBER",'BR Tenure v41'!$U$4:$U$206,"&gt;=0")</f>
        <v>5</v>
      </c>
    </row>
    <row r="5" spans="1:36" ht="29" customHeight="1" x14ac:dyDescent="0.2">
      <c r="A5" s="71" t="s">
        <v>4987</v>
      </c>
      <c r="B5" s="71" t="s">
        <v>117</v>
      </c>
      <c r="C5" s="71" t="s">
        <v>4357</v>
      </c>
      <c r="D5" s="71">
        <v>5</v>
      </c>
      <c r="E5" s="71" t="s">
        <v>6313</v>
      </c>
      <c r="F5" s="71" t="s">
        <v>111</v>
      </c>
      <c r="G5" s="71" t="s">
        <v>120</v>
      </c>
      <c r="H5" s="71">
        <v>0</v>
      </c>
      <c r="I5" s="71">
        <f>COUNTIFS('BR Independence v41'!$B$4:$B$148,B5,'BR Independence v41'!$P$4:$P$148,"NOT_INDEPENDENT_DOCUMENTED_EXECUTIVE")</f>
        <v>1</v>
      </c>
      <c r="J5" s="71">
        <f>COUNTIFS('BR Independence v41'!$B$4:$B$148,B5,'BR Independence v41'!$P$4:$P$148,"UNKNOWN")</f>
        <v>4</v>
      </c>
      <c r="K5" s="71">
        <f>COUNTIFS('BR Independence v41'!$B$4:$B$148,B5,'BR Independence v41'!$P$4:$P$148,"CONFLICT_DUTY_STATUS")</f>
        <v>0</v>
      </c>
      <c r="L5" s="71" t="str">
        <f t="shared" si="0"/>
        <v/>
      </c>
      <c r="M5" s="71">
        <f t="shared" si="1"/>
        <v>0</v>
      </c>
      <c r="N5" s="71">
        <f t="shared" si="2"/>
        <v>0</v>
      </c>
      <c r="O5" s="71">
        <f t="shared" si="3"/>
        <v>0.8</v>
      </c>
      <c r="P5" s="71" t="s">
        <v>2016</v>
      </c>
      <c r="Q5" s="71">
        <v>3</v>
      </c>
      <c r="R5" s="71">
        <v>0</v>
      </c>
      <c r="S5" s="71">
        <v>2</v>
      </c>
      <c r="T5" s="71">
        <v>0</v>
      </c>
      <c r="U5" s="71">
        <v>3</v>
      </c>
      <c r="V5" s="71">
        <v>1</v>
      </c>
      <c r="W5" s="71">
        <f>COUNTIFS('BR Tenure v41'!$B$4:$B$206,B5,'BR Tenure v41'!$D$4:$D$206,"MEMBER",'BR Tenure v41'!$J$4:$J$206,"EXACT")</f>
        <v>4</v>
      </c>
      <c r="X5" s="71">
        <f>COUNTIFS('BR Tenure v41'!$B$4:$B$206,B5,'BR Tenure v41'!$D$4:$D$206,"MEMBER",'BR Tenure v41'!$J$4:$J$206,"INTERVAL")</f>
        <v>0</v>
      </c>
      <c r="Y5" s="71">
        <f>COUNTIFS('BR Tenure v41'!$B$4:$B$206,B5,'BR Tenure v41'!$D$4:$D$206,"MEMBER",'BR Tenure v41'!$J$4:$J$206,"MIN_CONTINUOUS")</f>
        <v>0</v>
      </c>
      <c r="Z5" s="71">
        <f>COUNTIFS('BR Tenure v41'!$B$4:$B$206,B5,'BR Tenure v41'!$D$4:$D$206,"MEMBER",'BR Tenure v41'!$J$4:$J$206,"CONFLICT_MIN")</f>
        <v>0</v>
      </c>
      <c r="AA5" s="71">
        <f>COUNTIFS('BR Tenure v41'!$B$4:$B$206,B5,'BR Tenure v41'!$D$4:$D$206,"MEMBER",'BR Tenure v41'!$J$4:$J$206,"UNKNOWN")</f>
        <v>1</v>
      </c>
      <c r="AB5" s="71">
        <f>IF(W5=0,"",AVERAGEIFS('BR Tenure v41'!$U$4:$U$206,'BR Tenure v41'!$B$4:$B$206,B5,'BR Tenure v41'!$D$4:$D$206,"MEMBER",'BR Tenure v41'!$J$4:$J$206,"EXACT"))</f>
        <v>0.40657084188911707</v>
      </c>
      <c r="AC5" s="71">
        <f>IF(W5&lt;2,"",SQRT((SUMIFS('BR Tenure v41'!$V$4:$V$206,'BR Tenure v41'!$B$4:$B$206,B5,'BR Tenure v41'!$D$4:$D$206,"MEMBER",'BR Tenure v41'!$J$4:$J$206,"EXACT")-W5*AB5^2)/(W5-1)))</f>
        <v>0.1891628377014212</v>
      </c>
      <c r="AD5" s="71" t="str">
        <f>IFERROR(INDEX('BR Tenure v41'!$J$4:$J$206,MATCH(1,INDEX(('BR Tenure v41'!$B$4:$B$206=B5)*('BR Tenure v41'!$D$4:$D$206="CHAIR"),0),0)),"")</f>
        <v>EXACT</v>
      </c>
      <c r="AE5" s="71">
        <f>IFERROR(INDEX('BR Tenure v41'!$U$4:$U$206,MATCH(1,INDEX(('BR Tenure v41'!$B$4:$B$206=B5)*('BR Tenure v41'!$D$4:$D$206="CHAIR"),0),0)),"")</f>
        <v>0.35318275154004108</v>
      </c>
      <c r="AF5" s="71" t="str">
        <f>IFERROR(INDEX('BR Tenure v41'!$J$4:$J$206,MATCH(1,INDEX(('BR Tenure v41'!$B$4:$B$206=B5)*('BR Tenure v41'!$D$4:$D$206="CEO"),0),0)),"")</f>
        <v>EXACT</v>
      </c>
      <c r="AG5" s="71">
        <f>IFERROR(INDEX('BR Tenure v41'!$U$4:$U$206,MATCH(1,INDEX(('BR Tenure v41'!$B$4:$B$206=B5)*('BR Tenure v41'!$D$4:$D$206="CEO"),0),0)),"")</f>
        <v>0.10677618069815195</v>
      </c>
      <c r="AH5" s="71" t="str">
        <f t="shared" si="4"/>
        <v>PARTIAL_EXACT</v>
      </c>
      <c r="AI5" s="71">
        <f>IF(COUNTIFS('BR Tenure v41'!$B$4:$B$206,B5,'BR Tenure v41'!$D$4:$D$206,"MEMBER",'BR Tenure v41'!$U$4:$U$206,"&gt;=0")=0,"",AVERAGEIFS('BR Tenure v41'!$U$4:$U$206,'BR Tenure v41'!$B$4:$B$206,B5,'BR Tenure v41'!$D$4:$D$206,"MEMBER",'BR Tenure v41'!$U$4:$U$206,"&gt;=0"))</f>
        <v>0.40657084188911707</v>
      </c>
      <c r="AJ5" s="71">
        <f>COUNTIFS('BR Tenure v41'!$B$4:$B$206,B5,'BR Tenure v41'!$D$4:$D$206,"MEMBER",'BR Tenure v41'!$U$4:$U$206,"&gt;=0")</f>
        <v>4</v>
      </c>
    </row>
    <row r="6" spans="1:36" ht="20" customHeight="1" x14ac:dyDescent="0.2">
      <c r="A6" s="70" t="s">
        <v>4992</v>
      </c>
      <c r="B6" s="70" t="s">
        <v>126</v>
      </c>
      <c r="C6" s="70" t="s">
        <v>4364</v>
      </c>
      <c r="D6" s="70">
        <v>5</v>
      </c>
      <c r="E6" s="70" t="s">
        <v>5148</v>
      </c>
      <c r="F6" s="70" t="s">
        <v>119</v>
      </c>
      <c r="G6" s="70" t="s">
        <v>5145</v>
      </c>
      <c r="H6" s="70">
        <v>0</v>
      </c>
      <c r="I6" s="70">
        <f>COUNTIFS('BR Independence v41'!$B$4:$B$148,B6,'BR Independence v41'!$P$4:$P$148,"NOT_INDEPENDENT_DOCUMENTED_EXECUTIVE")</f>
        <v>2</v>
      </c>
      <c r="J6" s="70">
        <f>COUNTIFS('BR Independence v41'!$B$4:$B$148,B6,'BR Independence v41'!$P$4:$P$148,"UNKNOWN")</f>
        <v>2</v>
      </c>
      <c r="K6" s="70">
        <f>COUNTIFS('BR Independence v41'!$B$4:$B$148,B6,'BR Independence v41'!$P$4:$P$148,"CONFLICT_DUTY_STATUS")</f>
        <v>1</v>
      </c>
      <c r="L6" s="70" t="str">
        <f t="shared" si="0"/>
        <v/>
      </c>
      <c r="M6" s="70">
        <f t="shared" si="1"/>
        <v>0</v>
      </c>
      <c r="N6" s="70">
        <f t="shared" si="2"/>
        <v>0</v>
      </c>
      <c r="O6" s="70">
        <f t="shared" si="3"/>
        <v>0.6</v>
      </c>
      <c r="P6" s="70" t="s">
        <v>2016</v>
      </c>
      <c r="Q6" s="70">
        <v>0</v>
      </c>
      <c r="R6" s="70">
        <v>0</v>
      </c>
      <c r="S6" s="70">
        <v>5</v>
      </c>
      <c r="T6" s="70">
        <v>0</v>
      </c>
      <c r="U6" s="70">
        <v>0</v>
      </c>
      <c r="V6" s="70"/>
      <c r="W6" s="70">
        <f>COUNTIFS('BR Tenure v41'!$B$4:$B$206,B6,'BR Tenure v41'!$D$4:$D$206,"MEMBER",'BR Tenure v41'!$J$4:$J$206,"EXACT")</f>
        <v>3</v>
      </c>
      <c r="X6" s="70">
        <f>COUNTIFS('BR Tenure v41'!$B$4:$B$206,B6,'BR Tenure v41'!$D$4:$D$206,"MEMBER",'BR Tenure v41'!$J$4:$J$206,"INTERVAL")</f>
        <v>1</v>
      </c>
      <c r="Y6" s="70">
        <f>COUNTIFS('BR Tenure v41'!$B$4:$B$206,B6,'BR Tenure v41'!$D$4:$D$206,"MEMBER",'BR Tenure v41'!$J$4:$J$206,"MIN_CONTINUOUS")</f>
        <v>0</v>
      </c>
      <c r="Z6" s="70">
        <f>COUNTIFS('BR Tenure v41'!$B$4:$B$206,B6,'BR Tenure v41'!$D$4:$D$206,"MEMBER",'BR Tenure v41'!$J$4:$J$206,"CONFLICT_MIN")</f>
        <v>1</v>
      </c>
      <c r="AA6" s="70">
        <f>COUNTIFS('BR Tenure v41'!$B$4:$B$206,B6,'BR Tenure v41'!$D$4:$D$206,"MEMBER",'BR Tenure v41'!$J$4:$J$206,"UNKNOWN")</f>
        <v>0</v>
      </c>
      <c r="AB6" s="70">
        <f>IF(W6=0,"",AVERAGEIFS('BR Tenure v41'!$U$4:$U$206,'BR Tenure v41'!$B$4:$B$206,B6,'BR Tenure v41'!$D$4:$D$206,"MEMBER",'BR Tenure v41'!$J$4:$J$206,"EXACT"))</f>
        <v>0.33949349760438058</v>
      </c>
      <c r="AC6" s="70">
        <f>IF(W6&lt;2,"",SQRT((SUMIFS('BR Tenure v41'!$V$4:$V$206,'BR Tenure v41'!$B$4:$B$206,B6,'BR Tenure v41'!$D$4:$D$206,"MEMBER",'BR Tenure v41'!$J$4:$J$206,"EXACT")-W6*AB6^2)/(W6-1)))</f>
        <v>0.2323627366759069</v>
      </c>
      <c r="AD6" s="70" t="str">
        <f>IFERROR(INDEX('BR Tenure v41'!$J$4:$J$206,MATCH(1,INDEX(('BR Tenure v41'!$B$4:$B$206=B6)*('BR Tenure v41'!$D$4:$D$206="CHAIR"),0),0)),"")</f>
        <v>EXACT</v>
      </c>
      <c r="AE6" s="70">
        <f>IFERROR(INDEX('BR Tenure v41'!$U$4:$U$206,MATCH(1,INDEX(('BR Tenure v41'!$B$4:$B$206=B6)*('BR Tenure v41'!$D$4:$D$206="CHAIR"),0),0)),"")</f>
        <v>9.034907597535935E-2</v>
      </c>
      <c r="AF6" s="70" t="str">
        <f>IFERROR(INDEX('BR Tenure v41'!$J$4:$J$206,MATCH(1,INDEX(('BR Tenure v41'!$B$4:$B$206=B6)*('BR Tenure v41'!$D$4:$D$206="CEO"),0),0)),"")</f>
        <v>EXACT</v>
      </c>
      <c r="AG6" s="70">
        <f>IFERROR(INDEX('BR Tenure v41'!$U$4:$U$206,MATCH(1,INDEX(('BR Tenure v41'!$B$4:$B$206=B6)*('BR Tenure v41'!$D$4:$D$206="CEO"),0),0)),"")</f>
        <v>0.55030800821355241</v>
      </c>
      <c r="AH6" s="70" t="str">
        <f t="shared" si="4"/>
        <v>PARTIAL_EXACT</v>
      </c>
      <c r="AI6" s="70">
        <f>IF(COUNTIFS('BR Tenure v41'!$B$4:$B$206,B6,'BR Tenure v41'!$D$4:$D$206,"MEMBER",'BR Tenure v41'!$U$4:$U$206,"&gt;=0")=0,"",AVERAGEIFS('BR Tenure v41'!$U$4:$U$206,'BR Tenure v41'!$B$4:$B$206,B6,'BR Tenure v41'!$D$4:$D$206,"MEMBER",'BR Tenure v41'!$U$4:$U$206,"&gt;=0"))</f>
        <v>0.74086242299794658</v>
      </c>
      <c r="AJ6" s="70">
        <f>COUNTIFS('BR Tenure v41'!$B$4:$B$206,B6,'BR Tenure v41'!$D$4:$D$206,"MEMBER",'BR Tenure v41'!$U$4:$U$206,"&gt;=0")</f>
        <v>5</v>
      </c>
    </row>
    <row r="7" spans="1:36" ht="20" customHeight="1" x14ac:dyDescent="0.2">
      <c r="A7" s="71" t="s">
        <v>4996</v>
      </c>
      <c r="B7" s="71" t="s">
        <v>131</v>
      </c>
      <c r="C7" s="71" t="s">
        <v>1859</v>
      </c>
      <c r="D7" s="71">
        <v>5</v>
      </c>
      <c r="E7" s="71" t="s">
        <v>2879</v>
      </c>
      <c r="F7" s="71" t="s">
        <v>119</v>
      </c>
      <c r="G7" s="71" t="s">
        <v>132</v>
      </c>
      <c r="H7" s="71">
        <v>0</v>
      </c>
      <c r="I7" s="71">
        <f>COUNTIFS('BR Independence v41'!$B$4:$B$148,B7,'BR Independence v41'!$P$4:$P$148,"NOT_INDEPENDENT_DOCUMENTED_EXECUTIVE")</f>
        <v>2</v>
      </c>
      <c r="J7" s="71">
        <f>COUNTIFS('BR Independence v41'!$B$4:$B$148,B7,'BR Independence v41'!$P$4:$P$148,"UNKNOWN")</f>
        <v>2</v>
      </c>
      <c r="K7" s="71">
        <f>COUNTIFS('BR Independence v41'!$B$4:$B$148,B7,'BR Independence v41'!$P$4:$P$148,"CONFLICT_DUTY_STATUS")</f>
        <v>1</v>
      </c>
      <c r="L7" s="71" t="str">
        <f t="shared" si="0"/>
        <v/>
      </c>
      <c r="M7" s="71">
        <f t="shared" si="1"/>
        <v>0</v>
      </c>
      <c r="N7" s="71">
        <f t="shared" si="2"/>
        <v>0</v>
      </c>
      <c r="O7" s="71">
        <f t="shared" si="3"/>
        <v>0.6</v>
      </c>
      <c r="P7" s="71" t="s">
        <v>2016</v>
      </c>
      <c r="Q7" s="71">
        <v>0</v>
      </c>
      <c r="R7" s="71">
        <v>0</v>
      </c>
      <c r="S7" s="71">
        <v>5</v>
      </c>
      <c r="T7" s="71">
        <v>0</v>
      </c>
      <c r="U7" s="71">
        <v>0</v>
      </c>
      <c r="V7" s="71"/>
      <c r="W7" s="71">
        <f>COUNTIFS('BR Tenure v41'!$B$4:$B$206,B7,'BR Tenure v41'!$D$4:$D$206,"MEMBER",'BR Tenure v41'!$J$4:$J$206,"EXACT")</f>
        <v>5</v>
      </c>
      <c r="X7" s="71">
        <f>COUNTIFS('BR Tenure v41'!$B$4:$B$206,B7,'BR Tenure v41'!$D$4:$D$206,"MEMBER",'BR Tenure v41'!$J$4:$J$206,"INTERVAL")</f>
        <v>0</v>
      </c>
      <c r="Y7" s="71">
        <f>COUNTIFS('BR Tenure v41'!$B$4:$B$206,B7,'BR Tenure v41'!$D$4:$D$206,"MEMBER",'BR Tenure v41'!$J$4:$J$206,"MIN_CONTINUOUS")</f>
        <v>0</v>
      </c>
      <c r="Z7" s="71">
        <f>COUNTIFS('BR Tenure v41'!$B$4:$B$206,B7,'BR Tenure v41'!$D$4:$D$206,"MEMBER",'BR Tenure v41'!$J$4:$J$206,"CONFLICT_MIN")</f>
        <v>0</v>
      </c>
      <c r="AA7" s="71">
        <f>COUNTIFS('BR Tenure v41'!$B$4:$B$206,B7,'BR Tenure v41'!$D$4:$D$206,"MEMBER",'BR Tenure v41'!$J$4:$J$206,"UNKNOWN")</f>
        <v>0</v>
      </c>
      <c r="AB7" s="71">
        <f>IF(W7=0,"",AVERAGEIFS('BR Tenure v41'!$U$4:$U$206,'BR Tenure v41'!$B$4:$B$206,B7,'BR Tenure v41'!$D$4:$D$206,"MEMBER",'BR Tenure v41'!$J$4:$J$206,"EXACT"))</f>
        <v>1.3623545516769338</v>
      </c>
      <c r="AC7" s="71">
        <f>IF(W7&lt;2,"",SQRT((SUMIFS('BR Tenure v41'!$V$4:$V$206,'BR Tenure v41'!$B$4:$B$206,B7,'BR Tenure v41'!$D$4:$D$206,"MEMBER",'BR Tenure v41'!$J$4:$J$206,"EXACT")-W7*AB7^2)/(W7-1)))</f>
        <v>0.98968212588209592</v>
      </c>
      <c r="AD7" s="71" t="str">
        <f>IFERROR(INDEX('BR Tenure v41'!$J$4:$J$206,MATCH(1,INDEX(('BR Tenure v41'!$B$4:$B$206=B7)*('BR Tenure v41'!$D$4:$D$206="CHAIR"),0),0)),"")</f>
        <v>EXACT</v>
      </c>
      <c r="AE7" s="71">
        <f>IFERROR(INDEX('BR Tenure v41'!$U$4:$U$206,MATCH(1,INDEX(('BR Tenure v41'!$B$4:$B$206=B7)*('BR Tenure v41'!$D$4:$D$206="CHAIR"),0),0)),"")</f>
        <v>1.106091718001369</v>
      </c>
      <c r="AF7" s="71" t="str">
        <f>IFERROR(INDEX('BR Tenure v41'!$J$4:$J$206,MATCH(1,INDEX(('BR Tenure v41'!$B$4:$B$206=B7)*('BR Tenure v41'!$D$4:$D$206="CEO"),0),0)),"")</f>
        <v>EXACT</v>
      </c>
      <c r="AG7" s="71">
        <f>IFERROR(INDEX('BR Tenure v41'!$U$4:$U$206,MATCH(1,INDEX(('BR Tenure v41'!$B$4:$B$206=B7)*('BR Tenure v41'!$D$4:$D$206="CEO"),0),0)),"")</f>
        <v>1.106091718001369</v>
      </c>
      <c r="AH7" s="71" t="str">
        <f t="shared" si="4"/>
        <v>FULL_EXACT</v>
      </c>
      <c r="AI7" s="71">
        <f>IF(COUNTIFS('BR Tenure v41'!$B$4:$B$206,B7,'BR Tenure v41'!$D$4:$D$206,"MEMBER",'BR Tenure v41'!$U$4:$U$206,"&gt;=0")=0,"",AVERAGEIFS('BR Tenure v41'!$U$4:$U$206,'BR Tenure v41'!$B$4:$B$206,B7,'BR Tenure v41'!$D$4:$D$206,"MEMBER",'BR Tenure v41'!$U$4:$U$206,"&gt;=0"))</f>
        <v>1.3623545516769338</v>
      </c>
      <c r="AJ7" s="71">
        <f>COUNTIFS('BR Tenure v41'!$B$4:$B$206,B7,'BR Tenure v41'!$D$4:$D$206,"MEMBER",'BR Tenure v41'!$U$4:$U$206,"&gt;=0")</f>
        <v>5</v>
      </c>
    </row>
    <row r="8" spans="1:36" ht="20" customHeight="1" x14ac:dyDescent="0.2">
      <c r="A8" s="70" t="s">
        <v>4999</v>
      </c>
      <c r="B8" s="70" t="s">
        <v>135</v>
      </c>
      <c r="C8" s="70" t="s">
        <v>1859</v>
      </c>
      <c r="D8" s="70">
        <v>5</v>
      </c>
      <c r="E8" s="70" t="s">
        <v>191</v>
      </c>
      <c r="F8" s="70" t="s">
        <v>119</v>
      </c>
      <c r="G8" s="70" t="s">
        <v>5175</v>
      </c>
      <c r="H8" s="70">
        <v>0</v>
      </c>
      <c r="I8" s="70">
        <f>COUNTIFS('BR Independence v41'!$B$4:$B$148,B8,'BR Independence v41'!$P$4:$P$148,"NOT_INDEPENDENT_DOCUMENTED_EXECUTIVE")</f>
        <v>1</v>
      </c>
      <c r="J8" s="70">
        <f>COUNTIFS('BR Independence v41'!$B$4:$B$148,B8,'BR Independence v41'!$P$4:$P$148,"UNKNOWN")</f>
        <v>4</v>
      </c>
      <c r="K8" s="70">
        <f>COUNTIFS('BR Independence v41'!$B$4:$B$148,B8,'BR Independence v41'!$P$4:$P$148,"CONFLICT_DUTY_STATUS")</f>
        <v>0</v>
      </c>
      <c r="L8" s="70" t="str">
        <f t="shared" si="0"/>
        <v/>
      </c>
      <c r="M8" s="70">
        <f t="shared" si="1"/>
        <v>0</v>
      </c>
      <c r="N8" s="70">
        <f t="shared" si="2"/>
        <v>0</v>
      </c>
      <c r="O8" s="70">
        <f t="shared" si="3"/>
        <v>0.8</v>
      </c>
      <c r="P8" s="70" t="s">
        <v>2016</v>
      </c>
      <c r="Q8" s="70">
        <v>0</v>
      </c>
      <c r="R8" s="70">
        <v>2</v>
      </c>
      <c r="S8" s="70">
        <v>3</v>
      </c>
      <c r="T8" s="70">
        <v>0</v>
      </c>
      <c r="U8" s="70">
        <v>3</v>
      </c>
      <c r="V8" s="70"/>
      <c r="W8" s="70">
        <f>COUNTIFS('BR Tenure v41'!$B$4:$B$206,B8,'BR Tenure v41'!$D$4:$D$206,"MEMBER",'BR Tenure v41'!$J$4:$J$206,"EXACT")</f>
        <v>2</v>
      </c>
      <c r="X8" s="70">
        <f>COUNTIFS('BR Tenure v41'!$B$4:$B$206,B8,'BR Tenure v41'!$D$4:$D$206,"MEMBER",'BR Tenure v41'!$J$4:$J$206,"INTERVAL")</f>
        <v>0</v>
      </c>
      <c r="Y8" s="70">
        <f>COUNTIFS('BR Tenure v41'!$B$4:$B$206,B8,'BR Tenure v41'!$D$4:$D$206,"MEMBER",'BR Tenure v41'!$J$4:$J$206,"MIN_CONTINUOUS")</f>
        <v>3</v>
      </c>
      <c r="Z8" s="70">
        <f>COUNTIFS('BR Tenure v41'!$B$4:$B$206,B8,'BR Tenure v41'!$D$4:$D$206,"MEMBER",'BR Tenure v41'!$J$4:$J$206,"CONFLICT_MIN")</f>
        <v>0</v>
      </c>
      <c r="AA8" s="70">
        <f>COUNTIFS('BR Tenure v41'!$B$4:$B$206,B8,'BR Tenure v41'!$D$4:$D$206,"MEMBER",'BR Tenure v41'!$J$4:$J$206,"UNKNOWN")</f>
        <v>0</v>
      </c>
      <c r="AB8" s="70">
        <f>IF(W8=0,"",AVERAGEIFS('BR Tenure v41'!$U$4:$U$206,'BR Tenure v41'!$B$4:$B$206,B8,'BR Tenure v41'!$D$4:$D$206,"MEMBER",'BR Tenure v41'!$J$4:$J$206,"EXACT"))</f>
        <v>0.36960985626283371</v>
      </c>
      <c r="AC8" s="70">
        <f>IF(W8&lt;2,"",SQRT((SUMIFS('BR Tenure v41'!$V$4:$V$206,'BR Tenure v41'!$B$4:$B$206,B8,'BR Tenure v41'!$D$4:$D$206,"MEMBER",'BR Tenure v41'!$J$4:$J$206,"EXACT")-W8*AB8^2)/(W8-1)))</f>
        <v>5.4206680008824441E-2</v>
      </c>
      <c r="AD8" s="70" t="str">
        <f>IFERROR(INDEX('BR Tenure v41'!$J$4:$J$206,MATCH(1,INDEX(('BR Tenure v41'!$B$4:$B$206=B8)*('BR Tenure v41'!$D$4:$D$206="CHAIR"),0),0)),"")</f>
        <v>EXACT</v>
      </c>
      <c r="AE8" s="70">
        <f>IFERROR(INDEX('BR Tenure v41'!$U$4:$U$206,MATCH(1,INDEX(('BR Tenure v41'!$B$4:$B$206=B8)*('BR Tenure v41'!$D$4:$D$206="CHAIR"),0),0)),"")</f>
        <v>0.40793976728268311</v>
      </c>
      <c r="AF8" s="70" t="str">
        <f>IFERROR(INDEX('BR Tenure v41'!$J$4:$J$206,MATCH(1,INDEX(('BR Tenure v41'!$B$4:$B$206=B8)*('BR Tenure v41'!$D$4:$D$206="CEO"),0),0)),"")</f>
        <v>MIN_CONTINUOUS</v>
      </c>
      <c r="AG8" s="70">
        <f>IFERROR(INDEX('BR Tenure v41'!$U$4:$U$206,MATCH(1,INDEX(('BR Tenure v41'!$B$4:$B$206=B8)*('BR Tenure v41'!$D$4:$D$206="CEO"),0),0)),"")</f>
        <v>2.6392881587953458</v>
      </c>
      <c r="AH8" s="70" t="str">
        <f t="shared" si="4"/>
        <v>PARTIAL_EXACT</v>
      </c>
      <c r="AI8" s="70">
        <f>IF(COUNTIFS('BR Tenure v41'!$B$4:$B$206,B8,'BR Tenure v41'!$D$4:$D$206,"MEMBER",'BR Tenure v41'!$U$4:$U$206,"&gt;=0")=0,"",AVERAGEIFS('BR Tenure v41'!$U$4:$U$206,'BR Tenure v41'!$B$4:$B$206,B8,'BR Tenure v41'!$D$4:$D$206,"MEMBER",'BR Tenure v41'!$U$4:$U$206,"&gt;=0"))</f>
        <v>2.5002053388090348</v>
      </c>
      <c r="AJ8" s="70">
        <f>COUNTIFS('BR Tenure v41'!$B$4:$B$206,B8,'BR Tenure v41'!$D$4:$D$206,"MEMBER",'BR Tenure v41'!$U$4:$U$206,"&gt;=0")</f>
        <v>5</v>
      </c>
    </row>
    <row r="9" spans="1:36" ht="20" customHeight="1" x14ac:dyDescent="0.2">
      <c r="A9" s="71" t="s">
        <v>5002</v>
      </c>
      <c r="B9" s="71" t="s">
        <v>137</v>
      </c>
      <c r="C9" s="71" t="s">
        <v>1859</v>
      </c>
      <c r="D9" s="71">
        <v>5</v>
      </c>
      <c r="E9" s="71" t="s">
        <v>5183</v>
      </c>
      <c r="F9" s="71" t="s">
        <v>119</v>
      </c>
      <c r="G9" s="71" t="s">
        <v>3753</v>
      </c>
      <c r="H9" s="71">
        <v>0</v>
      </c>
      <c r="I9" s="71">
        <f>COUNTIFS('BR Independence v41'!$B$4:$B$148,B9,'BR Independence v41'!$P$4:$P$148,"NOT_INDEPENDENT_DOCUMENTED_EXECUTIVE")</f>
        <v>2</v>
      </c>
      <c r="J9" s="71">
        <f>COUNTIFS('BR Independence v41'!$B$4:$B$148,B9,'BR Independence v41'!$P$4:$P$148,"UNKNOWN")</f>
        <v>3</v>
      </c>
      <c r="K9" s="71">
        <f>COUNTIFS('BR Independence v41'!$B$4:$B$148,B9,'BR Independence v41'!$P$4:$P$148,"CONFLICT_DUTY_STATUS")</f>
        <v>0</v>
      </c>
      <c r="L9" s="71" t="str">
        <f t="shared" si="0"/>
        <v/>
      </c>
      <c r="M9" s="71">
        <f t="shared" si="1"/>
        <v>0</v>
      </c>
      <c r="N9" s="71">
        <f t="shared" si="2"/>
        <v>0</v>
      </c>
      <c r="O9" s="71">
        <f t="shared" si="3"/>
        <v>0.6</v>
      </c>
      <c r="P9" s="71" t="s">
        <v>2016</v>
      </c>
      <c r="Q9" s="71">
        <v>0</v>
      </c>
      <c r="R9" s="71">
        <v>0</v>
      </c>
      <c r="S9" s="71">
        <v>5</v>
      </c>
      <c r="T9" s="71">
        <v>0</v>
      </c>
      <c r="U9" s="71">
        <v>0</v>
      </c>
      <c r="V9" s="71"/>
      <c r="W9" s="71">
        <f>COUNTIFS('BR Tenure v41'!$B$4:$B$206,B9,'BR Tenure v41'!$D$4:$D$206,"MEMBER",'BR Tenure v41'!$J$4:$J$206,"EXACT")</f>
        <v>4</v>
      </c>
      <c r="X9" s="71">
        <f>COUNTIFS('BR Tenure v41'!$B$4:$B$206,B9,'BR Tenure v41'!$D$4:$D$206,"MEMBER",'BR Tenure v41'!$J$4:$J$206,"INTERVAL")</f>
        <v>0</v>
      </c>
      <c r="Y9" s="71">
        <f>COUNTIFS('BR Tenure v41'!$B$4:$B$206,B9,'BR Tenure v41'!$D$4:$D$206,"MEMBER",'BR Tenure v41'!$J$4:$J$206,"MIN_CONTINUOUS")</f>
        <v>1</v>
      </c>
      <c r="Z9" s="71">
        <f>COUNTIFS('BR Tenure v41'!$B$4:$B$206,B9,'BR Tenure v41'!$D$4:$D$206,"MEMBER",'BR Tenure v41'!$J$4:$J$206,"CONFLICT_MIN")</f>
        <v>0</v>
      </c>
      <c r="AA9" s="71">
        <f>COUNTIFS('BR Tenure v41'!$B$4:$B$206,B9,'BR Tenure v41'!$D$4:$D$206,"MEMBER",'BR Tenure v41'!$J$4:$J$206,"UNKNOWN")</f>
        <v>0</v>
      </c>
      <c r="AB9" s="71">
        <f>IF(W9=0,"",AVERAGEIFS('BR Tenure v41'!$U$4:$U$206,'BR Tenure v41'!$B$4:$B$206,B9,'BR Tenure v41'!$D$4:$D$206,"MEMBER",'BR Tenure v41'!$J$4:$J$206,"EXACT"))</f>
        <v>0.98631074606433933</v>
      </c>
      <c r="AC9" s="71">
        <f>IF(W9&lt;2,"",SQRT((SUMIFS('BR Tenure v41'!$V$4:$V$206,'BR Tenure v41'!$B$4:$B$206,B9,'BR Tenure v41'!$D$4:$D$206,"MEMBER",'BR Tenure v41'!$J$4:$J$206,"EXACT")-W9*AB9^2)/(W9-1)))</f>
        <v>0.84841684485896041</v>
      </c>
      <c r="AD9" s="71" t="str">
        <f>IFERROR(INDEX('BR Tenure v41'!$J$4:$J$206,MATCH(1,INDEX(('BR Tenure v41'!$B$4:$B$206=B9)*('BR Tenure v41'!$D$4:$D$206="CHAIR"),0),0)),"")</f>
        <v>EXACT</v>
      </c>
      <c r="AE9" s="71">
        <f>IFERROR(INDEX('BR Tenure v41'!$U$4:$U$206,MATCH(1,INDEX(('BR Tenure v41'!$B$4:$B$206=B9)*('BR Tenure v41'!$D$4:$D$206="CHAIR"),0),0)),"")</f>
        <v>0.58590006844626963</v>
      </c>
      <c r="AF9" s="71" t="str">
        <f>IFERROR(INDEX('BR Tenure v41'!$J$4:$J$206,MATCH(1,INDEX(('BR Tenure v41'!$B$4:$B$206=B9)*('BR Tenure v41'!$D$4:$D$206="CEO"),0),0)),"")</f>
        <v>MIN_CONTINUOUS</v>
      </c>
      <c r="AG9" s="71">
        <f>IFERROR(INDEX('BR Tenure v41'!$U$4:$U$206,MATCH(1,INDEX(('BR Tenure v41'!$B$4:$B$206=B9)*('BR Tenure v41'!$D$4:$D$206="CEO"),0),0)),"")</f>
        <v>2.1437371663244353</v>
      </c>
      <c r="AH9" s="71" t="str">
        <f t="shared" si="4"/>
        <v>PARTIAL_EXACT</v>
      </c>
      <c r="AI9" s="71">
        <f>IF(COUNTIFS('BR Tenure v41'!$B$4:$B$206,B9,'BR Tenure v41'!$D$4:$D$206,"MEMBER",'BR Tenure v41'!$U$4:$U$206,"&gt;=0")=0,"",AVERAGEIFS('BR Tenure v41'!$U$4:$U$206,'BR Tenure v41'!$B$4:$B$206,B9,'BR Tenure v41'!$D$4:$D$206,"MEMBER",'BR Tenure v41'!$U$4:$U$206,"&gt;=0"))</f>
        <v>1.4078028747433264</v>
      </c>
      <c r="AJ9" s="71">
        <f>COUNTIFS('BR Tenure v41'!$B$4:$B$206,B9,'BR Tenure v41'!$D$4:$D$206,"MEMBER",'BR Tenure v41'!$U$4:$U$206,"&gt;=0")</f>
        <v>5</v>
      </c>
    </row>
    <row r="10" spans="1:36" ht="20" customHeight="1" x14ac:dyDescent="0.2">
      <c r="A10" s="70" t="s">
        <v>5005</v>
      </c>
      <c r="B10" s="70" t="s">
        <v>140</v>
      </c>
      <c r="C10" s="70" t="s">
        <v>1859</v>
      </c>
      <c r="D10" s="70">
        <v>5</v>
      </c>
      <c r="E10" s="70" t="s">
        <v>2699</v>
      </c>
      <c r="F10" s="70" t="s">
        <v>119</v>
      </c>
      <c r="G10" s="70" t="s">
        <v>5198</v>
      </c>
      <c r="H10" s="70">
        <v>0</v>
      </c>
      <c r="I10" s="70">
        <f>COUNTIFS('BR Independence v41'!$B$4:$B$148,B10,'BR Independence v41'!$P$4:$P$148,"NOT_INDEPENDENT_DOCUMENTED_EXECUTIVE")</f>
        <v>1</v>
      </c>
      <c r="J10" s="70">
        <f>COUNTIFS('BR Independence v41'!$B$4:$B$148,B10,'BR Independence v41'!$P$4:$P$148,"UNKNOWN")</f>
        <v>4</v>
      </c>
      <c r="K10" s="70">
        <f>COUNTIFS('BR Independence v41'!$B$4:$B$148,B10,'BR Independence v41'!$P$4:$P$148,"CONFLICT_DUTY_STATUS")</f>
        <v>0</v>
      </c>
      <c r="L10" s="70" t="str">
        <f t="shared" si="0"/>
        <v/>
      </c>
      <c r="M10" s="70">
        <f t="shared" si="1"/>
        <v>0</v>
      </c>
      <c r="N10" s="70">
        <f t="shared" si="2"/>
        <v>0</v>
      </c>
      <c r="O10" s="70">
        <f t="shared" si="3"/>
        <v>0.8</v>
      </c>
      <c r="P10" s="70" t="s">
        <v>2016</v>
      </c>
      <c r="Q10" s="70">
        <v>0</v>
      </c>
      <c r="R10" s="70">
        <v>0</v>
      </c>
      <c r="S10" s="70">
        <v>5</v>
      </c>
      <c r="T10" s="70">
        <v>0</v>
      </c>
      <c r="U10" s="70">
        <v>0</v>
      </c>
      <c r="V10" s="70"/>
      <c r="W10" s="70">
        <f>COUNTIFS('BR Tenure v41'!$B$4:$B$206,B10,'BR Tenure v41'!$D$4:$D$206,"MEMBER",'BR Tenure v41'!$J$4:$J$206,"EXACT")</f>
        <v>5</v>
      </c>
      <c r="X10" s="70">
        <f>COUNTIFS('BR Tenure v41'!$B$4:$B$206,B10,'BR Tenure v41'!$D$4:$D$206,"MEMBER",'BR Tenure v41'!$J$4:$J$206,"INTERVAL")</f>
        <v>0</v>
      </c>
      <c r="Y10" s="70">
        <f>COUNTIFS('BR Tenure v41'!$B$4:$B$206,B10,'BR Tenure v41'!$D$4:$D$206,"MEMBER",'BR Tenure v41'!$J$4:$J$206,"MIN_CONTINUOUS")</f>
        <v>0</v>
      </c>
      <c r="Z10" s="70">
        <f>COUNTIFS('BR Tenure v41'!$B$4:$B$206,B10,'BR Tenure v41'!$D$4:$D$206,"MEMBER",'BR Tenure v41'!$J$4:$J$206,"CONFLICT_MIN")</f>
        <v>0</v>
      </c>
      <c r="AA10" s="70">
        <f>COUNTIFS('BR Tenure v41'!$B$4:$B$206,B10,'BR Tenure v41'!$D$4:$D$206,"MEMBER",'BR Tenure v41'!$J$4:$J$206,"UNKNOWN")</f>
        <v>0</v>
      </c>
      <c r="AB10" s="70">
        <f>IF(W10=0,"",AVERAGEIFS('BR Tenure v41'!$U$4:$U$206,'BR Tenure v41'!$B$4:$B$206,B10,'BR Tenure v41'!$D$4:$D$206,"MEMBER",'BR Tenure v41'!$J$4:$J$206,"EXACT"))</f>
        <v>0.93853524982888425</v>
      </c>
      <c r="AC10" s="70">
        <f>IF(W10&lt;2,"",SQRT((SUMIFS('BR Tenure v41'!$V$4:$V$206,'BR Tenure v41'!$B$4:$B$206,B10,'BR Tenure v41'!$D$4:$D$206,"MEMBER",'BR Tenure v41'!$J$4:$J$206,"EXACT")-W10*AB10^2)/(W10-1)))</f>
        <v>0.47690657361199351</v>
      </c>
      <c r="AD10" s="70" t="str">
        <f>IFERROR(INDEX('BR Tenure v41'!$J$4:$J$206,MATCH(1,INDEX(('BR Tenure v41'!$B$4:$B$206=B10)*('BR Tenure v41'!$D$4:$D$206="CHAIR"),0),0)),"")</f>
        <v>EXACT</v>
      </c>
      <c r="AE10" s="70">
        <f>IFERROR(INDEX('BR Tenure v41'!$U$4:$U$206,MATCH(1,INDEX(('BR Tenure v41'!$B$4:$B$206=B10)*('BR Tenure v41'!$D$4:$D$206="CHAIR"),0),0)),"")</f>
        <v>0.41889117043121149</v>
      </c>
      <c r="AF10" s="70" t="str">
        <f>IFERROR(INDEX('BR Tenure v41'!$J$4:$J$206,MATCH(1,INDEX(('BR Tenure v41'!$B$4:$B$206=B10)*('BR Tenure v41'!$D$4:$D$206="CEO"),0),0)),"")</f>
        <v>INTERVAL</v>
      </c>
      <c r="AG10" s="70">
        <f>IFERROR(INDEX('BR Tenure v41'!$U$4:$U$206,MATCH(1,INDEX(('BR Tenure v41'!$B$4:$B$206=B10)*('BR Tenure v41'!$D$4:$D$206="CEO"),0),0)),"")</f>
        <v>0.54483230663928817</v>
      </c>
      <c r="AH10" s="70" t="str">
        <f t="shared" si="4"/>
        <v>FULL_EXACT</v>
      </c>
      <c r="AI10" s="70">
        <f>IF(COUNTIFS('BR Tenure v41'!$B$4:$B$206,B10,'BR Tenure v41'!$D$4:$D$206,"MEMBER",'BR Tenure v41'!$U$4:$U$206,"&gt;=0")=0,"",AVERAGEIFS('BR Tenure v41'!$U$4:$U$206,'BR Tenure v41'!$B$4:$B$206,B10,'BR Tenure v41'!$D$4:$D$206,"MEMBER",'BR Tenure v41'!$U$4:$U$206,"&gt;=0"))</f>
        <v>0.93853524982888425</v>
      </c>
      <c r="AJ10" s="70">
        <f>COUNTIFS('BR Tenure v41'!$B$4:$B$206,B10,'BR Tenure v41'!$D$4:$D$206,"MEMBER",'BR Tenure v41'!$U$4:$U$206,"&gt;=0")</f>
        <v>5</v>
      </c>
    </row>
    <row r="11" spans="1:36" ht="20" customHeight="1" x14ac:dyDescent="0.2">
      <c r="A11" s="71" t="s">
        <v>5008</v>
      </c>
      <c r="B11" s="71" t="s">
        <v>143</v>
      </c>
      <c r="C11" s="71" t="s">
        <v>1859</v>
      </c>
      <c r="D11" s="71">
        <v>5</v>
      </c>
      <c r="E11" s="71" t="s">
        <v>5211</v>
      </c>
      <c r="F11" s="71" t="s">
        <v>119</v>
      </c>
      <c r="G11" s="71" t="s">
        <v>5205</v>
      </c>
      <c r="H11" s="71">
        <v>0</v>
      </c>
      <c r="I11" s="71">
        <f>COUNTIFS('BR Independence v41'!$B$4:$B$148,B11,'BR Independence v41'!$P$4:$P$148,"NOT_INDEPENDENT_DOCUMENTED_EXECUTIVE")</f>
        <v>2</v>
      </c>
      <c r="J11" s="71">
        <f>COUNTIFS('BR Independence v41'!$B$4:$B$148,B11,'BR Independence v41'!$P$4:$P$148,"UNKNOWN")</f>
        <v>3</v>
      </c>
      <c r="K11" s="71">
        <f>COUNTIFS('BR Independence v41'!$B$4:$B$148,B11,'BR Independence v41'!$P$4:$P$148,"CONFLICT_DUTY_STATUS")</f>
        <v>0</v>
      </c>
      <c r="L11" s="71" t="str">
        <f t="shared" si="0"/>
        <v/>
      </c>
      <c r="M11" s="71">
        <f t="shared" si="1"/>
        <v>0</v>
      </c>
      <c r="N11" s="71">
        <f t="shared" si="2"/>
        <v>0</v>
      </c>
      <c r="O11" s="71">
        <f t="shared" si="3"/>
        <v>0.6</v>
      </c>
      <c r="P11" s="71" t="s">
        <v>2016</v>
      </c>
      <c r="Q11" s="71">
        <v>5</v>
      </c>
      <c r="R11" s="71">
        <v>0</v>
      </c>
      <c r="S11" s="71">
        <v>0</v>
      </c>
      <c r="T11" s="71">
        <v>0</v>
      </c>
      <c r="U11" s="71">
        <v>5</v>
      </c>
      <c r="V11" s="71">
        <v>1</v>
      </c>
      <c r="W11" s="71">
        <f>COUNTIFS('BR Tenure v41'!$B$4:$B$206,B11,'BR Tenure v41'!$D$4:$D$206,"MEMBER",'BR Tenure v41'!$J$4:$J$206,"EXACT")</f>
        <v>5</v>
      </c>
      <c r="X11" s="71">
        <f>COUNTIFS('BR Tenure v41'!$B$4:$B$206,B11,'BR Tenure v41'!$D$4:$D$206,"MEMBER",'BR Tenure v41'!$J$4:$J$206,"INTERVAL")</f>
        <v>0</v>
      </c>
      <c r="Y11" s="71">
        <f>COUNTIFS('BR Tenure v41'!$B$4:$B$206,B11,'BR Tenure v41'!$D$4:$D$206,"MEMBER",'BR Tenure v41'!$J$4:$J$206,"MIN_CONTINUOUS")</f>
        <v>0</v>
      </c>
      <c r="Z11" s="71">
        <f>COUNTIFS('BR Tenure v41'!$B$4:$B$206,B11,'BR Tenure v41'!$D$4:$D$206,"MEMBER",'BR Tenure v41'!$J$4:$J$206,"CONFLICT_MIN")</f>
        <v>0</v>
      </c>
      <c r="AA11" s="71">
        <f>COUNTIFS('BR Tenure v41'!$B$4:$B$206,B11,'BR Tenure v41'!$D$4:$D$206,"MEMBER",'BR Tenure v41'!$J$4:$J$206,"UNKNOWN")</f>
        <v>0</v>
      </c>
      <c r="AB11" s="71">
        <f>IF(W11=0,"",AVERAGEIFS('BR Tenure v41'!$U$4:$U$206,'BR Tenure v41'!$B$4:$B$206,B11,'BR Tenure v41'!$D$4:$D$206,"MEMBER",'BR Tenure v41'!$J$4:$J$206,"EXACT"))</f>
        <v>1.5085557837097876</v>
      </c>
      <c r="AC11" s="71">
        <f>IF(W11&lt;2,"",SQRT((SUMIFS('BR Tenure v41'!$V$4:$V$206,'BR Tenure v41'!$B$4:$B$206,B11,'BR Tenure v41'!$D$4:$D$206,"MEMBER",'BR Tenure v41'!$J$4:$J$206,"EXACT")-W11*AB11^2)/(W11-1)))</f>
        <v>0.95869941444344253</v>
      </c>
      <c r="AD11" s="71" t="str">
        <f>IFERROR(INDEX('BR Tenure v41'!$J$4:$J$206,MATCH(1,INDEX(('BR Tenure v41'!$B$4:$B$206=B11)*('BR Tenure v41'!$D$4:$D$206="CHAIR"),0),0)),"")</f>
        <v>EXACT</v>
      </c>
      <c r="AE11" s="71">
        <f>IFERROR(INDEX('BR Tenure v41'!$U$4:$U$206,MATCH(1,INDEX(('BR Tenure v41'!$B$4:$B$206=B11)*('BR Tenure v41'!$D$4:$D$206="CHAIR"),0),0)),"")</f>
        <v>1.3661875427789185</v>
      </c>
      <c r="AF11" s="71" t="str">
        <f>IFERROR(INDEX('BR Tenure v41'!$J$4:$J$206,MATCH(1,INDEX(('BR Tenure v41'!$B$4:$B$206=B11)*('BR Tenure v41'!$D$4:$D$206="CEO"),0),0)),"")</f>
        <v>EXACT</v>
      </c>
      <c r="AG11" s="71">
        <f>IFERROR(INDEX('BR Tenure v41'!$U$4:$U$206,MATCH(1,INDEX(('BR Tenure v41'!$B$4:$B$206=B11)*('BR Tenure v41'!$D$4:$D$206="CEO"),0),0)),"")</f>
        <v>1.2950034223134839</v>
      </c>
      <c r="AH11" s="71" t="str">
        <f t="shared" si="4"/>
        <v>FULL_EXACT</v>
      </c>
      <c r="AI11" s="71">
        <f>IF(COUNTIFS('BR Tenure v41'!$B$4:$B$206,B11,'BR Tenure v41'!$D$4:$D$206,"MEMBER",'BR Tenure v41'!$U$4:$U$206,"&gt;=0")=0,"",AVERAGEIFS('BR Tenure v41'!$U$4:$U$206,'BR Tenure v41'!$B$4:$B$206,B11,'BR Tenure v41'!$D$4:$D$206,"MEMBER",'BR Tenure v41'!$U$4:$U$206,"&gt;=0"))</f>
        <v>1.5085557837097876</v>
      </c>
      <c r="AJ11" s="71">
        <f>COUNTIFS('BR Tenure v41'!$B$4:$B$206,B11,'BR Tenure v41'!$D$4:$D$206,"MEMBER",'BR Tenure v41'!$U$4:$U$206,"&gt;=0")</f>
        <v>5</v>
      </c>
    </row>
    <row r="12" spans="1:36" ht="43.5" customHeight="1" x14ac:dyDescent="0.2">
      <c r="A12" s="70" t="s">
        <v>5011</v>
      </c>
      <c r="B12" s="70" t="s">
        <v>20</v>
      </c>
      <c r="C12" s="70" t="s">
        <v>1859</v>
      </c>
      <c r="D12" s="70">
        <v>4</v>
      </c>
      <c r="E12" s="70" t="s">
        <v>5225</v>
      </c>
      <c r="F12" s="70" t="s">
        <v>119</v>
      </c>
      <c r="G12" s="70" t="s">
        <v>5223</v>
      </c>
      <c r="H12" s="70">
        <v>0</v>
      </c>
      <c r="I12" s="70">
        <f>COUNTIFS('BR Independence v41'!$B$4:$B$148,B12,'BR Independence v41'!$P$4:$P$148,"NOT_INDEPENDENT_DOCUMENTED_EXECUTIVE")</f>
        <v>4</v>
      </c>
      <c r="J12" s="70">
        <f>COUNTIFS('BR Independence v41'!$B$4:$B$148,B12,'BR Independence v41'!$P$4:$P$148,"UNKNOWN")</f>
        <v>0</v>
      </c>
      <c r="K12" s="70">
        <f>COUNTIFS('BR Independence v41'!$B$4:$B$148,B12,'BR Independence v41'!$P$4:$P$148,"CONFLICT_DUTY_STATUS")</f>
        <v>0</v>
      </c>
      <c r="L12" s="70">
        <f t="shared" si="0"/>
        <v>0</v>
      </c>
      <c r="M12" s="70">
        <f t="shared" si="1"/>
        <v>0</v>
      </c>
      <c r="N12" s="70">
        <f t="shared" si="2"/>
        <v>0</v>
      </c>
      <c r="O12" s="70">
        <f t="shared" si="3"/>
        <v>0</v>
      </c>
      <c r="P12" s="70" t="s">
        <v>6314</v>
      </c>
      <c r="Q12" s="70">
        <v>0</v>
      </c>
      <c r="R12" s="70">
        <v>0</v>
      </c>
      <c r="S12" s="70">
        <v>4</v>
      </c>
      <c r="T12" s="70">
        <v>0</v>
      </c>
      <c r="U12" s="70">
        <v>0</v>
      </c>
      <c r="V12" s="70"/>
      <c r="W12" s="70">
        <f>COUNTIFS('BR Tenure v41'!$B$4:$B$206,B12,'BR Tenure v41'!$D$4:$D$206,"MEMBER",'BR Tenure v41'!$J$4:$J$206,"EXACT")</f>
        <v>3</v>
      </c>
      <c r="X12" s="70">
        <f>COUNTIFS('BR Tenure v41'!$B$4:$B$206,B12,'BR Tenure v41'!$D$4:$D$206,"MEMBER",'BR Tenure v41'!$J$4:$J$206,"INTERVAL")</f>
        <v>0</v>
      </c>
      <c r="Y12" s="70">
        <f>COUNTIFS('BR Tenure v41'!$B$4:$B$206,B12,'BR Tenure v41'!$D$4:$D$206,"MEMBER",'BR Tenure v41'!$J$4:$J$206,"MIN_CONTINUOUS")</f>
        <v>0</v>
      </c>
      <c r="Z12" s="70">
        <f>COUNTIFS('BR Tenure v41'!$B$4:$B$206,B12,'BR Tenure v41'!$D$4:$D$206,"MEMBER",'BR Tenure v41'!$J$4:$J$206,"CONFLICT_MIN")</f>
        <v>1</v>
      </c>
      <c r="AA12" s="70">
        <f>COUNTIFS('BR Tenure v41'!$B$4:$B$206,B12,'BR Tenure v41'!$D$4:$D$206,"MEMBER",'BR Tenure v41'!$J$4:$J$206,"UNKNOWN")</f>
        <v>0</v>
      </c>
      <c r="AB12" s="70">
        <f>IF(W12=0,"",AVERAGEIFS('BR Tenure v41'!$U$4:$U$206,'BR Tenure v41'!$B$4:$B$206,B12,'BR Tenure v41'!$D$4:$D$206,"MEMBER",'BR Tenure v41'!$J$4:$J$206,"EXACT"))</f>
        <v>3.4515172256445354</v>
      </c>
      <c r="AC12" s="70">
        <f>IF(W12&lt;2,"",SQRT((SUMIFS('BR Tenure v41'!$V$4:$V$206,'BR Tenure v41'!$B$4:$B$206,B12,'BR Tenure v41'!$D$4:$D$206,"MEMBER",'BR Tenure v41'!$J$4:$J$206,"EXACT")-W12*AB12^2)/(W12-1)))</f>
        <v>1.1871048656027638</v>
      </c>
      <c r="AD12" s="70" t="str">
        <f>IFERROR(INDEX('BR Tenure v41'!$J$4:$J$206,MATCH(1,INDEX(('BR Tenure v41'!$B$4:$B$206=B12)*('BR Tenure v41'!$D$4:$D$206="CHAIR"),0),0)),"")</f>
        <v>EXACT</v>
      </c>
      <c r="AE12" s="70">
        <f>IFERROR(INDEX('BR Tenure v41'!$U$4:$U$206,MATCH(1,INDEX(('BR Tenure v41'!$B$4:$B$206=B12)*('BR Tenure v41'!$D$4:$D$206="CHAIR"),0),0)),"")</f>
        <v>3.0061601642710474</v>
      </c>
      <c r="AF12" s="70" t="str">
        <f>IFERROR(INDEX('BR Tenure v41'!$J$4:$J$206,MATCH(1,INDEX(('BR Tenure v41'!$B$4:$B$206=B12)*('BR Tenure v41'!$D$4:$D$206="CEO"),0),0)),"")</f>
        <v>MIN_CONTINUOUS</v>
      </c>
      <c r="AG12" s="70">
        <f>IFERROR(INDEX('BR Tenure v41'!$U$4:$U$206,MATCH(1,INDEX(('BR Tenure v41'!$B$4:$B$206=B12)*('BR Tenure v41'!$D$4:$D$206="CEO"),0),0)),"")</f>
        <v>3.1950718685831623</v>
      </c>
      <c r="AH12" s="70" t="str">
        <f t="shared" si="4"/>
        <v>PARTIAL_EXACT</v>
      </c>
      <c r="AI12" s="70">
        <f>IF(COUNTIFS('BR Tenure v41'!$B$4:$B$206,B12,'BR Tenure v41'!$D$4:$D$206,"MEMBER",'BR Tenure v41'!$U$4:$U$206,"&gt;=0")=0,"",AVERAGEIFS('BR Tenure v41'!$U$4:$U$206,'BR Tenure v41'!$B$4:$B$206,B12,'BR Tenure v41'!$D$4:$D$206,"MEMBER",'BR Tenure v41'!$U$4:$U$206,"&gt;=0"))</f>
        <v>3.3415468856947297</v>
      </c>
      <c r="AJ12" s="70">
        <f>COUNTIFS('BR Tenure v41'!$B$4:$B$206,B12,'BR Tenure v41'!$D$4:$D$206,"MEMBER",'BR Tenure v41'!$U$4:$U$206,"&gt;=0")</f>
        <v>4</v>
      </c>
    </row>
    <row r="13" spans="1:36" ht="20" customHeight="1" x14ac:dyDescent="0.2">
      <c r="A13" s="71" t="s">
        <v>3444</v>
      </c>
      <c r="B13" s="71" t="s">
        <v>151</v>
      </c>
      <c r="C13" s="71" t="s">
        <v>1859</v>
      </c>
      <c r="D13" s="71">
        <v>5</v>
      </c>
      <c r="E13" s="71" t="s">
        <v>5236</v>
      </c>
      <c r="F13" s="71" t="s">
        <v>119</v>
      </c>
      <c r="G13" s="71" t="s">
        <v>3843</v>
      </c>
      <c r="H13" s="71">
        <v>0</v>
      </c>
      <c r="I13" s="71">
        <f>COUNTIFS('BR Independence v41'!$B$4:$B$148,B13,'BR Independence v41'!$P$4:$P$148,"NOT_INDEPENDENT_DOCUMENTED_EXECUTIVE")</f>
        <v>1</v>
      </c>
      <c r="J13" s="71">
        <f>COUNTIFS('BR Independence v41'!$B$4:$B$148,B13,'BR Independence v41'!$P$4:$P$148,"UNKNOWN")</f>
        <v>4</v>
      </c>
      <c r="K13" s="71">
        <f>COUNTIFS('BR Independence v41'!$B$4:$B$148,B13,'BR Independence v41'!$P$4:$P$148,"CONFLICT_DUTY_STATUS")</f>
        <v>0</v>
      </c>
      <c r="L13" s="71" t="str">
        <f t="shared" si="0"/>
        <v/>
      </c>
      <c r="M13" s="71">
        <f t="shared" si="1"/>
        <v>0</v>
      </c>
      <c r="N13" s="71">
        <f t="shared" si="2"/>
        <v>0</v>
      </c>
      <c r="O13" s="71">
        <f t="shared" si="3"/>
        <v>0.8</v>
      </c>
      <c r="P13" s="71" t="s">
        <v>2016</v>
      </c>
      <c r="Q13" s="71">
        <v>0</v>
      </c>
      <c r="R13" s="71">
        <v>0</v>
      </c>
      <c r="S13" s="71">
        <v>5</v>
      </c>
      <c r="T13" s="71">
        <v>0</v>
      </c>
      <c r="U13" s="71">
        <v>0</v>
      </c>
      <c r="V13" s="71"/>
      <c r="W13" s="71">
        <f>COUNTIFS('BR Tenure v41'!$B$4:$B$206,B13,'BR Tenure v41'!$D$4:$D$206,"MEMBER",'BR Tenure v41'!$J$4:$J$206,"EXACT")</f>
        <v>2</v>
      </c>
      <c r="X13" s="71">
        <f>COUNTIFS('BR Tenure v41'!$B$4:$B$206,B13,'BR Tenure v41'!$D$4:$D$206,"MEMBER",'BR Tenure v41'!$J$4:$J$206,"INTERVAL")</f>
        <v>3</v>
      </c>
      <c r="Y13" s="71">
        <f>COUNTIFS('BR Tenure v41'!$B$4:$B$206,B13,'BR Tenure v41'!$D$4:$D$206,"MEMBER",'BR Tenure v41'!$J$4:$J$206,"MIN_CONTINUOUS")</f>
        <v>0</v>
      </c>
      <c r="Z13" s="71">
        <f>COUNTIFS('BR Tenure v41'!$B$4:$B$206,B13,'BR Tenure v41'!$D$4:$D$206,"MEMBER",'BR Tenure v41'!$J$4:$J$206,"CONFLICT_MIN")</f>
        <v>0</v>
      </c>
      <c r="AA13" s="71">
        <f>COUNTIFS('BR Tenure v41'!$B$4:$B$206,B13,'BR Tenure v41'!$D$4:$D$206,"MEMBER",'BR Tenure v41'!$J$4:$J$206,"UNKNOWN")</f>
        <v>0</v>
      </c>
      <c r="AB13" s="71">
        <f>IF(W13=0,"",AVERAGEIFS('BR Tenure v41'!$U$4:$U$206,'BR Tenure v41'!$B$4:$B$206,B13,'BR Tenure v41'!$D$4:$D$206,"MEMBER",'BR Tenure v41'!$J$4:$J$206,"EXACT"))</f>
        <v>0.51197809719370291</v>
      </c>
      <c r="AC13" s="71">
        <f>IF(W13&lt;2,"",SQRT((SUMIFS('BR Tenure v41'!$V$4:$V$206,'BR Tenure v41'!$B$4:$B$206,B13,'BR Tenure v41'!$D$4:$D$206,"MEMBER",'BR Tenure v41'!$J$4:$J$206,"EXACT")-W13*AB13^2)/(W13-1)))</f>
        <v>0.48786012007942497</v>
      </c>
      <c r="AD13" s="71" t="str">
        <f>IFERROR(INDEX('BR Tenure v41'!$J$4:$J$206,MATCH(1,INDEX(('BR Tenure v41'!$B$4:$B$206=B13)*('BR Tenure v41'!$D$4:$D$206="CHAIR"),0),0)),"")</f>
        <v>EXACT</v>
      </c>
      <c r="AE13" s="71">
        <f>IFERROR(INDEX('BR Tenure v41'!$U$4:$U$206,MATCH(1,INDEX(('BR Tenure v41'!$B$4:$B$206=B13)*('BR Tenure v41'!$D$4:$D$206="CHAIR"),0),0)),"")</f>
        <v>0.85694729637234768</v>
      </c>
      <c r="AF13" s="71" t="str">
        <f>IFERROR(INDEX('BR Tenure v41'!$J$4:$J$206,MATCH(1,INDEX(('BR Tenure v41'!$B$4:$B$206=B13)*('BR Tenure v41'!$D$4:$D$206="CEO"),0),0)),"")</f>
        <v>MIN_CONTINUOUS</v>
      </c>
      <c r="AG13" s="71">
        <f>IFERROR(INDEX('BR Tenure v41'!$U$4:$U$206,MATCH(1,INDEX(('BR Tenure v41'!$B$4:$B$206=B13)*('BR Tenure v41'!$D$4:$D$206="CEO"),0),0)),"")</f>
        <v>2.7186858316221767</v>
      </c>
      <c r="AH13" s="71" t="str">
        <f t="shared" si="4"/>
        <v>PARTIAL_EXACT</v>
      </c>
      <c r="AI13" s="71">
        <f>IF(COUNTIFS('BR Tenure v41'!$B$4:$B$206,B13,'BR Tenure v41'!$D$4:$D$206,"MEMBER",'BR Tenure v41'!$U$4:$U$206,"&gt;=0")=0,"",AVERAGEIFS('BR Tenure v41'!$U$4:$U$206,'BR Tenure v41'!$B$4:$B$206,B13,'BR Tenure v41'!$D$4:$D$206,"MEMBER",'BR Tenure v41'!$U$4:$U$206,"&gt;=0"))</f>
        <v>1.8228610540725529</v>
      </c>
      <c r="AJ13" s="71">
        <f>COUNTIFS('BR Tenure v41'!$B$4:$B$206,B13,'BR Tenure v41'!$D$4:$D$206,"MEMBER",'BR Tenure v41'!$U$4:$U$206,"&gt;=0")</f>
        <v>5</v>
      </c>
    </row>
    <row r="14" spans="1:36" ht="20" customHeight="1" x14ac:dyDescent="0.2">
      <c r="A14" s="70" t="s">
        <v>5017</v>
      </c>
      <c r="B14" s="70" t="s">
        <v>157</v>
      </c>
      <c r="C14" s="70" t="s">
        <v>1859</v>
      </c>
      <c r="D14" s="70">
        <v>5</v>
      </c>
      <c r="E14" s="70" t="s">
        <v>5244</v>
      </c>
      <c r="F14" s="70" t="s">
        <v>119</v>
      </c>
      <c r="G14" s="70" t="s">
        <v>5251</v>
      </c>
      <c r="H14" s="70">
        <v>0</v>
      </c>
      <c r="I14" s="70">
        <f>COUNTIFS('BR Independence v41'!$B$4:$B$148,B14,'BR Independence v41'!$P$4:$P$148,"NOT_INDEPENDENT_DOCUMENTED_EXECUTIVE")</f>
        <v>1</v>
      </c>
      <c r="J14" s="70">
        <f>COUNTIFS('BR Independence v41'!$B$4:$B$148,B14,'BR Independence v41'!$P$4:$P$148,"UNKNOWN")</f>
        <v>4</v>
      </c>
      <c r="K14" s="70">
        <f>COUNTIFS('BR Independence v41'!$B$4:$B$148,B14,'BR Independence v41'!$P$4:$P$148,"CONFLICT_DUTY_STATUS")</f>
        <v>0</v>
      </c>
      <c r="L14" s="70" t="str">
        <f t="shared" si="0"/>
        <v/>
      </c>
      <c r="M14" s="70">
        <f t="shared" si="1"/>
        <v>0</v>
      </c>
      <c r="N14" s="70">
        <f t="shared" si="2"/>
        <v>0</v>
      </c>
      <c r="O14" s="70">
        <f t="shared" si="3"/>
        <v>0.8</v>
      </c>
      <c r="P14" s="70" t="s">
        <v>2016</v>
      </c>
      <c r="Q14" s="70">
        <v>0</v>
      </c>
      <c r="R14" s="70">
        <v>0</v>
      </c>
      <c r="S14" s="70">
        <v>5</v>
      </c>
      <c r="T14" s="70">
        <v>0</v>
      </c>
      <c r="U14" s="70">
        <v>0</v>
      </c>
      <c r="V14" s="70"/>
      <c r="W14" s="70">
        <f>COUNTIFS('BR Tenure v41'!$B$4:$B$206,B14,'BR Tenure v41'!$D$4:$D$206,"MEMBER",'BR Tenure v41'!$J$4:$J$206,"EXACT")</f>
        <v>4</v>
      </c>
      <c r="X14" s="70">
        <f>COUNTIFS('BR Tenure v41'!$B$4:$B$206,B14,'BR Tenure v41'!$D$4:$D$206,"MEMBER",'BR Tenure v41'!$J$4:$J$206,"INTERVAL")</f>
        <v>1</v>
      </c>
      <c r="Y14" s="70">
        <f>COUNTIFS('BR Tenure v41'!$B$4:$B$206,B14,'BR Tenure v41'!$D$4:$D$206,"MEMBER",'BR Tenure v41'!$J$4:$J$206,"MIN_CONTINUOUS")</f>
        <v>0</v>
      </c>
      <c r="Z14" s="70">
        <f>COUNTIFS('BR Tenure v41'!$B$4:$B$206,B14,'BR Tenure v41'!$D$4:$D$206,"MEMBER",'BR Tenure v41'!$J$4:$J$206,"CONFLICT_MIN")</f>
        <v>0</v>
      </c>
      <c r="AA14" s="70">
        <f>COUNTIFS('BR Tenure v41'!$B$4:$B$206,B14,'BR Tenure v41'!$D$4:$D$206,"MEMBER",'BR Tenure v41'!$J$4:$J$206,"UNKNOWN")</f>
        <v>0</v>
      </c>
      <c r="AB14" s="70">
        <f>IF(W14=0,"",AVERAGEIFS('BR Tenure v41'!$U$4:$U$206,'BR Tenure v41'!$B$4:$B$206,B14,'BR Tenure v41'!$D$4:$D$206,"MEMBER",'BR Tenure v41'!$J$4:$J$206,"EXACT"))</f>
        <v>1.1225188227241616</v>
      </c>
      <c r="AC14" s="70">
        <f>IF(W14&lt;2,"",SQRT((SUMIFS('BR Tenure v41'!$V$4:$V$206,'BR Tenure v41'!$B$4:$B$206,B14,'BR Tenure v41'!$D$4:$D$206,"MEMBER",'BR Tenure v41'!$J$4:$J$206,"EXACT")-W14*AB14^2)/(W14-1)))</f>
        <v>1.007529089664613</v>
      </c>
      <c r="AD14" s="70" t="str">
        <f>IFERROR(INDEX('BR Tenure v41'!$J$4:$J$206,MATCH(1,INDEX(('BR Tenure v41'!$B$4:$B$206=B14)*('BR Tenure v41'!$D$4:$D$206="CHAIR"),0),0)),"")</f>
        <v>EXACT</v>
      </c>
      <c r="AE14" s="70">
        <f>IFERROR(INDEX('BR Tenure v41'!$U$4:$U$206,MATCH(1,INDEX(('BR Tenure v41'!$B$4:$B$206=B14)*('BR Tenure v41'!$D$4:$D$206="CHAIR"),0),0)),"")</f>
        <v>0.61875427789185489</v>
      </c>
      <c r="AF14" s="70" t="str">
        <f>IFERROR(INDEX('BR Tenure v41'!$J$4:$J$206,MATCH(1,INDEX(('BR Tenure v41'!$B$4:$B$206=B14)*('BR Tenure v41'!$D$4:$D$206="CEO"),0),0)),"")</f>
        <v>MIN_CONTINUOUS</v>
      </c>
      <c r="AG14" s="70">
        <f>IFERROR(INDEX('BR Tenure v41'!$U$4:$U$206,MATCH(1,INDEX(('BR Tenure v41'!$B$4:$B$206=B14)*('BR Tenure v41'!$D$4:$D$206="CEO"),0),0)),"")</f>
        <v>2.6310746064339492</v>
      </c>
      <c r="AH14" s="70" t="str">
        <f t="shared" si="4"/>
        <v>PARTIAL_EXACT</v>
      </c>
      <c r="AI14" s="70">
        <f>IF(COUNTIFS('BR Tenure v41'!$B$4:$B$206,B14,'BR Tenure v41'!$D$4:$D$206,"MEMBER",'BR Tenure v41'!$U$4:$U$206,"&gt;=0")=0,"",AVERAGEIFS('BR Tenure v41'!$U$4:$U$206,'BR Tenure v41'!$B$4:$B$206,B14,'BR Tenure v41'!$D$4:$D$206,"MEMBER",'BR Tenure v41'!$U$4:$U$206,"&gt;=0"))</f>
        <v>1.0151950718685832</v>
      </c>
      <c r="AJ14" s="70">
        <f>COUNTIFS('BR Tenure v41'!$B$4:$B$206,B14,'BR Tenure v41'!$D$4:$D$206,"MEMBER",'BR Tenure v41'!$U$4:$U$206,"&gt;=0")</f>
        <v>5</v>
      </c>
    </row>
    <row r="15" spans="1:36" ht="20" customHeight="1" x14ac:dyDescent="0.2">
      <c r="A15" s="71" t="s">
        <v>5020</v>
      </c>
      <c r="B15" s="71" t="s">
        <v>159</v>
      </c>
      <c r="C15" s="71" t="s">
        <v>4364</v>
      </c>
      <c r="D15" s="71">
        <v>5</v>
      </c>
      <c r="E15" s="71" t="s">
        <v>5260</v>
      </c>
      <c r="F15" s="71" t="s">
        <v>119</v>
      </c>
      <c r="G15" s="71" t="s">
        <v>5267</v>
      </c>
      <c r="H15" s="71">
        <v>0</v>
      </c>
      <c r="I15" s="71">
        <f>COUNTIFS('BR Independence v41'!$B$4:$B$148,B15,'BR Independence v41'!$P$4:$P$148,"NOT_INDEPENDENT_DOCUMENTED_EXECUTIVE")</f>
        <v>2</v>
      </c>
      <c r="J15" s="71">
        <f>COUNTIFS('BR Independence v41'!$B$4:$B$148,B15,'BR Independence v41'!$P$4:$P$148,"UNKNOWN")</f>
        <v>3</v>
      </c>
      <c r="K15" s="71">
        <f>COUNTIFS('BR Independence v41'!$B$4:$B$148,B15,'BR Independence v41'!$P$4:$P$148,"CONFLICT_DUTY_STATUS")</f>
        <v>0</v>
      </c>
      <c r="L15" s="71" t="str">
        <f t="shared" si="0"/>
        <v/>
      </c>
      <c r="M15" s="71">
        <f t="shared" si="1"/>
        <v>0</v>
      </c>
      <c r="N15" s="71">
        <f t="shared" si="2"/>
        <v>0</v>
      </c>
      <c r="O15" s="71">
        <f t="shared" si="3"/>
        <v>0.6</v>
      </c>
      <c r="P15" s="71" t="s">
        <v>2016</v>
      </c>
      <c r="Q15" s="71">
        <v>2</v>
      </c>
      <c r="R15" s="71">
        <v>0</v>
      </c>
      <c r="S15" s="71">
        <v>3</v>
      </c>
      <c r="T15" s="71">
        <v>0</v>
      </c>
      <c r="U15" s="71">
        <v>0</v>
      </c>
      <c r="V15" s="71">
        <v>0</v>
      </c>
      <c r="W15" s="71">
        <f>COUNTIFS('BR Tenure v41'!$B$4:$B$206,B15,'BR Tenure v41'!$D$4:$D$206,"MEMBER",'BR Tenure v41'!$J$4:$J$206,"EXACT")</f>
        <v>4</v>
      </c>
      <c r="X15" s="71">
        <f>COUNTIFS('BR Tenure v41'!$B$4:$B$206,B15,'BR Tenure v41'!$D$4:$D$206,"MEMBER",'BR Tenure v41'!$J$4:$J$206,"INTERVAL")</f>
        <v>1</v>
      </c>
      <c r="Y15" s="71">
        <f>COUNTIFS('BR Tenure v41'!$B$4:$B$206,B15,'BR Tenure v41'!$D$4:$D$206,"MEMBER",'BR Tenure v41'!$J$4:$J$206,"MIN_CONTINUOUS")</f>
        <v>0</v>
      </c>
      <c r="Z15" s="71">
        <f>COUNTIFS('BR Tenure v41'!$B$4:$B$206,B15,'BR Tenure v41'!$D$4:$D$206,"MEMBER",'BR Tenure v41'!$J$4:$J$206,"CONFLICT_MIN")</f>
        <v>0</v>
      </c>
      <c r="AA15" s="71">
        <f>COUNTIFS('BR Tenure v41'!$B$4:$B$206,B15,'BR Tenure v41'!$D$4:$D$206,"MEMBER",'BR Tenure v41'!$J$4:$J$206,"UNKNOWN")</f>
        <v>0</v>
      </c>
      <c r="AB15" s="71">
        <f>IF(W15=0,"",AVERAGEIFS('BR Tenure v41'!$U$4:$U$206,'BR Tenure v41'!$B$4:$B$206,B15,'BR Tenure v41'!$D$4:$D$206,"MEMBER",'BR Tenure v41'!$J$4:$J$206,"EXACT"))</f>
        <v>0.78439425051334699</v>
      </c>
      <c r="AC15" s="71">
        <f>IF(W15&lt;2,"",SQRT((SUMIFS('BR Tenure v41'!$V$4:$V$206,'BR Tenure v41'!$B$4:$B$206,B15,'BR Tenure v41'!$D$4:$D$206,"MEMBER",'BR Tenure v41'!$J$4:$J$206,"EXACT")-W15*AB15^2)/(W15-1)))</f>
        <v>0.73071556892674128</v>
      </c>
      <c r="AD15" s="71" t="str">
        <f>IFERROR(INDEX('BR Tenure v41'!$J$4:$J$206,MATCH(1,INDEX(('BR Tenure v41'!$B$4:$B$206=B15)*('BR Tenure v41'!$D$4:$D$206="CHAIR"),0),0)),"")</f>
        <v>EXACT</v>
      </c>
      <c r="AE15" s="71">
        <f>IFERROR(INDEX('BR Tenure v41'!$U$4:$U$206,MATCH(1,INDEX(('BR Tenure v41'!$B$4:$B$206=B15)*('BR Tenure v41'!$D$4:$D$206="CHAIR"),0),0)),"")</f>
        <v>0.51471594798083509</v>
      </c>
      <c r="AF15" s="71" t="str">
        <f>IFERROR(INDEX('BR Tenure v41'!$J$4:$J$206,MATCH(1,INDEX(('BR Tenure v41'!$B$4:$B$206=B15)*('BR Tenure v41'!$D$4:$D$206="CEO"),0),0)),"")</f>
        <v>EXACT</v>
      </c>
      <c r="AG15" s="71">
        <f>IFERROR(INDEX('BR Tenure v41'!$U$4:$U$206,MATCH(1,INDEX(('BR Tenure v41'!$B$4:$B$206=B15)*('BR Tenure v41'!$D$4:$D$206="CEO"),0),0)),"")</f>
        <v>0.61054072553045857</v>
      </c>
      <c r="AH15" s="71" t="str">
        <f t="shared" si="4"/>
        <v>PARTIAL_EXACT</v>
      </c>
      <c r="AI15" s="71">
        <f>IF(COUNTIFS('BR Tenure v41'!$B$4:$B$206,B15,'BR Tenure v41'!$D$4:$D$206,"MEMBER",'BR Tenure v41'!$U$4:$U$206,"&gt;=0")=0,"",AVERAGEIFS('BR Tenure v41'!$U$4:$U$206,'BR Tenure v41'!$B$4:$B$206,B15,'BR Tenure v41'!$D$4:$D$206,"MEMBER",'BR Tenure v41'!$U$4:$U$206,"&gt;=0"))</f>
        <v>0.9511293634496919</v>
      </c>
      <c r="AJ15" s="71">
        <f>COUNTIFS('BR Tenure v41'!$B$4:$B$206,B15,'BR Tenure v41'!$D$4:$D$206,"MEMBER",'BR Tenure v41'!$U$4:$U$206,"&gt;=0")</f>
        <v>5</v>
      </c>
    </row>
    <row r="16" spans="1:36" ht="20" customHeight="1" x14ac:dyDescent="0.2">
      <c r="A16" s="70" t="s">
        <v>3326</v>
      </c>
      <c r="B16" s="70" t="s">
        <v>162</v>
      </c>
      <c r="C16" s="70" t="s">
        <v>1859</v>
      </c>
      <c r="D16" s="70">
        <v>5</v>
      </c>
      <c r="E16" s="70" t="s">
        <v>5284</v>
      </c>
      <c r="F16" s="70" t="s">
        <v>119</v>
      </c>
      <c r="G16" s="70" t="s">
        <v>5287</v>
      </c>
      <c r="H16" s="70">
        <v>0</v>
      </c>
      <c r="I16" s="70">
        <f>COUNTIFS('BR Independence v41'!$B$4:$B$148,B16,'BR Independence v41'!$P$4:$P$148,"NOT_INDEPENDENT_DOCUMENTED_EXECUTIVE")</f>
        <v>2</v>
      </c>
      <c r="J16" s="70">
        <f>COUNTIFS('BR Independence v41'!$B$4:$B$148,B16,'BR Independence v41'!$P$4:$P$148,"UNKNOWN")</f>
        <v>3</v>
      </c>
      <c r="K16" s="70">
        <f>COUNTIFS('BR Independence v41'!$B$4:$B$148,B16,'BR Independence v41'!$P$4:$P$148,"CONFLICT_DUTY_STATUS")</f>
        <v>0</v>
      </c>
      <c r="L16" s="70" t="str">
        <f t="shared" si="0"/>
        <v/>
      </c>
      <c r="M16" s="70">
        <f t="shared" si="1"/>
        <v>0</v>
      </c>
      <c r="N16" s="70">
        <f t="shared" si="2"/>
        <v>0</v>
      </c>
      <c r="O16" s="70">
        <f t="shared" si="3"/>
        <v>0.6</v>
      </c>
      <c r="P16" s="70" t="s">
        <v>2016</v>
      </c>
      <c r="Q16" s="70">
        <v>0</v>
      </c>
      <c r="R16" s="70">
        <v>0</v>
      </c>
      <c r="S16" s="70">
        <v>5</v>
      </c>
      <c r="T16" s="70">
        <v>0</v>
      </c>
      <c r="U16" s="70">
        <v>0</v>
      </c>
      <c r="V16" s="70"/>
      <c r="W16" s="70">
        <f>COUNTIFS('BR Tenure v41'!$B$4:$B$206,B16,'BR Tenure v41'!$D$4:$D$206,"MEMBER",'BR Tenure v41'!$J$4:$J$206,"EXACT")</f>
        <v>4</v>
      </c>
      <c r="X16" s="70">
        <f>COUNTIFS('BR Tenure v41'!$B$4:$B$206,B16,'BR Tenure v41'!$D$4:$D$206,"MEMBER",'BR Tenure v41'!$J$4:$J$206,"INTERVAL")</f>
        <v>0</v>
      </c>
      <c r="Y16" s="70">
        <f>COUNTIFS('BR Tenure v41'!$B$4:$B$206,B16,'BR Tenure v41'!$D$4:$D$206,"MEMBER",'BR Tenure v41'!$J$4:$J$206,"MIN_CONTINUOUS")</f>
        <v>1</v>
      </c>
      <c r="Z16" s="70">
        <f>COUNTIFS('BR Tenure v41'!$B$4:$B$206,B16,'BR Tenure v41'!$D$4:$D$206,"MEMBER",'BR Tenure v41'!$J$4:$J$206,"CONFLICT_MIN")</f>
        <v>0</v>
      </c>
      <c r="AA16" s="70">
        <f>COUNTIFS('BR Tenure v41'!$B$4:$B$206,B16,'BR Tenure v41'!$D$4:$D$206,"MEMBER",'BR Tenure v41'!$J$4:$J$206,"UNKNOWN")</f>
        <v>0</v>
      </c>
      <c r="AB16" s="70">
        <f>IF(W16=0,"",AVERAGEIFS('BR Tenure v41'!$U$4:$U$206,'BR Tenure v41'!$B$4:$B$206,B16,'BR Tenure v41'!$D$4:$D$206,"MEMBER",'BR Tenure v41'!$J$4:$J$206,"EXACT"))</f>
        <v>1.0930869267624916</v>
      </c>
      <c r="AC16" s="70">
        <f>IF(W16&lt;2,"",SQRT((SUMIFS('BR Tenure v41'!$V$4:$V$206,'BR Tenure v41'!$B$4:$B$206,B16,'BR Tenure v41'!$D$4:$D$206,"MEMBER",'BR Tenure v41'!$J$4:$J$206,"EXACT")-W16*AB16^2)/(W16-1)))</f>
        <v>0.12457221081450903</v>
      </c>
      <c r="AD16" s="70" t="str">
        <f>IFERROR(INDEX('BR Tenure v41'!$J$4:$J$206,MATCH(1,INDEX(('BR Tenure v41'!$B$4:$B$206=B16)*('BR Tenure v41'!$D$4:$D$206="CHAIR"),0),0)),"")</f>
        <v>EXACT</v>
      </c>
      <c r="AE16" s="70">
        <f>IFERROR(INDEX('BR Tenure v41'!$U$4:$U$206,MATCH(1,INDEX(('BR Tenure v41'!$B$4:$B$206=B16)*('BR Tenure v41'!$D$4:$D$206="CHAIR"),0),0)),"")</f>
        <v>1.1553730321697468</v>
      </c>
      <c r="AF16" s="70" t="str">
        <f>IFERROR(INDEX('BR Tenure v41'!$J$4:$J$206,MATCH(1,INDEX(('BR Tenure v41'!$B$4:$B$206=B16)*('BR Tenure v41'!$D$4:$D$206="CEO"),0),0)),"")</f>
        <v>EXACT</v>
      </c>
      <c r="AG16" s="70">
        <f>IFERROR(INDEX('BR Tenure v41'!$U$4:$U$206,MATCH(1,INDEX(('BR Tenure v41'!$B$4:$B$206=B16)*('BR Tenure v41'!$D$4:$D$206="CEO"),0),0)),"")</f>
        <v>1.2758384668035592</v>
      </c>
      <c r="AH16" s="70" t="str">
        <f t="shared" si="4"/>
        <v>PARTIAL_EXACT</v>
      </c>
      <c r="AI16" s="70">
        <f>IF(COUNTIFS('BR Tenure v41'!$B$4:$B$206,B16,'BR Tenure v41'!$D$4:$D$206,"MEMBER",'BR Tenure v41'!$U$4:$U$206,"&gt;=0")=0,"",AVERAGEIFS('BR Tenure v41'!$U$4:$U$206,'BR Tenure v41'!$B$4:$B$206,B16,'BR Tenure v41'!$D$4:$D$206,"MEMBER",'BR Tenure v41'!$U$4:$U$206,"&gt;=0"))</f>
        <v>1.623545516769336</v>
      </c>
      <c r="AJ16" s="70">
        <f>COUNTIFS('BR Tenure v41'!$B$4:$B$206,B16,'BR Tenure v41'!$D$4:$D$206,"MEMBER",'BR Tenure v41'!$U$4:$U$206,"&gt;=0")</f>
        <v>5</v>
      </c>
    </row>
    <row r="17" spans="1:36" ht="20" customHeight="1" x14ac:dyDescent="0.2">
      <c r="A17" s="71" t="s">
        <v>3348</v>
      </c>
      <c r="B17" s="71" t="s">
        <v>165</v>
      </c>
      <c r="C17" s="71" t="s">
        <v>4400</v>
      </c>
      <c r="D17" s="71">
        <v>5</v>
      </c>
      <c r="E17" s="71" t="s">
        <v>5298</v>
      </c>
      <c r="F17" s="71" t="s">
        <v>119</v>
      </c>
      <c r="G17" s="71" t="s">
        <v>184</v>
      </c>
      <c r="H17" s="71">
        <v>0</v>
      </c>
      <c r="I17" s="71">
        <f>COUNTIFS('BR Independence v41'!$B$4:$B$148,B17,'BR Independence v41'!$P$4:$P$148,"NOT_INDEPENDENT_DOCUMENTED_EXECUTIVE")</f>
        <v>1</v>
      </c>
      <c r="J17" s="71">
        <f>COUNTIFS('BR Independence v41'!$B$4:$B$148,B17,'BR Independence v41'!$P$4:$P$148,"UNKNOWN")</f>
        <v>4</v>
      </c>
      <c r="K17" s="71">
        <f>COUNTIFS('BR Independence v41'!$B$4:$B$148,B17,'BR Independence v41'!$P$4:$P$148,"CONFLICT_DUTY_STATUS")</f>
        <v>0</v>
      </c>
      <c r="L17" s="71" t="str">
        <f t="shared" si="0"/>
        <v/>
      </c>
      <c r="M17" s="71">
        <f t="shared" si="1"/>
        <v>0</v>
      </c>
      <c r="N17" s="71">
        <f t="shared" si="2"/>
        <v>0</v>
      </c>
      <c r="O17" s="71">
        <f t="shared" si="3"/>
        <v>0.8</v>
      </c>
      <c r="P17" s="71" t="s">
        <v>2016</v>
      </c>
      <c r="Q17" s="71">
        <v>0</v>
      </c>
      <c r="R17" s="71">
        <v>2</v>
      </c>
      <c r="S17" s="71">
        <v>3</v>
      </c>
      <c r="T17" s="71">
        <v>0</v>
      </c>
      <c r="U17" s="71">
        <v>3</v>
      </c>
      <c r="V17" s="71"/>
      <c r="W17" s="71">
        <f>COUNTIFS('BR Tenure v41'!$B$4:$B$206,B17,'BR Tenure v41'!$D$4:$D$206,"MEMBER",'BR Tenure v41'!$J$4:$J$206,"EXACT")</f>
        <v>5</v>
      </c>
      <c r="X17" s="71">
        <f>COUNTIFS('BR Tenure v41'!$B$4:$B$206,B17,'BR Tenure v41'!$D$4:$D$206,"MEMBER",'BR Tenure v41'!$J$4:$J$206,"INTERVAL")</f>
        <v>0</v>
      </c>
      <c r="Y17" s="71">
        <f>COUNTIFS('BR Tenure v41'!$B$4:$B$206,B17,'BR Tenure v41'!$D$4:$D$206,"MEMBER",'BR Tenure v41'!$J$4:$J$206,"MIN_CONTINUOUS")</f>
        <v>0</v>
      </c>
      <c r="Z17" s="71">
        <f>COUNTIFS('BR Tenure v41'!$B$4:$B$206,B17,'BR Tenure v41'!$D$4:$D$206,"MEMBER",'BR Tenure v41'!$J$4:$J$206,"CONFLICT_MIN")</f>
        <v>0</v>
      </c>
      <c r="AA17" s="71">
        <f>COUNTIFS('BR Tenure v41'!$B$4:$B$206,B17,'BR Tenure v41'!$D$4:$D$206,"MEMBER",'BR Tenure v41'!$J$4:$J$206,"UNKNOWN")</f>
        <v>0</v>
      </c>
      <c r="AB17" s="71">
        <f>IF(W17=0,"",AVERAGEIFS('BR Tenure v41'!$U$4:$U$206,'BR Tenure v41'!$B$4:$B$206,B17,'BR Tenure v41'!$D$4:$D$206,"MEMBER",'BR Tenure v41'!$J$4:$J$206,"EXACT"))</f>
        <v>0.91279945242984262</v>
      </c>
      <c r="AC17" s="71">
        <f>IF(W17&lt;2,"",SQRT((SUMIFS('BR Tenure v41'!$V$4:$V$206,'BR Tenure v41'!$B$4:$B$206,B17,'BR Tenure v41'!$D$4:$D$206,"MEMBER",'BR Tenure v41'!$J$4:$J$206,"EXACT")-W17*AB17^2)/(W17-1)))</f>
        <v>0.42438718460582286</v>
      </c>
      <c r="AD17" s="71" t="str">
        <f>IFERROR(INDEX('BR Tenure v41'!$J$4:$J$206,MATCH(1,INDEX(('BR Tenure v41'!$B$4:$B$206=B17)*('BR Tenure v41'!$D$4:$D$206="CHAIR"),0),0)),"")</f>
        <v>EXACT</v>
      </c>
      <c r="AE17" s="71">
        <f>IFERROR(INDEX('BR Tenure v41'!$U$4:$U$206,MATCH(1,INDEX(('BR Tenure v41'!$B$4:$B$206=B17)*('BR Tenure v41'!$D$4:$D$206="CHAIR"),0),0)),"")</f>
        <v>1.1854893908281998</v>
      </c>
      <c r="AF17" s="71" t="str">
        <f>IFERROR(INDEX('BR Tenure v41'!$J$4:$J$206,MATCH(1,INDEX(('BR Tenure v41'!$B$4:$B$206=B17)*('BR Tenure v41'!$D$4:$D$206="CEO"),0),0)),"")</f>
        <v>EXACT</v>
      </c>
      <c r="AG17" s="71">
        <f>IFERROR(INDEX('BR Tenure v41'!$U$4:$U$206,MATCH(1,INDEX(('BR Tenure v41'!$B$4:$B$206=B17)*('BR Tenure v41'!$D$4:$D$206="CEO"),0),0)),"")</f>
        <v>1.2375085557837098</v>
      </c>
      <c r="AH17" s="71" t="str">
        <f t="shared" si="4"/>
        <v>FULL_EXACT</v>
      </c>
      <c r="AI17" s="71">
        <f>IF(COUNTIFS('BR Tenure v41'!$B$4:$B$206,B17,'BR Tenure v41'!$D$4:$D$206,"MEMBER",'BR Tenure v41'!$U$4:$U$206,"&gt;=0")=0,"",AVERAGEIFS('BR Tenure v41'!$U$4:$U$206,'BR Tenure v41'!$B$4:$B$206,B17,'BR Tenure v41'!$D$4:$D$206,"MEMBER",'BR Tenure v41'!$U$4:$U$206,"&gt;=0"))</f>
        <v>0.91279945242984262</v>
      </c>
      <c r="AJ17" s="71">
        <f>COUNTIFS('BR Tenure v41'!$B$4:$B$206,B17,'BR Tenure v41'!$D$4:$D$206,"MEMBER",'BR Tenure v41'!$U$4:$U$206,"&gt;=0")</f>
        <v>5</v>
      </c>
    </row>
    <row r="18" spans="1:36" ht="20" customHeight="1" x14ac:dyDescent="0.2">
      <c r="A18" s="70" t="s">
        <v>3353</v>
      </c>
      <c r="B18" s="70" t="s">
        <v>168</v>
      </c>
      <c r="C18" s="70" t="s">
        <v>1859</v>
      </c>
      <c r="D18" s="70">
        <v>5</v>
      </c>
      <c r="E18" s="70" t="s">
        <v>5314</v>
      </c>
      <c r="F18" s="70" t="s">
        <v>119</v>
      </c>
      <c r="G18" s="70" t="s">
        <v>5309</v>
      </c>
      <c r="H18" s="70">
        <v>0</v>
      </c>
      <c r="I18" s="70">
        <f>COUNTIFS('BR Independence v41'!$B$4:$B$148,B18,'BR Independence v41'!$P$4:$P$148,"NOT_INDEPENDENT_DOCUMENTED_EXECUTIVE")</f>
        <v>1</v>
      </c>
      <c r="J18" s="70">
        <f>COUNTIFS('BR Independence v41'!$B$4:$B$148,B18,'BR Independence v41'!$P$4:$P$148,"UNKNOWN")</f>
        <v>4</v>
      </c>
      <c r="K18" s="70">
        <f>COUNTIFS('BR Independence v41'!$B$4:$B$148,B18,'BR Independence v41'!$P$4:$P$148,"CONFLICT_DUTY_STATUS")</f>
        <v>0</v>
      </c>
      <c r="L18" s="70" t="str">
        <f t="shared" si="0"/>
        <v/>
      </c>
      <c r="M18" s="70">
        <f t="shared" si="1"/>
        <v>0</v>
      </c>
      <c r="N18" s="70">
        <f t="shared" si="2"/>
        <v>0</v>
      </c>
      <c r="O18" s="70">
        <f t="shared" si="3"/>
        <v>0.8</v>
      </c>
      <c r="P18" s="70" t="s">
        <v>2016</v>
      </c>
      <c r="Q18" s="70">
        <v>0</v>
      </c>
      <c r="R18" s="70">
        <v>0</v>
      </c>
      <c r="S18" s="70">
        <v>5</v>
      </c>
      <c r="T18" s="70">
        <v>0</v>
      </c>
      <c r="U18" s="70">
        <v>0</v>
      </c>
      <c r="V18" s="70"/>
      <c r="W18" s="70">
        <f>COUNTIFS('BR Tenure v41'!$B$4:$B$206,B18,'BR Tenure v41'!$D$4:$D$206,"MEMBER",'BR Tenure v41'!$J$4:$J$206,"EXACT")</f>
        <v>4</v>
      </c>
      <c r="X18" s="70">
        <f>COUNTIFS('BR Tenure v41'!$B$4:$B$206,B18,'BR Tenure v41'!$D$4:$D$206,"MEMBER",'BR Tenure v41'!$J$4:$J$206,"INTERVAL")</f>
        <v>1</v>
      </c>
      <c r="Y18" s="70">
        <f>COUNTIFS('BR Tenure v41'!$B$4:$B$206,B18,'BR Tenure v41'!$D$4:$D$206,"MEMBER",'BR Tenure v41'!$J$4:$J$206,"MIN_CONTINUOUS")</f>
        <v>0</v>
      </c>
      <c r="Z18" s="70">
        <f>COUNTIFS('BR Tenure v41'!$B$4:$B$206,B18,'BR Tenure v41'!$D$4:$D$206,"MEMBER",'BR Tenure v41'!$J$4:$J$206,"CONFLICT_MIN")</f>
        <v>0</v>
      </c>
      <c r="AA18" s="70">
        <f>COUNTIFS('BR Tenure v41'!$B$4:$B$206,B18,'BR Tenure v41'!$D$4:$D$206,"MEMBER",'BR Tenure v41'!$J$4:$J$206,"UNKNOWN")</f>
        <v>0</v>
      </c>
      <c r="AB18" s="70">
        <f>IF(W18=0,"",AVERAGEIFS('BR Tenure v41'!$U$4:$U$206,'BR Tenure v41'!$B$4:$B$206,B18,'BR Tenure v41'!$D$4:$D$206,"MEMBER",'BR Tenure v41'!$J$4:$J$206,"EXACT"))</f>
        <v>0.74948665297741268</v>
      </c>
      <c r="AC18" s="70">
        <f>IF(W18&lt;2,"",SQRT((SUMIFS('BR Tenure v41'!$V$4:$V$206,'BR Tenure v41'!$B$4:$B$206,B18,'BR Tenure v41'!$D$4:$D$206,"MEMBER",'BR Tenure v41'!$J$4:$J$206,"EXACT")-W18*AB18^2)/(W18-1)))</f>
        <v>0.42391252826606485</v>
      </c>
      <c r="AD18" s="70" t="str">
        <f>IFERROR(INDEX('BR Tenure v41'!$J$4:$J$206,MATCH(1,INDEX(('BR Tenure v41'!$B$4:$B$206=B18)*('BR Tenure v41'!$D$4:$D$206="CHAIR"),0),0)),"")</f>
        <v>EXACT</v>
      </c>
      <c r="AE18" s="70">
        <f>IFERROR(INDEX('BR Tenure v41'!$U$4:$U$206,MATCH(1,INDEX(('BR Tenure v41'!$B$4:$B$206=B18)*('BR Tenure v41'!$D$4:$D$206="CHAIR"),0),0)),"")</f>
        <v>0.49281314168377821</v>
      </c>
      <c r="AF18" s="70" t="str">
        <f>IFERROR(INDEX('BR Tenure v41'!$J$4:$J$206,MATCH(1,INDEX(('BR Tenure v41'!$B$4:$B$206=B18)*('BR Tenure v41'!$D$4:$D$206="CEO"),0),0)),"")</f>
        <v>MIN_CONTINUOUS</v>
      </c>
      <c r="AG18" s="70">
        <f>IFERROR(INDEX('BR Tenure v41'!$U$4:$U$206,MATCH(1,INDEX(('BR Tenure v41'!$B$4:$B$206=B18)*('BR Tenure v41'!$D$4:$D$206="CEO"),0),0)),"")</f>
        <v>1.3360711841204653</v>
      </c>
      <c r="AH18" s="70" t="str">
        <f t="shared" si="4"/>
        <v>PARTIAL_EXACT</v>
      </c>
      <c r="AI18" s="70">
        <f>IF(COUNTIFS('BR Tenure v41'!$B$4:$B$206,B18,'BR Tenure v41'!$D$4:$D$206,"MEMBER",'BR Tenure v41'!$U$4:$U$206,"&gt;=0")=0,"",AVERAGEIFS('BR Tenure v41'!$U$4:$U$206,'BR Tenure v41'!$B$4:$B$206,B18,'BR Tenure v41'!$D$4:$D$206,"MEMBER",'BR Tenure v41'!$U$4:$U$206,"&gt;=0"))</f>
        <v>0.6138261464750171</v>
      </c>
      <c r="AJ18" s="70">
        <f>COUNTIFS('BR Tenure v41'!$B$4:$B$206,B18,'BR Tenure v41'!$D$4:$D$206,"MEMBER",'BR Tenure v41'!$U$4:$U$206,"&gt;=0")</f>
        <v>5</v>
      </c>
    </row>
    <row r="19" spans="1:36" ht="20" customHeight="1" x14ac:dyDescent="0.2">
      <c r="A19" s="71" t="s">
        <v>3360</v>
      </c>
      <c r="B19" s="71" t="s">
        <v>171</v>
      </c>
      <c r="C19" s="71" t="s">
        <v>1859</v>
      </c>
      <c r="D19" s="71">
        <v>5</v>
      </c>
      <c r="E19" s="71" t="s">
        <v>5325</v>
      </c>
      <c r="F19" s="71" t="s">
        <v>119</v>
      </c>
      <c r="G19" s="71" t="s">
        <v>5320</v>
      </c>
      <c r="H19" s="71">
        <v>0</v>
      </c>
      <c r="I19" s="71">
        <f>COUNTIFS('BR Independence v41'!$B$4:$B$148,B19,'BR Independence v41'!$P$4:$P$148,"NOT_INDEPENDENT_DOCUMENTED_EXECUTIVE")</f>
        <v>1</v>
      </c>
      <c r="J19" s="71">
        <f>COUNTIFS('BR Independence v41'!$B$4:$B$148,B19,'BR Independence v41'!$P$4:$P$148,"UNKNOWN")</f>
        <v>4</v>
      </c>
      <c r="K19" s="71">
        <f>COUNTIFS('BR Independence v41'!$B$4:$B$148,B19,'BR Independence v41'!$P$4:$P$148,"CONFLICT_DUTY_STATUS")</f>
        <v>0</v>
      </c>
      <c r="L19" s="71" t="str">
        <f t="shared" si="0"/>
        <v/>
      </c>
      <c r="M19" s="71">
        <f t="shared" si="1"/>
        <v>0</v>
      </c>
      <c r="N19" s="71">
        <f t="shared" si="2"/>
        <v>0</v>
      </c>
      <c r="O19" s="71">
        <f t="shared" si="3"/>
        <v>0.8</v>
      </c>
      <c r="P19" s="71" t="s">
        <v>2016</v>
      </c>
      <c r="Q19" s="71">
        <v>5</v>
      </c>
      <c r="R19" s="71">
        <v>0</v>
      </c>
      <c r="S19" s="71">
        <v>0</v>
      </c>
      <c r="T19" s="71">
        <v>0</v>
      </c>
      <c r="U19" s="71">
        <v>5</v>
      </c>
      <c r="V19" s="71">
        <v>1</v>
      </c>
      <c r="W19" s="71">
        <f>COUNTIFS('BR Tenure v41'!$B$4:$B$206,B19,'BR Tenure v41'!$D$4:$D$206,"MEMBER",'BR Tenure v41'!$J$4:$J$206,"EXACT")</f>
        <v>1</v>
      </c>
      <c r="X19" s="71">
        <f>COUNTIFS('BR Tenure v41'!$B$4:$B$206,B19,'BR Tenure v41'!$D$4:$D$206,"MEMBER",'BR Tenure v41'!$J$4:$J$206,"INTERVAL")</f>
        <v>3</v>
      </c>
      <c r="Y19" s="71">
        <f>COUNTIFS('BR Tenure v41'!$B$4:$B$206,B19,'BR Tenure v41'!$D$4:$D$206,"MEMBER",'BR Tenure v41'!$J$4:$J$206,"MIN_CONTINUOUS")</f>
        <v>0</v>
      </c>
      <c r="Z19" s="71">
        <f>COUNTIFS('BR Tenure v41'!$B$4:$B$206,B19,'BR Tenure v41'!$D$4:$D$206,"MEMBER",'BR Tenure v41'!$J$4:$J$206,"CONFLICT_MIN")</f>
        <v>1</v>
      </c>
      <c r="AA19" s="71">
        <f>COUNTIFS('BR Tenure v41'!$B$4:$B$206,B19,'BR Tenure v41'!$D$4:$D$206,"MEMBER",'BR Tenure v41'!$J$4:$J$206,"UNKNOWN")</f>
        <v>0</v>
      </c>
      <c r="AB19" s="71">
        <f>IF(W19=0,"",AVERAGEIFS('BR Tenure v41'!$U$4:$U$206,'BR Tenure v41'!$B$4:$B$206,B19,'BR Tenure v41'!$D$4:$D$206,"MEMBER",'BR Tenure v41'!$J$4:$J$206,"EXACT"))</f>
        <v>2.4284736481861739</v>
      </c>
      <c r="AC19" s="71" t="str">
        <f>IF(W19&lt;2,"",SQRT((SUMIFS('BR Tenure v41'!$V$4:$V$206,'BR Tenure v41'!$B$4:$B$206,B19,'BR Tenure v41'!$D$4:$D$206,"MEMBER",'BR Tenure v41'!$J$4:$J$206,"EXACT")-W19*AB19^2)/(W19-1)))</f>
        <v/>
      </c>
      <c r="AD19" s="71" t="str">
        <f>IFERROR(INDEX('BR Tenure v41'!$J$4:$J$206,MATCH(1,INDEX(('BR Tenure v41'!$B$4:$B$206=B19)*('BR Tenure v41'!$D$4:$D$206="CHAIR"),0),0)),"")</f>
        <v>EXACT</v>
      </c>
      <c r="AE19" s="71">
        <f>IFERROR(INDEX('BR Tenure v41'!$U$4:$U$206,MATCH(1,INDEX(('BR Tenure v41'!$B$4:$B$206=B19)*('BR Tenure v41'!$D$4:$D$206="CHAIR"),0),0)),"")</f>
        <v>0.23545516769336072</v>
      </c>
      <c r="AF19" s="71" t="str">
        <f>IFERROR(INDEX('BR Tenure v41'!$J$4:$J$206,MATCH(1,INDEX(('BR Tenure v41'!$B$4:$B$206=B19)*('BR Tenure v41'!$D$4:$D$206="CEO"),0),0)),"")</f>
        <v>EXACT</v>
      </c>
      <c r="AG19" s="71">
        <f>IFERROR(INDEX('BR Tenure v41'!$U$4:$U$206,MATCH(1,INDEX(('BR Tenure v41'!$B$4:$B$206=B19)*('BR Tenure v41'!$D$4:$D$206="CEO"),0),0)),"")</f>
        <v>1.0814510609171799</v>
      </c>
      <c r="AH19" s="71" t="str">
        <f t="shared" si="4"/>
        <v>PARTIAL_EXACT</v>
      </c>
      <c r="AI19" s="71">
        <f>IF(COUNTIFS('BR Tenure v41'!$B$4:$B$206,B19,'BR Tenure v41'!$D$4:$D$206,"MEMBER",'BR Tenure v41'!$U$4:$U$206,"&gt;=0")=0,"",AVERAGEIFS('BR Tenure v41'!$U$4:$U$206,'BR Tenure v41'!$B$4:$B$206,B19,'BR Tenure v41'!$D$4:$D$206,"MEMBER",'BR Tenure v41'!$U$4:$U$206,"&gt;=0"))</f>
        <v>1.278028747433265</v>
      </c>
      <c r="AJ19" s="71">
        <f>COUNTIFS('BR Tenure v41'!$B$4:$B$206,B19,'BR Tenure v41'!$D$4:$D$206,"MEMBER",'BR Tenure v41'!$U$4:$U$206,"&gt;=0")</f>
        <v>5</v>
      </c>
    </row>
    <row r="20" spans="1:36" ht="20" customHeight="1" x14ac:dyDescent="0.2">
      <c r="A20" s="70" t="s">
        <v>5032</v>
      </c>
      <c r="B20" s="70" t="s">
        <v>174</v>
      </c>
      <c r="C20" s="70" t="s">
        <v>4400</v>
      </c>
      <c r="D20" s="70">
        <v>5</v>
      </c>
      <c r="E20" s="70" t="s">
        <v>2759</v>
      </c>
      <c r="F20" s="70" t="s">
        <v>119</v>
      </c>
      <c r="G20" s="70" t="s">
        <v>176</v>
      </c>
      <c r="H20" s="70">
        <v>0</v>
      </c>
      <c r="I20" s="70">
        <f>COUNTIFS('BR Independence v41'!$B$4:$B$148,B20,'BR Independence v41'!$P$4:$P$148,"NOT_INDEPENDENT_DOCUMENTED_EXECUTIVE")</f>
        <v>2</v>
      </c>
      <c r="J20" s="70">
        <f>COUNTIFS('BR Independence v41'!$B$4:$B$148,B20,'BR Independence v41'!$P$4:$P$148,"UNKNOWN")</f>
        <v>3</v>
      </c>
      <c r="K20" s="70">
        <f>COUNTIFS('BR Independence v41'!$B$4:$B$148,B20,'BR Independence v41'!$P$4:$P$148,"CONFLICT_DUTY_STATUS")</f>
        <v>0</v>
      </c>
      <c r="L20" s="70" t="str">
        <f t="shared" si="0"/>
        <v/>
      </c>
      <c r="M20" s="70">
        <f t="shared" si="1"/>
        <v>0</v>
      </c>
      <c r="N20" s="70">
        <f t="shared" si="2"/>
        <v>0</v>
      </c>
      <c r="O20" s="70">
        <f t="shared" si="3"/>
        <v>0.6</v>
      </c>
      <c r="P20" s="70" t="s">
        <v>2016</v>
      </c>
      <c r="Q20" s="70">
        <v>1</v>
      </c>
      <c r="R20" s="70">
        <v>1</v>
      </c>
      <c r="S20" s="70">
        <v>3</v>
      </c>
      <c r="T20" s="70">
        <v>0</v>
      </c>
      <c r="U20" s="70">
        <v>1</v>
      </c>
      <c r="V20" s="70">
        <v>0</v>
      </c>
      <c r="W20" s="70">
        <f>COUNTIFS('BR Tenure v41'!$B$4:$B$206,B20,'BR Tenure v41'!$D$4:$D$206,"MEMBER",'BR Tenure v41'!$J$4:$J$206,"EXACT")</f>
        <v>5</v>
      </c>
      <c r="X20" s="70">
        <f>COUNTIFS('BR Tenure v41'!$B$4:$B$206,B20,'BR Tenure v41'!$D$4:$D$206,"MEMBER",'BR Tenure v41'!$J$4:$J$206,"INTERVAL")</f>
        <v>0</v>
      </c>
      <c r="Y20" s="70">
        <f>COUNTIFS('BR Tenure v41'!$B$4:$B$206,B20,'BR Tenure v41'!$D$4:$D$206,"MEMBER",'BR Tenure v41'!$J$4:$J$206,"MIN_CONTINUOUS")</f>
        <v>0</v>
      </c>
      <c r="Z20" s="70">
        <f>COUNTIFS('BR Tenure v41'!$B$4:$B$206,B20,'BR Tenure v41'!$D$4:$D$206,"MEMBER",'BR Tenure v41'!$J$4:$J$206,"CONFLICT_MIN")</f>
        <v>0</v>
      </c>
      <c r="AA20" s="70">
        <f>COUNTIFS('BR Tenure v41'!$B$4:$B$206,B20,'BR Tenure v41'!$D$4:$D$206,"MEMBER",'BR Tenure v41'!$J$4:$J$206,"UNKNOWN")</f>
        <v>0</v>
      </c>
      <c r="AB20" s="70">
        <f>IF(W20=0,"",AVERAGEIFS('BR Tenure v41'!$U$4:$U$206,'BR Tenure v41'!$B$4:$B$206,B20,'BR Tenure v41'!$D$4:$D$206,"MEMBER",'BR Tenure v41'!$J$4:$J$206,"EXACT"))</f>
        <v>0.73155373032169746</v>
      </c>
      <c r="AC20" s="70">
        <f>IF(W20&lt;2,"",SQRT((SUMIFS('BR Tenure v41'!$V$4:$V$206,'BR Tenure v41'!$B$4:$B$206,B20,'BR Tenure v41'!$D$4:$D$206,"MEMBER",'BR Tenure v41'!$J$4:$J$206,"EXACT")-W20*AB20^2)/(W20-1)))</f>
        <v>0.30206696691703711</v>
      </c>
      <c r="AD20" s="70" t="str">
        <f>IFERROR(INDEX('BR Tenure v41'!$J$4:$J$206,MATCH(1,INDEX(('BR Tenure v41'!$B$4:$B$206=B20)*('BR Tenure v41'!$D$4:$D$206="CHAIR"),0),0)),"")</f>
        <v>EXACT</v>
      </c>
      <c r="AE20" s="70">
        <f>IFERROR(INDEX('BR Tenure v41'!$U$4:$U$206,MATCH(1,INDEX(('BR Tenure v41'!$B$4:$B$206=B20)*('BR Tenure v41'!$D$4:$D$206="CHAIR"),0),0)),"")</f>
        <v>0.60506502395619444</v>
      </c>
      <c r="AF20" s="70" t="str">
        <f>IFERROR(INDEX('BR Tenure v41'!$J$4:$J$206,MATCH(1,INDEX(('BR Tenure v41'!$B$4:$B$206=B20)*('BR Tenure v41'!$D$4:$D$206="CEO"),0),0)),"")</f>
        <v>EXACT</v>
      </c>
      <c r="AG20" s="70">
        <f>IFERROR(INDEX('BR Tenure v41'!$U$4:$U$206,MATCH(1,INDEX(('BR Tenure v41'!$B$4:$B$206=B20)*('BR Tenure v41'!$D$4:$D$206="CEO"),0),0)),"")</f>
        <v>1.0732375085557837</v>
      </c>
      <c r="AH20" s="70" t="str">
        <f t="shared" si="4"/>
        <v>FULL_EXACT</v>
      </c>
      <c r="AI20" s="70">
        <f>IF(COUNTIFS('BR Tenure v41'!$B$4:$B$206,B20,'BR Tenure v41'!$D$4:$D$206,"MEMBER",'BR Tenure v41'!$U$4:$U$206,"&gt;=0")=0,"",AVERAGEIFS('BR Tenure v41'!$U$4:$U$206,'BR Tenure v41'!$B$4:$B$206,B20,'BR Tenure v41'!$D$4:$D$206,"MEMBER",'BR Tenure v41'!$U$4:$U$206,"&gt;=0"))</f>
        <v>0.73155373032169746</v>
      </c>
      <c r="AJ20" s="70">
        <f>COUNTIFS('BR Tenure v41'!$B$4:$B$206,B20,'BR Tenure v41'!$D$4:$D$206,"MEMBER",'BR Tenure v41'!$U$4:$U$206,"&gt;=0")</f>
        <v>5</v>
      </c>
    </row>
    <row r="21" spans="1:36" ht="20" customHeight="1" x14ac:dyDescent="0.2">
      <c r="A21" s="71" t="s">
        <v>4957</v>
      </c>
      <c r="B21" s="71" t="s">
        <v>179</v>
      </c>
      <c r="C21" s="71" t="s">
        <v>4400</v>
      </c>
      <c r="D21" s="71">
        <v>5</v>
      </c>
      <c r="E21" s="71" t="s">
        <v>5344</v>
      </c>
      <c r="F21" s="71" t="s">
        <v>119</v>
      </c>
      <c r="G21" s="71" t="s">
        <v>5342</v>
      </c>
      <c r="H21" s="71">
        <v>0</v>
      </c>
      <c r="I21" s="71">
        <f>COUNTIFS('BR Independence v41'!$B$4:$B$148,B21,'BR Independence v41'!$P$4:$P$148,"NOT_INDEPENDENT_DOCUMENTED_EXECUTIVE")</f>
        <v>2</v>
      </c>
      <c r="J21" s="71">
        <f>COUNTIFS('BR Independence v41'!$B$4:$B$148,B21,'BR Independence v41'!$P$4:$P$148,"UNKNOWN")</f>
        <v>3</v>
      </c>
      <c r="K21" s="71">
        <f>COUNTIFS('BR Independence v41'!$B$4:$B$148,B21,'BR Independence v41'!$P$4:$P$148,"CONFLICT_DUTY_STATUS")</f>
        <v>0</v>
      </c>
      <c r="L21" s="71" t="str">
        <f t="shared" si="0"/>
        <v/>
      </c>
      <c r="M21" s="71">
        <f t="shared" si="1"/>
        <v>0</v>
      </c>
      <c r="N21" s="71">
        <f t="shared" si="2"/>
        <v>0</v>
      </c>
      <c r="O21" s="71">
        <f t="shared" si="3"/>
        <v>0.6</v>
      </c>
      <c r="P21" s="71" t="s">
        <v>2016</v>
      </c>
      <c r="Q21" s="71">
        <v>0</v>
      </c>
      <c r="R21" s="71">
        <v>0</v>
      </c>
      <c r="S21" s="71">
        <v>5</v>
      </c>
      <c r="T21" s="71">
        <v>0</v>
      </c>
      <c r="U21" s="71">
        <v>0</v>
      </c>
      <c r="V21" s="71"/>
      <c r="W21" s="71">
        <f>COUNTIFS('BR Tenure v41'!$B$4:$B$206,B21,'BR Tenure v41'!$D$4:$D$206,"MEMBER",'BR Tenure v41'!$J$4:$J$206,"EXACT")</f>
        <v>3</v>
      </c>
      <c r="X21" s="71">
        <f>COUNTIFS('BR Tenure v41'!$B$4:$B$206,B21,'BR Tenure v41'!$D$4:$D$206,"MEMBER",'BR Tenure v41'!$J$4:$J$206,"INTERVAL")</f>
        <v>0</v>
      </c>
      <c r="Y21" s="71">
        <f>COUNTIFS('BR Tenure v41'!$B$4:$B$206,B21,'BR Tenure v41'!$D$4:$D$206,"MEMBER",'BR Tenure v41'!$J$4:$J$206,"MIN_CONTINUOUS")</f>
        <v>2</v>
      </c>
      <c r="Z21" s="71">
        <f>COUNTIFS('BR Tenure v41'!$B$4:$B$206,B21,'BR Tenure v41'!$D$4:$D$206,"MEMBER",'BR Tenure v41'!$J$4:$J$206,"CONFLICT_MIN")</f>
        <v>0</v>
      </c>
      <c r="AA21" s="71">
        <f>COUNTIFS('BR Tenure v41'!$B$4:$B$206,B21,'BR Tenure v41'!$D$4:$D$206,"MEMBER",'BR Tenure v41'!$J$4:$J$206,"UNKNOWN")</f>
        <v>0</v>
      </c>
      <c r="AB21" s="71">
        <f>IF(W21=0,"",AVERAGEIFS('BR Tenure v41'!$U$4:$U$206,'BR Tenure v41'!$B$4:$B$206,B21,'BR Tenure v41'!$D$4:$D$206,"MEMBER",'BR Tenure v41'!$J$4:$J$206,"EXACT"))</f>
        <v>0.9965776865160848</v>
      </c>
      <c r="AC21" s="71">
        <f>IF(W21&lt;2,"",SQRT((SUMIFS('BR Tenure v41'!$V$4:$V$206,'BR Tenure v41'!$B$4:$B$206,B21,'BR Tenure v41'!$D$4:$D$206,"MEMBER",'BR Tenure v41'!$J$4:$J$206,"EXACT")-W21*AB21^2)/(W21-1)))</f>
        <v>0.4531866747007286</v>
      </c>
      <c r="AD21" s="71" t="str">
        <f>IFERROR(INDEX('BR Tenure v41'!$J$4:$J$206,MATCH(1,INDEX(('BR Tenure v41'!$B$4:$B$206=B21)*('BR Tenure v41'!$D$4:$D$206="CHAIR"),0),0)),"")</f>
        <v>EXACT</v>
      </c>
      <c r="AE21" s="71">
        <f>IFERROR(INDEX('BR Tenure v41'!$U$4:$U$206,MATCH(1,INDEX(('BR Tenure v41'!$B$4:$B$206=B21)*('BR Tenure v41'!$D$4:$D$206="CHAIR"),0),0)),"")</f>
        <v>0.68720054757015747</v>
      </c>
      <c r="AF21" s="71" t="str">
        <f>IFERROR(INDEX('BR Tenure v41'!$J$4:$J$206,MATCH(1,INDEX(('BR Tenure v41'!$B$4:$B$206=B21)*('BR Tenure v41'!$D$4:$D$206="CEO"),0),0)),"")</f>
        <v>MIN_CONTINUOUS</v>
      </c>
      <c r="AG21" s="71">
        <f>IFERROR(INDEX('BR Tenure v41'!$U$4:$U$206,MATCH(1,INDEX(('BR Tenure v41'!$B$4:$B$206=B21)*('BR Tenure v41'!$D$4:$D$206="CEO"),0),0)),"")</f>
        <v>2.3764544832306638</v>
      </c>
      <c r="AH21" s="71" t="str">
        <f t="shared" si="4"/>
        <v>PARTIAL_EXACT</v>
      </c>
      <c r="AI21" s="71">
        <f>IF(COUNTIFS('BR Tenure v41'!$B$4:$B$206,B21,'BR Tenure v41'!$D$4:$D$206,"MEMBER",'BR Tenure v41'!$U$4:$U$206,"&gt;=0")=0,"",AVERAGEIFS('BR Tenure v41'!$U$4:$U$206,'BR Tenure v41'!$B$4:$B$206,B21,'BR Tenure v41'!$D$4:$D$206,"MEMBER",'BR Tenure v41'!$U$4:$U$206,"&gt;=0"))</f>
        <v>2.0698151950718686</v>
      </c>
      <c r="AJ21" s="71">
        <f>COUNTIFS('BR Tenure v41'!$B$4:$B$206,B21,'BR Tenure v41'!$D$4:$D$206,"MEMBER",'BR Tenure v41'!$U$4:$U$206,"&gt;=0")</f>
        <v>5</v>
      </c>
    </row>
    <row r="22" spans="1:36" ht="20" customHeight="1" x14ac:dyDescent="0.2">
      <c r="A22" s="70" t="s">
        <v>4959</v>
      </c>
      <c r="B22" s="70" t="s">
        <v>182</v>
      </c>
      <c r="C22" s="70" t="s">
        <v>3879</v>
      </c>
      <c r="D22" s="70">
        <v>5</v>
      </c>
      <c r="E22" s="70" t="s">
        <v>2786</v>
      </c>
      <c r="F22" s="70" t="s">
        <v>119</v>
      </c>
      <c r="G22" s="70" t="s">
        <v>184</v>
      </c>
      <c r="H22" s="70">
        <v>0</v>
      </c>
      <c r="I22" s="70">
        <f>COUNTIFS('BR Independence v41'!$B$4:$B$148,B22,'BR Independence v41'!$P$4:$P$148,"NOT_INDEPENDENT_DOCUMENTED_EXECUTIVE")</f>
        <v>1</v>
      </c>
      <c r="J22" s="70">
        <f>COUNTIFS('BR Independence v41'!$B$4:$B$148,B22,'BR Independence v41'!$P$4:$P$148,"UNKNOWN")</f>
        <v>4</v>
      </c>
      <c r="K22" s="70">
        <f>COUNTIFS('BR Independence v41'!$B$4:$B$148,B22,'BR Independence v41'!$P$4:$P$148,"CONFLICT_DUTY_STATUS")</f>
        <v>0</v>
      </c>
      <c r="L22" s="70" t="str">
        <f t="shared" si="0"/>
        <v/>
      </c>
      <c r="M22" s="70">
        <f t="shared" si="1"/>
        <v>0</v>
      </c>
      <c r="N22" s="70">
        <f t="shared" si="2"/>
        <v>0</v>
      </c>
      <c r="O22" s="70">
        <f t="shared" si="3"/>
        <v>0.8</v>
      </c>
      <c r="P22" s="70" t="s">
        <v>2016</v>
      </c>
      <c r="Q22" s="70">
        <v>3</v>
      </c>
      <c r="R22" s="70">
        <v>0</v>
      </c>
      <c r="S22" s="70">
        <v>2</v>
      </c>
      <c r="T22" s="70">
        <v>0</v>
      </c>
      <c r="U22" s="70">
        <v>5</v>
      </c>
      <c r="V22" s="70">
        <v>1.667</v>
      </c>
      <c r="W22" s="70">
        <f>COUNTIFS('BR Tenure v41'!$B$4:$B$206,B22,'BR Tenure v41'!$D$4:$D$206,"MEMBER",'BR Tenure v41'!$J$4:$J$206,"EXACT")</f>
        <v>4</v>
      </c>
      <c r="X22" s="70">
        <f>COUNTIFS('BR Tenure v41'!$B$4:$B$206,B22,'BR Tenure v41'!$D$4:$D$206,"MEMBER",'BR Tenure v41'!$J$4:$J$206,"INTERVAL")</f>
        <v>1</v>
      </c>
      <c r="Y22" s="70">
        <f>COUNTIFS('BR Tenure v41'!$B$4:$B$206,B22,'BR Tenure v41'!$D$4:$D$206,"MEMBER",'BR Tenure v41'!$J$4:$J$206,"MIN_CONTINUOUS")</f>
        <v>0</v>
      </c>
      <c r="Z22" s="70">
        <f>COUNTIFS('BR Tenure v41'!$B$4:$B$206,B22,'BR Tenure v41'!$D$4:$D$206,"MEMBER",'BR Tenure v41'!$J$4:$J$206,"CONFLICT_MIN")</f>
        <v>0</v>
      </c>
      <c r="AA22" s="70">
        <f>COUNTIFS('BR Tenure v41'!$B$4:$B$206,B22,'BR Tenure v41'!$D$4:$D$206,"MEMBER",'BR Tenure v41'!$J$4:$J$206,"UNKNOWN")</f>
        <v>0</v>
      </c>
      <c r="AB22" s="70">
        <f>IF(W22=0,"",AVERAGEIFS('BR Tenure v41'!$U$4:$U$206,'BR Tenure v41'!$B$4:$B$206,B22,'BR Tenure v41'!$D$4:$D$206,"MEMBER",'BR Tenure v41'!$J$4:$J$206,"EXACT"))</f>
        <v>4.1567419575633124</v>
      </c>
      <c r="AC22" s="70">
        <f>IF(W22&lt;2,"",SQRT((SUMIFS('BR Tenure v41'!$V$4:$V$206,'BR Tenure v41'!$B$4:$B$206,B22,'BR Tenure v41'!$D$4:$D$206,"MEMBER",'BR Tenure v41'!$J$4:$J$206,"EXACT")-W22*AB22^2)/(W22-1)))</f>
        <v>6.5835823610167621</v>
      </c>
      <c r="AD22" s="70" t="str">
        <f>IFERROR(INDEX('BR Tenure v41'!$J$4:$J$206,MATCH(1,INDEX(('BR Tenure v41'!$B$4:$B$206=B22)*('BR Tenure v41'!$D$4:$D$206="CHAIR"),0),0)),"")</f>
        <v>MIN_CONTINUOUS</v>
      </c>
      <c r="AE22" s="70">
        <f>IFERROR(INDEX('BR Tenure v41'!$U$4:$U$206,MATCH(1,INDEX(('BR Tenure v41'!$B$4:$B$206=B22)*('BR Tenure v41'!$D$4:$D$206="CHAIR"),0),0)),"")</f>
        <v>1.9356605065023955</v>
      </c>
      <c r="AF22" s="70" t="str">
        <f>IFERROR(INDEX('BR Tenure v41'!$J$4:$J$206,MATCH(1,INDEX(('BR Tenure v41'!$B$4:$B$206=B22)*('BR Tenure v41'!$D$4:$D$206="CEO"),0),0)),"")</f>
        <v>MIN_CONTINUOUS</v>
      </c>
      <c r="AG22" s="70">
        <f>IFERROR(INDEX('BR Tenure v41'!$U$4:$U$206,MATCH(1,INDEX(('BR Tenure v41'!$B$4:$B$206=B22)*('BR Tenure v41'!$D$4:$D$206="CEO"),0),0)),"")</f>
        <v>1.3579739904175223</v>
      </c>
      <c r="AH22" s="70" t="str">
        <f t="shared" si="4"/>
        <v>PARTIAL_EXACT</v>
      </c>
      <c r="AI22" s="70">
        <f>IF(COUNTIFS('BR Tenure v41'!$B$4:$B$206,B22,'BR Tenure v41'!$D$4:$D$206,"MEMBER",'BR Tenure v41'!$U$4:$U$206,"&gt;=0")=0,"",AVERAGEIFS('BR Tenure v41'!$U$4:$U$206,'BR Tenure v41'!$B$4:$B$206,B22,'BR Tenure v41'!$D$4:$D$206,"MEMBER",'BR Tenure v41'!$U$4:$U$206,"&gt;=0"))</f>
        <v>3.5975359342915807</v>
      </c>
      <c r="AJ22" s="70">
        <f>COUNTIFS('BR Tenure v41'!$B$4:$B$206,B22,'BR Tenure v41'!$D$4:$D$206,"MEMBER",'BR Tenure v41'!$U$4:$U$206,"&gt;=0")</f>
        <v>5</v>
      </c>
    </row>
    <row r="23" spans="1:36" ht="20" customHeight="1" x14ac:dyDescent="0.2">
      <c r="A23" s="71" t="s">
        <v>5042</v>
      </c>
      <c r="B23" s="71" t="s">
        <v>187</v>
      </c>
      <c r="C23" s="71" t="s">
        <v>1859</v>
      </c>
      <c r="D23" s="71">
        <v>5</v>
      </c>
      <c r="E23" s="71" t="s">
        <v>5361</v>
      </c>
      <c r="F23" s="71" t="s">
        <v>119</v>
      </c>
      <c r="G23" s="71" t="s">
        <v>4076</v>
      </c>
      <c r="H23" s="71">
        <v>0</v>
      </c>
      <c r="I23" s="71">
        <f>COUNTIFS('BR Independence v41'!$B$4:$B$148,B23,'BR Independence v41'!$P$4:$P$148,"NOT_INDEPENDENT_DOCUMENTED_EXECUTIVE")</f>
        <v>1</v>
      </c>
      <c r="J23" s="71">
        <f>COUNTIFS('BR Independence v41'!$B$4:$B$148,B23,'BR Independence v41'!$P$4:$P$148,"UNKNOWN")</f>
        <v>4</v>
      </c>
      <c r="K23" s="71">
        <f>COUNTIFS('BR Independence v41'!$B$4:$B$148,B23,'BR Independence v41'!$P$4:$P$148,"CONFLICT_DUTY_STATUS")</f>
        <v>0</v>
      </c>
      <c r="L23" s="71" t="str">
        <f t="shared" si="0"/>
        <v/>
      </c>
      <c r="M23" s="71">
        <f t="shared" si="1"/>
        <v>0</v>
      </c>
      <c r="N23" s="71">
        <f t="shared" si="2"/>
        <v>0</v>
      </c>
      <c r="O23" s="71">
        <f t="shared" si="3"/>
        <v>0.8</v>
      </c>
      <c r="P23" s="71" t="s">
        <v>2016</v>
      </c>
      <c r="Q23" s="71">
        <v>0</v>
      </c>
      <c r="R23" s="71">
        <v>0</v>
      </c>
      <c r="S23" s="71">
        <v>5</v>
      </c>
      <c r="T23" s="71">
        <v>0</v>
      </c>
      <c r="U23" s="71">
        <v>0</v>
      </c>
      <c r="V23" s="71"/>
      <c r="W23" s="71">
        <f>COUNTIFS('BR Tenure v41'!$B$4:$B$206,B23,'BR Tenure v41'!$D$4:$D$206,"MEMBER",'BR Tenure v41'!$J$4:$J$206,"EXACT")</f>
        <v>2</v>
      </c>
      <c r="X23" s="71">
        <f>COUNTIFS('BR Tenure v41'!$B$4:$B$206,B23,'BR Tenure v41'!$D$4:$D$206,"MEMBER",'BR Tenure v41'!$J$4:$J$206,"INTERVAL")</f>
        <v>0</v>
      </c>
      <c r="Y23" s="71">
        <f>COUNTIFS('BR Tenure v41'!$B$4:$B$206,B23,'BR Tenure v41'!$D$4:$D$206,"MEMBER",'BR Tenure v41'!$J$4:$J$206,"MIN_CONTINUOUS")</f>
        <v>3</v>
      </c>
      <c r="Z23" s="71">
        <f>COUNTIFS('BR Tenure v41'!$B$4:$B$206,B23,'BR Tenure v41'!$D$4:$D$206,"MEMBER",'BR Tenure v41'!$J$4:$J$206,"CONFLICT_MIN")</f>
        <v>0</v>
      </c>
      <c r="AA23" s="71">
        <f>COUNTIFS('BR Tenure v41'!$B$4:$B$206,B23,'BR Tenure v41'!$D$4:$D$206,"MEMBER",'BR Tenure v41'!$J$4:$J$206,"UNKNOWN")</f>
        <v>0</v>
      </c>
      <c r="AB23" s="71">
        <f>IF(W23=0,"",AVERAGEIFS('BR Tenure v41'!$U$4:$U$206,'BR Tenure v41'!$B$4:$B$206,B23,'BR Tenure v41'!$D$4:$D$206,"MEMBER",'BR Tenure v41'!$J$4:$J$206,"EXACT"))</f>
        <v>0.94592744695414099</v>
      </c>
      <c r="AC23" s="71">
        <f>IF(W23&lt;2,"",SQRT((SUMIFS('BR Tenure v41'!$V$4:$V$206,'BR Tenure v41'!$B$4:$B$206,B23,'BR Tenure v41'!$D$4:$D$206,"MEMBER",'BR Tenure v41'!$J$4:$J$206,"EXACT")-W23*AB23^2)/(W23-1)))</f>
        <v>0.81116424727491721</v>
      </c>
      <c r="AD23" s="71" t="str">
        <f>IFERROR(INDEX('BR Tenure v41'!$J$4:$J$206,MATCH(1,INDEX(('BR Tenure v41'!$B$4:$B$206=B23)*('BR Tenure v41'!$D$4:$D$206="CHAIR"),0),0)),"")</f>
        <v>MIN_CONTINUOUS</v>
      </c>
      <c r="AE23" s="71">
        <f>IFERROR(INDEX('BR Tenure v41'!$U$4:$U$206,MATCH(1,INDEX(('BR Tenure v41'!$B$4:$B$206=B23)*('BR Tenure v41'!$D$4:$D$206="CHAIR"),0),0)),"")</f>
        <v>3.9534565366187544</v>
      </c>
      <c r="AF23" s="71" t="str">
        <f>IFERROR(INDEX('BR Tenure v41'!$J$4:$J$206,MATCH(1,INDEX(('BR Tenure v41'!$B$4:$B$206=B23)*('BR Tenure v41'!$D$4:$D$206="CEO"),0),0)),"")</f>
        <v>EXACT</v>
      </c>
      <c r="AG23" s="71">
        <f>IFERROR(INDEX('BR Tenure v41'!$U$4:$U$206,MATCH(1,INDEX(('BR Tenure v41'!$B$4:$B$206=B23)*('BR Tenure v41'!$D$4:$D$206="CEO"),0),0)),"")</f>
        <v>1.3744010951403149</v>
      </c>
      <c r="AH23" s="71" t="str">
        <f t="shared" si="4"/>
        <v>PARTIAL_EXACT</v>
      </c>
      <c r="AI23" s="71">
        <f>IF(COUNTIFS('BR Tenure v41'!$B$4:$B$206,B23,'BR Tenure v41'!$D$4:$D$206,"MEMBER",'BR Tenure v41'!$U$4:$U$206,"&gt;=0")=0,"",AVERAGEIFS('BR Tenure v41'!$U$4:$U$206,'BR Tenure v41'!$B$4:$B$206,B23,'BR Tenure v41'!$D$4:$D$206,"MEMBER",'BR Tenure v41'!$U$4:$U$206,"&gt;=0"))</f>
        <v>2.750444900752909</v>
      </c>
      <c r="AJ23" s="71">
        <f>COUNTIFS('BR Tenure v41'!$B$4:$B$206,B23,'BR Tenure v41'!$D$4:$D$206,"MEMBER",'BR Tenure v41'!$U$4:$U$206,"&gt;=0")</f>
        <v>5</v>
      </c>
    </row>
    <row r="24" spans="1:36" ht="20" customHeight="1" x14ac:dyDescent="0.2">
      <c r="A24" s="70" t="s">
        <v>5045</v>
      </c>
      <c r="B24" s="70" t="s">
        <v>190</v>
      </c>
      <c r="C24" s="70" t="s">
        <v>1859</v>
      </c>
      <c r="D24" s="70">
        <v>5</v>
      </c>
      <c r="E24" s="70" t="s">
        <v>2827</v>
      </c>
      <c r="F24" s="70" t="s">
        <v>119</v>
      </c>
      <c r="G24" s="70" t="s">
        <v>192</v>
      </c>
      <c r="H24" s="70">
        <v>0</v>
      </c>
      <c r="I24" s="70">
        <f>COUNTIFS('BR Independence v41'!$B$4:$B$148,B24,'BR Independence v41'!$P$4:$P$148,"NOT_INDEPENDENT_DOCUMENTED_EXECUTIVE")</f>
        <v>2</v>
      </c>
      <c r="J24" s="70">
        <f>COUNTIFS('BR Independence v41'!$B$4:$B$148,B24,'BR Independence v41'!$P$4:$P$148,"UNKNOWN")</f>
        <v>3</v>
      </c>
      <c r="K24" s="70">
        <f>COUNTIFS('BR Independence v41'!$B$4:$B$148,B24,'BR Independence v41'!$P$4:$P$148,"CONFLICT_DUTY_STATUS")</f>
        <v>0</v>
      </c>
      <c r="L24" s="70" t="str">
        <f t="shared" si="0"/>
        <v/>
      </c>
      <c r="M24" s="70">
        <f t="shared" si="1"/>
        <v>0</v>
      </c>
      <c r="N24" s="70">
        <f t="shared" si="2"/>
        <v>0</v>
      </c>
      <c r="O24" s="70">
        <f t="shared" si="3"/>
        <v>0.6</v>
      </c>
      <c r="P24" s="70" t="s">
        <v>2016</v>
      </c>
      <c r="Q24" s="70">
        <v>0</v>
      </c>
      <c r="R24" s="70">
        <v>1</v>
      </c>
      <c r="S24" s="70">
        <v>4</v>
      </c>
      <c r="T24" s="70">
        <v>0</v>
      </c>
      <c r="U24" s="70">
        <v>2</v>
      </c>
      <c r="V24" s="70"/>
      <c r="W24" s="70">
        <f>COUNTIFS('BR Tenure v41'!$B$4:$B$206,B24,'BR Tenure v41'!$D$4:$D$206,"MEMBER",'BR Tenure v41'!$J$4:$J$206,"EXACT")</f>
        <v>4</v>
      </c>
      <c r="X24" s="70">
        <f>COUNTIFS('BR Tenure v41'!$B$4:$B$206,B24,'BR Tenure v41'!$D$4:$D$206,"MEMBER",'BR Tenure v41'!$J$4:$J$206,"INTERVAL")</f>
        <v>0</v>
      </c>
      <c r="Y24" s="70">
        <f>COUNTIFS('BR Tenure v41'!$B$4:$B$206,B24,'BR Tenure v41'!$D$4:$D$206,"MEMBER",'BR Tenure v41'!$J$4:$J$206,"MIN_CONTINUOUS")</f>
        <v>1</v>
      </c>
      <c r="Z24" s="70">
        <f>COUNTIFS('BR Tenure v41'!$B$4:$B$206,B24,'BR Tenure v41'!$D$4:$D$206,"MEMBER",'BR Tenure v41'!$J$4:$J$206,"CONFLICT_MIN")</f>
        <v>0</v>
      </c>
      <c r="AA24" s="70">
        <f>COUNTIFS('BR Tenure v41'!$B$4:$B$206,B24,'BR Tenure v41'!$D$4:$D$206,"MEMBER",'BR Tenure v41'!$J$4:$J$206,"UNKNOWN")</f>
        <v>0</v>
      </c>
      <c r="AB24" s="70">
        <f>IF(W24=0,"",AVERAGEIFS('BR Tenure v41'!$U$4:$U$206,'BR Tenure v41'!$B$4:$B$206,B24,'BR Tenure v41'!$D$4:$D$206,"MEMBER",'BR Tenure v41'!$J$4:$J$206,"EXACT"))</f>
        <v>1.6324435318275154</v>
      </c>
      <c r="AC24" s="70">
        <f>IF(W24&lt;2,"",SQRT((SUMIFS('BR Tenure v41'!$V$4:$V$206,'BR Tenure v41'!$B$4:$B$206,B24,'BR Tenure v41'!$D$4:$D$206,"MEMBER",'BR Tenure v41'!$J$4:$J$206,"EXACT")-W24*AB24^2)/(W24-1)))</f>
        <v>1.0929578412764454</v>
      </c>
      <c r="AD24" s="70" t="str">
        <f>IFERROR(INDEX('BR Tenure v41'!$J$4:$J$206,MATCH(1,INDEX(('BR Tenure v41'!$B$4:$B$206=B24)*('BR Tenure v41'!$D$4:$D$206="CHAIR"),0),0)),"")</f>
        <v>EXACT</v>
      </c>
      <c r="AE24" s="70">
        <f>IFERROR(INDEX('BR Tenure v41'!$U$4:$U$206,MATCH(1,INDEX(('BR Tenure v41'!$B$4:$B$206=B24)*('BR Tenure v41'!$D$4:$D$206="CHAIR"),0),0)),"")</f>
        <v>1.0951403148528405E-2</v>
      </c>
      <c r="AF24" s="70" t="str">
        <f>IFERROR(INDEX('BR Tenure v41'!$J$4:$J$206,MATCH(1,INDEX(('BR Tenure v41'!$B$4:$B$206=B24)*('BR Tenure v41'!$D$4:$D$206="CEO"),0),0)),"")</f>
        <v>EXACT</v>
      </c>
      <c r="AG24" s="70">
        <f>IFERROR(INDEX('BR Tenure v41'!$U$4:$U$206,MATCH(1,INDEX(('BR Tenure v41'!$B$4:$B$206=B24)*('BR Tenure v41'!$D$4:$D$206="CEO"),0),0)),"")</f>
        <v>0.56399726214921286</v>
      </c>
      <c r="AH24" s="70" t="str">
        <f t="shared" si="4"/>
        <v>PARTIAL_EXACT</v>
      </c>
      <c r="AI24" s="70">
        <f>IF(COUNTIFS('BR Tenure v41'!$B$4:$B$206,B24,'BR Tenure v41'!$D$4:$D$206,"MEMBER",'BR Tenure v41'!$U$4:$U$206,"&gt;=0")=0,"",AVERAGEIFS('BR Tenure v41'!$U$4:$U$206,'BR Tenure v41'!$B$4:$B$206,B24,'BR Tenure v41'!$D$4:$D$206,"MEMBER",'BR Tenure v41'!$U$4:$U$206,"&gt;=0"))</f>
        <v>2.100479123887748</v>
      </c>
      <c r="AJ24" s="70">
        <f>COUNTIFS('BR Tenure v41'!$B$4:$B$206,B24,'BR Tenure v41'!$D$4:$D$206,"MEMBER",'BR Tenure v41'!$U$4:$U$206,"&gt;=0")</f>
        <v>5</v>
      </c>
    </row>
    <row r="25" spans="1:36" ht="20" customHeight="1" x14ac:dyDescent="0.2">
      <c r="A25" s="71" t="s">
        <v>3187</v>
      </c>
      <c r="B25" s="71" t="s">
        <v>196</v>
      </c>
      <c r="C25" s="71" t="s">
        <v>1859</v>
      </c>
      <c r="D25" s="71">
        <v>5</v>
      </c>
      <c r="E25" s="71" t="s">
        <v>5391</v>
      </c>
      <c r="F25" s="71" t="s">
        <v>119</v>
      </c>
      <c r="G25" s="71" t="s">
        <v>5384</v>
      </c>
      <c r="H25" s="71">
        <v>0</v>
      </c>
      <c r="I25" s="71">
        <f>COUNTIFS('BR Independence v41'!$B$4:$B$148,B25,'BR Independence v41'!$P$4:$P$148,"NOT_INDEPENDENT_DOCUMENTED_EXECUTIVE")</f>
        <v>2</v>
      </c>
      <c r="J25" s="71">
        <f>COUNTIFS('BR Independence v41'!$B$4:$B$148,B25,'BR Independence v41'!$P$4:$P$148,"UNKNOWN")</f>
        <v>3</v>
      </c>
      <c r="K25" s="71">
        <f>COUNTIFS('BR Independence v41'!$B$4:$B$148,B25,'BR Independence v41'!$P$4:$P$148,"CONFLICT_DUTY_STATUS")</f>
        <v>0</v>
      </c>
      <c r="L25" s="71" t="str">
        <f t="shared" si="0"/>
        <v/>
      </c>
      <c r="M25" s="71">
        <f t="shared" si="1"/>
        <v>0</v>
      </c>
      <c r="N25" s="71">
        <f t="shared" si="2"/>
        <v>0</v>
      </c>
      <c r="O25" s="71">
        <f t="shared" si="3"/>
        <v>0.6</v>
      </c>
      <c r="P25" s="71" t="s">
        <v>2016</v>
      </c>
      <c r="Q25" s="71">
        <v>5</v>
      </c>
      <c r="R25" s="71">
        <v>0</v>
      </c>
      <c r="S25" s="71">
        <v>0</v>
      </c>
      <c r="T25" s="71">
        <v>0</v>
      </c>
      <c r="U25" s="71">
        <v>1</v>
      </c>
      <c r="V25" s="71">
        <v>0.2</v>
      </c>
      <c r="W25" s="71">
        <f>COUNTIFS('BR Tenure v41'!$B$4:$B$206,B25,'BR Tenure v41'!$D$4:$D$206,"MEMBER",'BR Tenure v41'!$J$4:$J$206,"EXACT")</f>
        <v>5</v>
      </c>
      <c r="X25" s="71">
        <f>COUNTIFS('BR Tenure v41'!$B$4:$B$206,B25,'BR Tenure v41'!$D$4:$D$206,"MEMBER",'BR Tenure v41'!$J$4:$J$206,"INTERVAL")</f>
        <v>0</v>
      </c>
      <c r="Y25" s="71">
        <f>COUNTIFS('BR Tenure v41'!$B$4:$B$206,B25,'BR Tenure v41'!$D$4:$D$206,"MEMBER",'BR Tenure v41'!$J$4:$J$206,"MIN_CONTINUOUS")</f>
        <v>0</v>
      </c>
      <c r="Z25" s="71">
        <f>COUNTIFS('BR Tenure v41'!$B$4:$B$206,B25,'BR Tenure v41'!$D$4:$D$206,"MEMBER",'BR Tenure v41'!$J$4:$J$206,"CONFLICT_MIN")</f>
        <v>0</v>
      </c>
      <c r="AA25" s="71">
        <f>COUNTIFS('BR Tenure v41'!$B$4:$B$206,B25,'BR Tenure v41'!$D$4:$D$206,"MEMBER",'BR Tenure v41'!$J$4:$J$206,"UNKNOWN")</f>
        <v>0</v>
      </c>
      <c r="AB25" s="71">
        <f>IF(W25=0,"",AVERAGEIFS('BR Tenure v41'!$U$4:$U$206,'BR Tenure v41'!$B$4:$B$206,B25,'BR Tenure v41'!$D$4:$D$206,"MEMBER",'BR Tenure v41'!$J$4:$J$206,"EXACT"))</f>
        <v>1.6607802874743325</v>
      </c>
      <c r="AC25" s="71">
        <f>IF(W25&lt;2,"",SQRT((SUMIFS('BR Tenure v41'!$V$4:$V$206,'BR Tenure v41'!$B$4:$B$206,B25,'BR Tenure v41'!$D$4:$D$206,"MEMBER",'BR Tenure v41'!$J$4:$J$206,"EXACT")-W25*AB25^2)/(W25-1)))</f>
        <v>1.4763003259081646</v>
      </c>
      <c r="AD25" s="71" t="str">
        <f>IFERROR(INDEX('BR Tenure v41'!$J$4:$J$206,MATCH(1,INDEX(('BR Tenure v41'!$B$4:$B$206=B25)*('BR Tenure v41'!$D$4:$D$206="CHAIR"),0),0)),"")</f>
        <v>EXACT</v>
      </c>
      <c r="AE25" s="71">
        <f>IFERROR(INDEX('BR Tenure v41'!$U$4:$U$206,MATCH(1,INDEX(('BR Tenure v41'!$B$4:$B$206=B25)*('BR Tenure v41'!$D$4:$D$206="CHAIR"),0),0)),"")</f>
        <v>0.40793976728268311</v>
      </c>
      <c r="AF25" s="71" t="str">
        <f>IFERROR(INDEX('BR Tenure v41'!$J$4:$J$206,MATCH(1,INDEX(('BR Tenure v41'!$B$4:$B$206=B25)*('BR Tenure v41'!$D$4:$D$206="CEO"),0),0)),"")</f>
        <v>MIN_CONTINUOUS</v>
      </c>
      <c r="AG25" s="71">
        <f>IFERROR(INDEX('BR Tenure v41'!$U$4:$U$206,MATCH(1,INDEX(('BR Tenure v41'!$B$4:$B$206=B25)*('BR Tenure v41'!$D$4:$D$206="CEO"),0),0)),"")</f>
        <v>3.4168377823408624</v>
      </c>
      <c r="AH25" s="71" t="str">
        <f t="shared" si="4"/>
        <v>FULL_EXACT</v>
      </c>
      <c r="AI25" s="71">
        <f>IF(COUNTIFS('BR Tenure v41'!$B$4:$B$206,B25,'BR Tenure v41'!$D$4:$D$206,"MEMBER",'BR Tenure v41'!$U$4:$U$206,"&gt;=0")=0,"",AVERAGEIFS('BR Tenure v41'!$U$4:$U$206,'BR Tenure v41'!$B$4:$B$206,B25,'BR Tenure v41'!$D$4:$D$206,"MEMBER",'BR Tenure v41'!$U$4:$U$206,"&gt;=0"))</f>
        <v>1.6607802874743325</v>
      </c>
      <c r="AJ25" s="71">
        <f>COUNTIFS('BR Tenure v41'!$B$4:$B$206,B25,'BR Tenure v41'!$D$4:$D$206,"MEMBER",'BR Tenure v41'!$U$4:$U$206,"&gt;=0")</f>
        <v>5</v>
      </c>
    </row>
    <row r="26" spans="1:36" ht="20" customHeight="1" x14ac:dyDescent="0.2">
      <c r="A26" s="70" t="s">
        <v>5050</v>
      </c>
      <c r="B26" s="70" t="s">
        <v>199</v>
      </c>
      <c r="C26" s="70" t="s">
        <v>4429</v>
      </c>
      <c r="D26" s="70">
        <v>5</v>
      </c>
      <c r="E26" s="70" t="s">
        <v>5399</v>
      </c>
      <c r="F26" s="70" t="s">
        <v>119</v>
      </c>
      <c r="G26" s="70" t="s">
        <v>4147</v>
      </c>
      <c r="H26" s="70">
        <v>0</v>
      </c>
      <c r="I26" s="70">
        <f>COUNTIFS('BR Independence v41'!$B$4:$B$148,B26,'BR Independence v41'!$P$4:$P$148,"NOT_INDEPENDENT_DOCUMENTED_EXECUTIVE")</f>
        <v>2</v>
      </c>
      <c r="J26" s="70">
        <f>COUNTIFS('BR Independence v41'!$B$4:$B$148,B26,'BR Independence v41'!$P$4:$P$148,"UNKNOWN")</f>
        <v>3</v>
      </c>
      <c r="K26" s="70">
        <f>COUNTIFS('BR Independence v41'!$B$4:$B$148,B26,'BR Independence v41'!$P$4:$P$148,"CONFLICT_DUTY_STATUS")</f>
        <v>0</v>
      </c>
      <c r="L26" s="70" t="str">
        <f t="shared" si="0"/>
        <v/>
      </c>
      <c r="M26" s="70">
        <f t="shared" si="1"/>
        <v>0</v>
      </c>
      <c r="N26" s="70">
        <f t="shared" si="2"/>
        <v>0</v>
      </c>
      <c r="O26" s="70">
        <f t="shared" si="3"/>
        <v>0.6</v>
      </c>
      <c r="P26" s="70" t="s">
        <v>2016</v>
      </c>
      <c r="Q26" s="70">
        <v>0</v>
      </c>
      <c r="R26" s="70">
        <v>1</v>
      </c>
      <c r="S26" s="70">
        <v>4</v>
      </c>
      <c r="T26" s="70">
        <v>0</v>
      </c>
      <c r="U26" s="70">
        <v>1</v>
      </c>
      <c r="V26" s="70"/>
      <c r="W26" s="70">
        <f>COUNTIFS('BR Tenure v41'!$B$4:$B$206,B26,'BR Tenure v41'!$D$4:$D$206,"MEMBER",'BR Tenure v41'!$J$4:$J$206,"EXACT")</f>
        <v>3</v>
      </c>
      <c r="X26" s="70">
        <f>COUNTIFS('BR Tenure v41'!$B$4:$B$206,B26,'BR Tenure v41'!$D$4:$D$206,"MEMBER",'BR Tenure v41'!$J$4:$J$206,"INTERVAL")</f>
        <v>0</v>
      </c>
      <c r="Y26" s="70">
        <f>COUNTIFS('BR Tenure v41'!$B$4:$B$206,B26,'BR Tenure v41'!$D$4:$D$206,"MEMBER",'BR Tenure v41'!$J$4:$J$206,"MIN_CONTINUOUS")</f>
        <v>2</v>
      </c>
      <c r="Z26" s="70">
        <f>COUNTIFS('BR Tenure v41'!$B$4:$B$206,B26,'BR Tenure v41'!$D$4:$D$206,"MEMBER",'BR Tenure v41'!$J$4:$J$206,"CONFLICT_MIN")</f>
        <v>0</v>
      </c>
      <c r="AA26" s="70">
        <f>COUNTIFS('BR Tenure v41'!$B$4:$B$206,B26,'BR Tenure v41'!$D$4:$D$206,"MEMBER",'BR Tenure v41'!$J$4:$J$206,"UNKNOWN")</f>
        <v>0</v>
      </c>
      <c r="AB26" s="70">
        <f>IF(W26=0,"",AVERAGEIFS('BR Tenure v41'!$U$4:$U$206,'BR Tenure v41'!$B$4:$B$206,B26,'BR Tenure v41'!$D$4:$D$206,"MEMBER",'BR Tenure v41'!$J$4:$J$206,"EXACT"))</f>
        <v>2.0752908966461328</v>
      </c>
      <c r="AC26" s="70">
        <f>IF(W26&lt;2,"",SQRT((SUMIFS('BR Tenure v41'!$V$4:$V$206,'BR Tenure v41'!$B$4:$B$206,B26,'BR Tenure v41'!$D$4:$D$206,"MEMBER",'BR Tenure v41'!$J$4:$J$206,"EXACT")-W26*AB26^2)/(W26-1)))</f>
        <v>0.90176343292249472</v>
      </c>
      <c r="AD26" s="70" t="str">
        <f>IFERROR(INDEX('BR Tenure v41'!$J$4:$J$206,MATCH(1,INDEX(('BR Tenure v41'!$B$4:$B$206=B26)*('BR Tenure v41'!$D$4:$D$206="CHAIR"),0),0)),"")</f>
        <v>EXACT</v>
      </c>
      <c r="AE26" s="70">
        <f>IFERROR(INDEX('BR Tenure v41'!$U$4:$U$206,MATCH(1,INDEX(('BR Tenure v41'!$B$4:$B$206=B26)*('BR Tenure v41'!$D$4:$D$206="CHAIR"),0),0)),"")</f>
        <v>2.1245722108145104</v>
      </c>
      <c r="AF26" s="70" t="str">
        <f>IFERROR(INDEX('BR Tenure v41'!$J$4:$J$206,MATCH(1,INDEX(('BR Tenure v41'!$B$4:$B$206=B26)*('BR Tenure v41'!$D$4:$D$206="CEO"),0),0)),"")</f>
        <v>EXACT</v>
      </c>
      <c r="AG26" s="70">
        <f>IFERROR(INDEX('BR Tenure v41'!$U$4:$U$206,MATCH(1,INDEX(('BR Tenure v41'!$B$4:$B$206=B26)*('BR Tenure v41'!$D$4:$D$206="CEO"),0),0)),"")</f>
        <v>1.1498973305954825</v>
      </c>
      <c r="AH26" s="70" t="str">
        <f t="shared" si="4"/>
        <v>PARTIAL_EXACT</v>
      </c>
      <c r="AI26" s="70">
        <f>IF(COUNTIFS('BR Tenure v41'!$B$4:$B$206,B26,'BR Tenure v41'!$D$4:$D$206,"MEMBER",'BR Tenure v41'!$U$4:$U$206,"&gt;=0")=0,"",AVERAGEIFS('BR Tenure v41'!$U$4:$U$206,'BR Tenure v41'!$B$4:$B$206,B26,'BR Tenure v41'!$D$4:$D$206,"MEMBER",'BR Tenure v41'!$U$4:$U$206,"&gt;=0"))</f>
        <v>2.674332648870636</v>
      </c>
      <c r="AJ26" s="70">
        <f>COUNTIFS('BR Tenure v41'!$B$4:$B$206,B26,'BR Tenure v41'!$D$4:$D$206,"MEMBER",'BR Tenure v41'!$U$4:$U$206,"&gt;=0")</f>
        <v>5</v>
      </c>
    </row>
    <row r="27" spans="1:36" ht="20" customHeight="1" x14ac:dyDescent="0.2">
      <c r="A27" s="71" t="s">
        <v>5054</v>
      </c>
      <c r="B27" s="71" t="s">
        <v>202</v>
      </c>
      <c r="C27" s="71" t="s">
        <v>1859</v>
      </c>
      <c r="D27" s="71">
        <v>5</v>
      </c>
      <c r="E27" s="71" t="s">
        <v>5415</v>
      </c>
      <c r="F27" s="71" t="s">
        <v>119</v>
      </c>
      <c r="G27" s="71" t="s">
        <v>203</v>
      </c>
      <c r="H27" s="71">
        <v>0</v>
      </c>
      <c r="I27" s="71">
        <f>COUNTIFS('BR Independence v41'!$B$4:$B$148,B27,'BR Independence v41'!$P$4:$P$148,"NOT_INDEPENDENT_DOCUMENTED_EXECUTIVE")</f>
        <v>2</v>
      </c>
      <c r="J27" s="71">
        <f>COUNTIFS('BR Independence v41'!$B$4:$B$148,B27,'BR Independence v41'!$P$4:$P$148,"UNKNOWN")</f>
        <v>3</v>
      </c>
      <c r="K27" s="71">
        <f>COUNTIFS('BR Independence v41'!$B$4:$B$148,B27,'BR Independence v41'!$P$4:$P$148,"CONFLICT_DUTY_STATUS")</f>
        <v>0</v>
      </c>
      <c r="L27" s="71" t="str">
        <f t="shared" si="0"/>
        <v/>
      </c>
      <c r="M27" s="71">
        <f t="shared" si="1"/>
        <v>0</v>
      </c>
      <c r="N27" s="71">
        <f t="shared" si="2"/>
        <v>0</v>
      </c>
      <c r="O27" s="71">
        <f t="shared" si="3"/>
        <v>0.6</v>
      </c>
      <c r="P27" s="71" t="s">
        <v>2016</v>
      </c>
      <c r="Q27" s="71">
        <v>0</v>
      </c>
      <c r="R27" s="71">
        <v>0</v>
      </c>
      <c r="S27" s="71">
        <v>5</v>
      </c>
      <c r="T27" s="71">
        <v>0</v>
      </c>
      <c r="U27" s="71">
        <v>0</v>
      </c>
      <c r="V27" s="71"/>
      <c r="W27" s="71">
        <f>COUNTIFS('BR Tenure v41'!$B$4:$B$206,B27,'BR Tenure v41'!$D$4:$D$206,"MEMBER",'BR Tenure v41'!$J$4:$J$206,"EXACT")</f>
        <v>3</v>
      </c>
      <c r="X27" s="71">
        <f>COUNTIFS('BR Tenure v41'!$B$4:$B$206,B27,'BR Tenure v41'!$D$4:$D$206,"MEMBER",'BR Tenure v41'!$J$4:$J$206,"INTERVAL")</f>
        <v>2</v>
      </c>
      <c r="Y27" s="71">
        <f>COUNTIFS('BR Tenure v41'!$B$4:$B$206,B27,'BR Tenure v41'!$D$4:$D$206,"MEMBER",'BR Tenure v41'!$J$4:$J$206,"MIN_CONTINUOUS")</f>
        <v>0</v>
      </c>
      <c r="Z27" s="71">
        <f>COUNTIFS('BR Tenure v41'!$B$4:$B$206,B27,'BR Tenure v41'!$D$4:$D$206,"MEMBER",'BR Tenure v41'!$J$4:$J$206,"CONFLICT_MIN")</f>
        <v>0</v>
      </c>
      <c r="AA27" s="71">
        <f>COUNTIFS('BR Tenure v41'!$B$4:$B$206,B27,'BR Tenure v41'!$D$4:$D$206,"MEMBER",'BR Tenure v41'!$J$4:$J$206,"UNKNOWN")</f>
        <v>0</v>
      </c>
      <c r="AB27" s="71">
        <f>IF(W27=0,"",AVERAGEIFS('BR Tenure v41'!$U$4:$U$206,'BR Tenure v41'!$B$4:$B$206,B27,'BR Tenure v41'!$D$4:$D$206,"MEMBER",'BR Tenure v41'!$J$4:$J$206,"EXACT"))</f>
        <v>0.98015058179329217</v>
      </c>
      <c r="AC27" s="71">
        <f>IF(W27&lt;2,"",SQRT((SUMIFS('BR Tenure v41'!$V$4:$V$206,'BR Tenure v41'!$B$4:$B$206,B27,'BR Tenure v41'!$D$4:$D$206,"MEMBER",'BR Tenure v41'!$J$4:$J$206,"EXACT")-W27*AB27^2)/(W27-1)))</f>
        <v>0.15174709333936939</v>
      </c>
      <c r="AD27" s="71" t="str">
        <f>IFERROR(INDEX('BR Tenure v41'!$J$4:$J$206,MATCH(1,INDEX(('BR Tenure v41'!$B$4:$B$206=B27)*('BR Tenure v41'!$D$4:$D$206="CHAIR"),0),0)),"")</f>
        <v>INTERVAL</v>
      </c>
      <c r="AE27" s="71">
        <f>IFERROR(INDEX('BR Tenure v41'!$U$4:$U$206,MATCH(1,INDEX(('BR Tenure v41'!$B$4:$B$206=B27)*('BR Tenure v41'!$D$4:$D$206="CHAIR"),0),0)),"")</f>
        <v>1.270362765229295</v>
      </c>
      <c r="AF27" s="71" t="str">
        <f>IFERROR(INDEX('BR Tenure v41'!$J$4:$J$206,MATCH(1,INDEX(('BR Tenure v41'!$B$4:$B$206=B27)*('BR Tenure v41'!$D$4:$D$206="CEO"),0),0)),"")</f>
        <v>EXACT</v>
      </c>
      <c r="AG27" s="71">
        <f>IFERROR(INDEX('BR Tenure v41'!$U$4:$U$206,MATCH(1,INDEX(('BR Tenure v41'!$B$4:$B$206=B27)*('BR Tenure v41'!$D$4:$D$206="CEO"),0),0)),"")</f>
        <v>1.2895277207392197</v>
      </c>
      <c r="AH27" s="71" t="str">
        <f t="shared" si="4"/>
        <v>PARTIAL_EXACT</v>
      </c>
      <c r="AI27" s="71">
        <f>IF(COUNTIFS('BR Tenure v41'!$B$4:$B$206,B27,'BR Tenure v41'!$D$4:$D$206,"MEMBER",'BR Tenure v41'!$U$4:$U$206,"&gt;=0")=0,"",AVERAGEIFS('BR Tenure v41'!$U$4:$U$206,'BR Tenure v41'!$B$4:$B$206,B27,'BR Tenure v41'!$D$4:$D$206,"MEMBER",'BR Tenure v41'!$U$4:$U$206,"&gt;=0"))</f>
        <v>1.0962354551676934</v>
      </c>
      <c r="AJ27" s="71">
        <f>COUNTIFS('BR Tenure v41'!$B$4:$B$206,B27,'BR Tenure v41'!$D$4:$D$206,"MEMBER",'BR Tenure v41'!$U$4:$U$206,"&gt;=0")</f>
        <v>5</v>
      </c>
    </row>
    <row r="28" spans="1:36" ht="20" customHeight="1" x14ac:dyDescent="0.2">
      <c r="A28" s="70" t="s">
        <v>5057</v>
      </c>
      <c r="B28" s="70" t="s">
        <v>206</v>
      </c>
      <c r="C28" s="70" t="s">
        <v>1859</v>
      </c>
      <c r="D28" s="70">
        <v>5</v>
      </c>
      <c r="E28" s="70" t="s">
        <v>5433</v>
      </c>
      <c r="F28" s="70" t="s">
        <v>119</v>
      </c>
      <c r="G28" s="70" t="s">
        <v>4184</v>
      </c>
      <c r="H28" s="70">
        <v>0</v>
      </c>
      <c r="I28" s="70">
        <f>COUNTIFS('BR Independence v41'!$B$4:$B$148,B28,'BR Independence v41'!$P$4:$P$148,"NOT_INDEPENDENT_DOCUMENTED_EXECUTIVE")</f>
        <v>2</v>
      </c>
      <c r="J28" s="70">
        <f>COUNTIFS('BR Independence v41'!$B$4:$B$148,B28,'BR Independence v41'!$P$4:$P$148,"UNKNOWN")</f>
        <v>3</v>
      </c>
      <c r="K28" s="70">
        <f>COUNTIFS('BR Independence v41'!$B$4:$B$148,B28,'BR Independence v41'!$P$4:$P$148,"CONFLICT_DUTY_STATUS")</f>
        <v>0</v>
      </c>
      <c r="L28" s="70" t="str">
        <f t="shared" si="0"/>
        <v/>
      </c>
      <c r="M28" s="70">
        <f t="shared" si="1"/>
        <v>0</v>
      </c>
      <c r="N28" s="70">
        <f t="shared" si="2"/>
        <v>0</v>
      </c>
      <c r="O28" s="70">
        <f t="shared" si="3"/>
        <v>0.6</v>
      </c>
      <c r="P28" s="70" t="s">
        <v>2016</v>
      </c>
      <c r="Q28" s="70">
        <v>5</v>
      </c>
      <c r="R28" s="70">
        <v>0</v>
      </c>
      <c r="S28" s="70">
        <v>0</v>
      </c>
      <c r="T28" s="70">
        <v>0</v>
      </c>
      <c r="U28" s="70">
        <v>3</v>
      </c>
      <c r="V28" s="70">
        <v>0.6</v>
      </c>
      <c r="W28" s="70">
        <f>COUNTIFS('BR Tenure v41'!$B$4:$B$206,B28,'BR Tenure v41'!$D$4:$D$206,"MEMBER",'BR Tenure v41'!$J$4:$J$206,"EXACT")</f>
        <v>5</v>
      </c>
      <c r="X28" s="70">
        <f>COUNTIFS('BR Tenure v41'!$B$4:$B$206,B28,'BR Tenure v41'!$D$4:$D$206,"MEMBER",'BR Tenure v41'!$J$4:$J$206,"INTERVAL")</f>
        <v>0</v>
      </c>
      <c r="Y28" s="70">
        <f>COUNTIFS('BR Tenure v41'!$B$4:$B$206,B28,'BR Tenure v41'!$D$4:$D$206,"MEMBER",'BR Tenure v41'!$J$4:$J$206,"MIN_CONTINUOUS")</f>
        <v>0</v>
      </c>
      <c r="Z28" s="70">
        <f>COUNTIFS('BR Tenure v41'!$B$4:$B$206,B28,'BR Tenure v41'!$D$4:$D$206,"MEMBER",'BR Tenure v41'!$J$4:$J$206,"CONFLICT_MIN")</f>
        <v>0</v>
      </c>
      <c r="AA28" s="70">
        <f>COUNTIFS('BR Tenure v41'!$B$4:$B$206,B28,'BR Tenure v41'!$D$4:$D$206,"MEMBER",'BR Tenure v41'!$J$4:$J$206,"UNKNOWN")</f>
        <v>0</v>
      </c>
      <c r="AB28" s="70">
        <f>IF(W28=0,"",AVERAGEIFS('BR Tenure v41'!$U$4:$U$206,'BR Tenure v41'!$B$4:$B$206,B28,'BR Tenure v41'!$D$4:$D$206,"MEMBER",'BR Tenure v41'!$J$4:$J$206,"EXACT"))</f>
        <v>4.3356605065023954</v>
      </c>
      <c r="AC28" s="70">
        <f>IF(W28&lt;2,"",SQRT((SUMIFS('BR Tenure v41'!$V$4:$V$206,'BR Tenure v41'!$B$4:$B$206,B28,'BR Tenure v41'!$D$4:$D$206,"MEMBER",'BR Tenure v41'!$J$4:$J$206,"EXACT")-W28*AB28^2)/(W28-1)))</f>
        <v>3.2578903558797334</v>
      </c>
      <c r="AD28" s="70" t="str">
        <f>IFERROR(INDEX('BR Tenure v41'!$J$4:$J$206,MATCH(1,INDEX(('BR Tenure v41'!$B$4:$B$206=B28)*('BR Tenure v41'!$D$4:$D$206="CHAIR"),0),0)),"")</f>
        <v>MIN_CONTINUOUS</v>
      </c>
      <c r="AE28" s="70">
        <f>IFERROR(INDEX('BR Tenure v41'!$U$4:$U$206,MATCH(1,INDEX(('BR Tenure v41'!$B$4:$B$206=B28)*('BR Tenure v41'!$D$4:$D$206="CHAIR"),0),0)),"")</f>
        <v>3.9753593429158109</v>
      </c>
      <c r="AF28" s="70" t="str">
        <f>IFERROR(INDEX('BR Tenure v41'!$J$4:$J$206,MATCH(1,INDEX(('BR Tenure v41'!$B$4:$B$206=B28)*('BR Tenure v41'!$D$4:$D$206="CEO"),0),0)),"")</f>
        <v>MIN_CONTINUOUS</v>
      </c>
      <c r="AG28" s="70">
        <f>IFERROR(INDEX('BR Tenure v41'!$U$4:$U$206,MATCH(1,INDEX(('BR Tenure v41'!$B$4:$B$206=B28)*('BR Tenure v41'!$D$4:$D$206="CEO"),0),0)),"")</f>
        <v>2.8035592060232717</v>
      </c>
      <c r="AH28" s="70" t="str">
        <f t="shared" si="4"/>
        <v>FULL_EXACT</v>
      </c>
      <c r="AI28" s="70">
        <f>IF(COUNTIFS('BR Tenure v41'!$B$4:$B$206,B28,'BR Tenure v41'!$D$4:$D$206,"MEMBER",'BR Tenure v41'!$U$4:$U$206,"&gt;=0")=0,"",AVERAGEIFS('BR Tenure v41'!$U$4:$U$206,'BR Tenure v41'!$B$4:$B$206,B28,'BR Tenure v41'!$D$4:$D$206,"MEMBER",'BR Tenure v41'!$U$4:$U$206,"&gt;=0"))</f>
        <v>4.3356605065023954</v>
      </c>
      <c r="AJ28" s="70">
        <f>COUNTIFS('BR Tenure v41'!$B$4:$B$206,B28,'BR Tenure v41'!$D$4:$D$206,"MEMBER",'BR Tenure v41'!$U$4:$U$206,"&gt;=0")</f>
        <v>5</v>
      </c>
    </row>
    <row r="29" spans="1:36" ht="43.5" customHeight="1" x14ac:dyDescent="0.2">
      <c r="A29" s="71" t="s">
        <v>5060</v>
      </c>
      <c r="B29" s="71" t="s">
        <v>209</v>
      </c>
      <c r="C29" s="71" t="s">
        <v>1859</v>
      </c>
      <c r="D29" s="71">
        <v>5</v>
      </c>
      <c r="E29" s="71" t="s">
        <v>5444</v>
      </c>
      <c r="F29" s="71" t="s">
        <v>119</v>
      </c>
      <c r="G29" s="71" t="s">
        <v>5438</v>
      </c>
      <c r="H29" s="71">
        <v>0</v>
      </c>
      <c r="I29" s="71">
        <f>COUNTIFS('BR Independence v41'!$B$4:$B$148,B29,'BR Independence v41'!$P$4:$P$148,"NOT_INDEPENDENT_DOCUMENTED_EXECUTIVE")</f>
        <v>5</v>
      </c>
      <c r="J29" s="71">
        <f>COUNTIFS('BR Independence v41'!$B$4:$B$148,B29,'BR Independence v41'!$P$4:$P$148,"UNKNOWN")</f>
        <v>0</v>
      </c>
      <c r="K29" s="71">
        <f>COUNTIFS('BR Independence v41'!$B$4:$B$148,B29,'BR Independence v41'!$P$4:$P$148,"CONFLICT_DUTY_STATUS")</f>
        <v>0</v>
      </c>
      <c r="L29" s="71">
        <f t="shared" si="0"/>
        <v>0</v>
      </c>
      <c r="M29" s="71">
        <f t="shared" si="1"/>
        <v>0</v>
      </c>
      <c r="N29" s="71">
        <f t="shared" si="2"/>
        <v>0</v>
      </c>
      <c r="O29" s="71">
        <f t="shared" si="3"/>
        <v>0</v>
      </c>
      <c r="P29" s="71" t="s">
        <v>6314</v>
      </c>
      <c r="Q29" s="71">
        <v>0</v>
      </c>
      <c r="R29" s="71">
        <v>0</v>
      </c>
      <c r="S29" s="71">
        <v>5</v>
      </c>
      <c r="T29" s="71">
        <v>0</v>
      </c>
      <c r="U29" s="71">
        <v>0</v>
      </c>
      <c r="V29" s="71"/>
      <c r="W29" s="71">
        <f>COUNTIFS('BR Tenure v41'!$B$4:$B$206,B29,'BR Tenure v41'!$D$4:$D$206,"MEMBER",'BR Tenure v41'!$J$4:$J$206,"EXACT")</f>
        <v>2</v>
      </c>
      <c r="X29" s="71">
        <f>COUNTIFS('BR Tenure v41'!$B$4:$B$206,B29,'BR Tenure v41'!$D$4:$D$206,"MEMBER",'BR Tenure v41'!$J$4:$J$206,"INTERVAL")</f>
        <v>0</v>
      </c>
      <c r="Y29" s="71">
        <f>COUNTIFS('BR Tenure v41'!$B$4:$B$206,B29,'BR Tenure v41'!$D$4:$D$206,"MEMBER",'BR Tenure v41'!$J$4:$J$206,"MIN_CONTINUOUS")</f>
        <v>3</v>
      </c>
      <c r="Z29" s="71">
        <f>COUNTIFS('BR Tenure v41'!$B$4:$B$206,B29,'BR Tenure v41'!$D$4:$D$206,"MEMBER",'BR Tenure v41'!$J$4:$J$206,"CONFLICT_MIN")</f>
        <v>0</v>
      </c>
      <c r="AA29" s="71">
        <f>COUNTIFS('BR Tenure v41'!$B$4:$B$206,B29,'BR Tenure v41'!$D$4:$D$206,"MEMBER",'BR Tenure v41'!$J$4:$J$206,"UNKNOWN")</f>
        <v>0</v>
      </c>
      <c r="AB29" s="71">
        <f>IF(W29=0,"",AVERAGEIFS('BR Tenure v41'!$U$4:$U$206,'BR Tenure v41'!$B$4:$B$206,B29,'BR Tenure v41'!$D$4:$D$206,"MEMBER",'BR Tenure v41'!$J$4:$J$206,"EXACT"))</f>
        <v>2.0150581793292264</v>
      </c>
      <c r="AC29" s="71">
        <f>IF(W29&lt;2,"",SQRT((SUMIFS('BR Tenure v41'!$V$4:$V$206,'BR Tenure v41'!$B$4:$B$206,B29,'BR Tenure v41'!$D$4:$D$206,"MEMBER",'BR Tenure v41'!$J$4:$J$206,"EXACT")-W29*AB29^2)/(W29-1)))</f>
        <v>0</v>
      </c>
      <c r="AD29" s="71" t="str">
        <f>IFERROR(INDEX('BR Tenure v41'!$J$4:$J$206,MATCH(1,INDEX(('BR Tenure v41'!$B$4:$B$206=B29)*('BR Tenure v41'!$D$4:$D$206="CHAIR"),0),0)),"")</f>
        <v>MIN_CONTINUOUS</v>
      </c>
      <c r="AE29" s="71">
        <f>IFERROR(INDEX('BR Tenure v41'!$U$4:$U$206,MATCH(1,INDEX(('BR Tenure v41'!$B$4:$B$206=B29)*('BR Tenure v41'!$D$4:$D$206="CHAIR"),0),0)),"")</f>
        <v>3.8275154004106775</v>
      </c>
      <c r="AF29" s="71" t="str">
        <f>IFERROR(INDEX('BR Tenure v41'!$J$4:$J$206,MATCH(1,INDEX(('BR Tenure v41'!$B$4:$B$206=B29)*('BR Tenure v41'!$D$4:$D$206="CEO"),0),0)),"")</f>
        <v>EXACT</v>
      </c>
      <c r="AG29" s="71">
        <f>IFERROR(INDEX('BR Tenure v41'!$U$4:$U$206,MATCH(1,INDEX(('BR Tenure v41'!$B$4:$B$206=B29)*('BR Tenure v41'!$D$4:$D$206="CEO"),0),0)),"")</f>
        <v>2.0150581793292264</v>
      </c>
      <c r="AH29" s="71" t="str">
        <f t="shared" si="4"/>
        <v>PARTIAL_EXACT</v>
      </c>
      <c r="AI29" s="71">
        <f>IF(COUNTIFS('BR Tenure v41'!$B$4:$B$206,B29,'BR Tenure v41'!$D$4:$D$206,"MEMBER",'BR Tenure v41'!$U$4:$U$206,"&gt;=0")=0,"",AVERAGEIFS('BR Tenure v41'!$U$4:$U$206,'BR Tenure v41'!$B$4:$B$206,B29,'BR Tenure v41'!$D$4:$D$206,"MEMBER",'BR Tenure v41'!$U$4:$U$206,"&gt;=0"))</f>
        <v>3.1025325119780973</v>
      </c>
      <c r="AJ29" s="71">
        <f>COUNTIFS('BR Tenure v41'!$B$4:$B$206,B29,'BR Tenure v41'!$D$4:$D$206,"MEMBER",'BR Tenure v41'!$U$4:$U$206,"&gt;=0")</f>
        <v>5</v>
      </c>
    </row>
    <row r="30" spans="1:36" ht="43.5" customHeight="1" x14ac:dyDescent="0.2">
      <c r="A30" s="70" t="s">
        <v>5063</v>
      </c>
      <c r="B30" s="70" t="s">
        <v>212</v>
      </c>
      <c r="C30" s="70" t="s">
        <v>1859</v>
      </c>
      <c r="D30" s="70">
        <v>5</v>
      </c>
      <c r="E30" s="70" t="s">
        <v>5449</v>
      </c>
      <c r="F30" s="70" t="s">
        <v>119</v>
      </c>
      <c r="G30" s="70" t="s">
        <v>5451</v>
      </c>
      <c r="H30" s="70">
        <v>0</v>
      </c>
      <c r="I30" s="70">
        <f>COUNTIFS('BR Independence v41'!$B$4:$B$148,B30,'BR Independence v41'!$P$4:$P$148,"NOT_INDEPENDENT_DOCUMENTED_EXECUTIVE")</f>
        <v>5</v>
      </c>
      <c r="J30" s="70">
        <f>COUNTIFS('BR Independence v41'!$B$4:$B$148,B30,'BR Independence v41'!$P$4:$P$148,"UNKNOWN")</f>
        <v>0</v>
      </c>
      <c r="K30" s="70">
        <f>COUNTIFS('BR Independence v41'!$B$4:$B$148,B30,'BR Independence v41'!$P$4:$P$148,"CONFLICT_DUTY_STATUS")</f>
        <v>0</v>
      </c>
      <c r="L30" s="70">
        <f t="shared" si="0"/>
        <v>0</v>
      </c>
      <c r="M30" s="70">
        <f t="shared" si="1"/>
        <v>0</v>
      </c>
      <c r="N30" s="70">
        <f t="shared" si="2"/>
        <v>0</v>
      </c>
      <c r="O30" s="70">
        <f t="shared" si="3"/>
        <v>0</v>
      </c>
      <c r="P30" s="70" t="s">
        <v>6314</v>
      </c>
      <c r="Q30" s="70">
        <v>0</v>
      </c>
      <c r="R30" s="70">
        <v>0</v>
      </c>
      <c r="S30" s="70">
        <v>5</v>
      </c>
      <c r="T30" s="70">
        <v>0</v>
      </c>
      <c r="U30" s="70">
        <v>0</v>
      </c>
      <c r="V30" s="70"/>
      <c r="W30" s="70">
        <f>COUNTIFS('BR Tenure v41'!$B$4:$B$206,B30,'BR Tenure v41'!$D$4:$D$206,"MEMBER",'BR Tenure v41'!$J$4:$J$206,"EXACT")</f>
        <v>3</v>
      </c>
      <c r="X30" s="70">
        <f>COUNTIFS('BR Tenure v41'!$B$4:$B$206,B30,'BR Tenure v41'!$D$4:$D$206,"MEMBER",'BR Tenure v41'!$J$4:$J$206,"INTERVAL")</f>
        <v>1</v>
      </c>
      <c r="Y30" s="70">
        <f>COUNTIFS('BR Tenure v41'!$B$4:$B$206,B30,'BR Tenure v41'!$D$4:$D$206,"MEMBER",'BR Tenure v41'!$J$4:$J$206,"MIN_CONTINUOUS")</f>
        <v>1</v>
      </c>
      <c r="Z30" s="70">
        <f>COUNTIFS('BR Tenure v41'!$B$4:$B$206,B30,'BR Tenure v41'!$D$4:$D$206,"MEMBER",'BR Tenure v41'!$J$4:$J$206,"CONFLICT_MIN")</f>
        <v>0</v>
      </c>
      <c r="AA30" s="70">
        <f>COUNTIFS('BR Tenure v41'!$B$4:$B$206,B30,'BR Tenure v41'!$D$4:$D$206,"MEMBER",'BR Tenure v41'!$J$4:$J$206,"UNKNOWN")</f>
        <v>0</v>
      </c>
      <c r="AB30" s="70">
        <f>IF(W30=0,"",AVERAGEIFS('BR Tenure v41'!$U$4:$U$206,'BR Tenure v41'!$B$4:$B$206,B30,'BR Tenure v41'!$D$4:$D$206,"MEMBER",'BR Tenure v41'!$J$4:$J$206,"EXACT"))</f>
        <v>1.979466119096509</v>
      </c>
      <c r="AC30" s="70">
        <f>IF(W30&lt;2,"",SQRT((SUMIFS('BR Tenure v41'!$V$4:$V$206,'BR Tenure v41'!$B$4:$B$206,B30,'BR Tenure v41'!$D$4:$D$206,"MEMBER",'BR Tenure v41'!$J$4:$J$206,"EXACT")-W30*AB30^2)/(W30-1)))</f>
        <v>0.68814886940762887</v>
      </c>
      <c r="AD30" s="70" t="str">
        <f>IFERROR(INDEX('BR Tenure v41'!$J$4:$J$206,MATCH(1,INDEX(('BR Tenure v41'!$B$4:$B$206=B30)*('BR Tenure v41'!$D$4:$D$206="CHAIR"),0),0)),"")</f>
        <v>EXACT</v>
      </c>
      <c r="AE30" s="70">
        <f>IFERROR(INDEX('BR Tenure v41'!$U$4:$U$206,MATCH(1,INDEX(('BR Tenure v41'!$B$4:$B$206=B30)*('BR Tenure v41'!$D$4:$D$206="CHAIR"),0),0)),"")</f>
        <v>2.4038329911019849</v>
      </c>
      <c r="AF30" s="70" t="str">
        <f>IFERROR(INDEX('BR Tenure v41'!$J$4:$J$206,MATCH(1,INDEX(('BR Tenure v41'!$B$4:$B$206=B30)*('BR Tenure v41'!$D$4:$D$206="CEO"),0),0)),"")</f>
        <v>EXACT</v>
      </c>
      <c r="AG30" s="70">
        <f>IFERROR(INDEX('BR Tenure v41'!$U$4:$U$206,MATCH(1,INDEX(('BR Tenure v41'!$B$4:$B$206=B30)*('BR Tenure v41'!$D$4:$D$206="CEO"),0),0)),"")</f>
        <v>2.5434633812457221</v>
      </c>
      <c r="AH30" s="70" t="str">
        <f t="shared" si="4"/>
        <v>PARTIAL_EXACT</v>
      </c>
      <c r="AI30" s="70">
        <f>IF(COUNTIFS('BR Tenure v41'!$B$4:$B$206,B30,'BR Tenure v41'!$D$4:$D$206,"MEMBER",'BR Tenure v41'!$U$4:$U$206,"&gt;=0")=0,"",AVERAGEIFS('BR Tenure v41'!$U$4:$U$206,'BR Tenure v41'!$B$4:$B$206,B30,'BR Tenure v41'!$D$4:$D$206,"MEMBER",'BR Tenure v41'!$U$4:$U$206,"&gt;=0"))</f>
        <v>2.416974674880219</v>
      </c>
      <c r="AJ30" s="70">
        <f>COUNTIFS('BR Tenure v41'!$B$4:$B$206,B30,'BR Tenure v41'!$D$4:$D$206,"MEMBER",'BR Tenure v41'!$U$4:$U$206,"&gt;=0")</f>
        <v>5</v>
      </c>
    </row>
    <row r="31" spans="1:36" ht="29" customHeight="1" x14ac:dyDescent="0.2">
      <c r="A31" s="71" t="s">
        <v>5066</v>
      </c>
      <c r="B31" s="71" t="s">
        <v>24</v>
      </c>
      <c r="C31" s="71" t="s">
        <v>1859</v>
      </c>
      <c r="D31" s="71">
        <v>0</v>
      </c>
      <c r="E31" s="71" t="s">
        <v>6315</v>
      </c>
      <c r="F31" s="71" t="s">
        <v>1069</v>
      </c>
      <c r="G31" s="71"/>
      <c r="H31" s="71"/>
      <c r="I31" s="71"/>
      <c r="J31" s="71"/>
      <c r="K31" s="71"/>
      <c r="L31" s="71"/>
      <c r="M31" s="71"/>
      <c r="N31" s="71"/>
      <c r="O31" s="71"/>
      <c r="P31" s="71" t="s">
        <v>5457</v>
      </c>
      <c r="Q31" s="71"/>
      <c r="R31" s="71"/>
      <c r="S31" s="71"/>
      <c r="T31" s="71"/>
      <c r="U31" s="71"/>
      <c r="V31" s="71"/>
      <c r="W31" s="71">
        <f>COUNTIFS('BR Tenure v41'!$B$4:$B$206,B31,'BR Tenure v41'!$D$4:$D$206,"MEMBER",'BR Tenure v41'!$J$4:$J$206,"EXACT")</f>
        <v>0</v>
      </c>
      <c r="X31" s="71">
        <f>COUNTIFS('BR Tenure v41'!$B$4:$B$206,B31,'BR Tenure v41'!$D$4:$D$206,"MEMBER",'BR Tenure v41'!$J$4:$J$206,"INTERVAL")</f>
        <v>0</v>
      </c>
      <c r="Y31" s="71">
        <f>COUNTIFS('BR Tenure v41'!$B$4:$B$206,B31,'BR Tenure v41'!$D$4:$D$206,"MEMBER",'BR Tenure v41'!$J$4:$J$206,"MIN_CONTINUOUS")</f>
        <v>0</v>
      </c>
      <c r="Z31" s="71">
        <f>COUNTIFS('BR Tenure v41'!$B$4:$B$206,B31,'BR Tenure v41'!$D$4:$D$206,"MEMBER",'BR Tenure v41'!$J$4:$J$206,"CONFLICT_MIN")</f>
        <v>0</v>
      </c>
      <c r="AA31" s="71">
        <f>COUNTIFS('BR Tenure v41'!$B$4:$B$206,B31,'BR Tenure v41'!$D$4:$D$206,"MEMBER",'BR Tenure v41'!$J$4:$J$206,"UNKNOWN")</f>
        <v>1</v>
      </c>
      <c r="AB31" s="71" t="str">
        <f>IF(W31=0,"",AVERAGEIFS('BR Tenure v41'!$U$4:$U$206,'BR Tenure v41'!$B$4:$B$206,B31,'BR Tenure v41'!$D$4:$D$206,"MEMBER",'BR Tenure v41'!$J$4:$J$206,"EXACT"))</f>
        <v/>
      </c>
      <c r="AC31" s="71" t="str">
        <f>IF(W31&lt;2,"",SQRT((SUMIFS('BR Tenure v41'!$V$4:$V$206,'BR Tenure v41'!$B$4:$B$206,B31,'BR Tenure v41'!$D$4:$D$206,"MEMBER",'BR Tenure v41'!$J$4:$J$206,"EXACT")-W31*AB31^2)/(W31-1)))</f>
        <v/>
      </c>
      <c r="AD31" s="71" t="str">
        <f>IFERROR(INDEX('BR Tenure v41'!$J$4:$J$206,MATCH(1,INDEX(('BR Tenure v41'!$B$4:$B$206=B31)*('BR Tenure v41'!$D$4:$D$206="CHAIR"),0),0)),"")</f>
        <v/>
      </c>
      <c r="AE31" s="71" t="str">
        <f>IFERROR(INDEX('BR Tenure v41'!$U$4:$U$206,MATCH(1,INDEX(('BR Tenure v41'!$B$4:$B$206=B31)*('BR Tenure v41'!$D$4:$D$206="CHAIR"),0),0)),"")</f>
        <v/>
      </c>
      <c r="AF31" s="71" t="str">
        <f>IFERROR(INDEX('BR Tenure v41'!$J$4:$J$206,MATCH(1,INDEX(('BR Tenure v41'!$B$4:$B$206=B31)*('BR Tenure v41'!$D$4:$D$206="CEO"),0),0)),"")</f>
        <v/>
      </c>
      <c r="AG31" s="71" t="str">
        <f>IFERROR(INDEX('BR Tenure v41'!$U$4:$U$206,MATCH(1,INDEX(('BR Tenure v41'!$B$4:$B$206=B31)*('BR Tenure v41'!$D$4:$D$206="CEO"),0),0)),"")</f>
        <v/>
      </c>
      <c r="AH31" s="71" t="str">
        <f t="shared" si="4"/>
        <v>NO_ROSTER</v>
      </c>
      <c r="AI31" s="71" t="str">
        <f>IF(COUNTIFS('BR Tenure v41'!$B$4:$B$206,B31,'BR Tenure v41'!$D$4:$D$206,"MEMBER",'BR Tenure v41'!$U$4:$U$206,"&gt;=0")=0,"",AVERAGEIFS('BR Tenure v41'!$U$4:$U$206,'BR Tenure v41'!$B$4:$B$206,B31,'BR Tenure v41'!$D$4:$D$206,"MEMBER",'BR Tenure v41'!$U$4:$U$206,"&gt;=0"))</f>
        <v/>
      </c>
      <c r="AJ31" s="71">
        <f>COUNTIFS('BR Tenure v41'!$B$4:$B$206,B31,'BR Tenure v41'!$D$4:$D$206,"MEMBER",'BR Tenure v41'!$U$4:$U$206,"&gt;=0")</f>
        <v>0</v>
      </c>
    </row>
    <row r="32" spans="1:36" ht="29" customHeight="1" x14ac:dyDescent="0.2">
      <c r="A32" s="70" t="s">
        <v>5070</v>
      </c>
      <c r="B32" s="70" t="s">
        <v>28</v>
      </c>
      <c r="C32" s="70" t="s">
        <v>4364</v>
      </c>
      <c r="D32" s="70">
        <v>5</v>
      </c>
      <c r="E32" s="70" t="s">
        <v>6315</v>
      </c>
      <c r="F32" s="70" t="s">
        <v>1069</v>
      </c>
      <c r="G32" s="70" t="s">
        <v>5462</v>
      </c>
      <c r="H32" s="70">
        <v>0</v>
      </c>
      <c r="I32" s="70">
        <f>COUNTIFS('BR Independence v41'!$B$4:$B$148,B32,'BR Independence v41'!$P$4:$P$148,"NOT_INDEPENDENT_DOCUMENTED_EXECUTIVE")</f>
        <v>2</v>
      </c>
      <c r="J32" s="70">
        <f>COUNTIFS('BR Independence v41'!$B$4:$B$148,B32,'BR Independence v41'!$P$4:$P$148,"UNKNOWN")</f>
        <v>3</v>
      </c>
      <c r="K32" s="70">
        <f>COUNTIFS('BR Independence v41'!$B$4:$B$148,B32,'BR Independence v41'!$P$4:$P$148,"CONFLICT_DUTY_STATUS")</f>
        <v>0</v>
      </c>
      <c r="L32" s="70" t="str">
        <f>IF(AND(J32=0,K32=0),H32/D32,"")</f>
        <v/>
      </c>
      <c r="M32" s="70">
        <f>IF(H32+I32=0,"",H32/(H32+I32))</f>
        <v>0</v>
      </c>
      <c r="N32" s="70">
        <f>H32/D32</f>
        <v>0</v>
      </c>
      <c r="O32" s="70">
        <f>(D32-I32)/D32</f>
        <v>0.6</v>
      </c>
      <c r="P32" s="70" t="s">
        <v>2016</v>
      </c>
      <c r="Q32" s="70">
        <v>0</v>
      </c>
      <c r="R32" s="70">
        <v>0</v>
      </c>
      <c r="S32" s="70">
        <v>5</v>
      </c>
      <c r="T32" s="70">
        <v>0</v>
      </c>
      <c r="U32" s="70">
        <v>0</v>
      </c>
      <c r="V32" s="70"/>
      <c r="W32" s="70">
        <f>COUNTIFS('BR Tenure v41'!$B$4:$B$206,B32,'BR Tenure v41'!$D$4:$D$206,"MEMBER",'BR Tenure v41'!$J$4:$J$206,"EXACT")</f>
        <v>0</v>
      </c>
      <c r="X32" s="70">
        <f>COUNTIFS('BR Tenure v41'!$B$4:$B$206,B32,'BR Tenure v41'!$D$4:$D$206,"MEMBER",'BR Tenure v41'!$J$4:$J$206,"INTERVAL")</f>
        <v>0</v>
      </c>
      <c r="Y32" s="70">
        <f>COUNTIFS('BR Tenure v41'!$B$4:$B$206,B32,'BR Tenure v41'!$D$4:$D$206,"MEMBER",'BR Tenure v41'!$J$4:$J$206,"MIN_CONTINUOUS")</f>
        <v>0</v>
      </c>
      <c r="Z32" s="70">
        <f>COUNTIFS('BR Tenure v41'!$B$4:$B$206,B32,'BR Tenure v41'!$D$4:$D$206,"MEMBER",'BR Tenure v41'!$J$4:$J$206,"CONFLICT_MIN")</f>
        <v>0</v>
      </c>
      <c r="AA32" s="70">
        <f>COUNTIFS('BR Tenure v41'!$B$4:$B$206,B32,'BR Tenure v41'!$D$4:$D$206,"MEMBER",'BR Tenure v41'!$J$4:$J$206,"UNKNOWN")</f>
        <v>5</v>
      </c>
      <c r="AB32" s="70" t="str">
        <f>IF(W32=0,"",AVERAGEIFS('BR Tenure v41'!$U$4:$U$206,'BR Tenure v41'!$B$4:$B$206,B32,'BR Tenure v41'!$D$4:$D$206,"MEMBER",'BR Tenure v41'!$J$4:$J$206,"EXACT"))</f>
        <v/>
      </c>
      <c r="AC32" s="70" t="str">
        <f>IF(W32&lt;2,"",SQRT((SUMIFS('BR Tenure v41'!$V$4:$V$206,'BR Tenure v41'!$B$4:$B$206,B32,'BR Tenure v41'!$D$4:$D$206,"MEMBER",'BR Tenure v41'!$J$4:$J$206,"EXACT")-W32*AB32^2)/(W32-1)))</f>
        <v/>
      </c>
      <c r="AD32" s="70" t="str">
        <f>IFERROR(INDEX('BR Tenure v41'!$J$4:$J$206,MATCH(1,INDEX(('BR Tenure v41'!$B$4:$B$206=B32)*('BR Tenure v41'!$D$4:$D$206="CHAIR"),0),0)),"")</f>
        <v>MIN_CONTINUOUS</v>
      </c>
      <c r="AE32" s="70">
        <f>IFERROR(INDEX('BR Tenure v41'!$U$4:$U$206,MATCH(1,INDEX(('BR Tenure v41'!$B$4:$B$206=B32)*('BR Tenure v41'!$D$4:$D$206="CHAIR"),0),0)),"")</f>
        <v>2.729637234770705</v>
      </c>
      <c r="AF32" s="70" t="str">
        <f>IFERROR(INDEX('BR Tenure v41'!$J$4:$J$206,MATCH(1,INDEX(('BR Tenure v41'!$B$4:$B$206=B32)*('BR Tenure v41'!$D$4:$D$206="CEO"),0),0)),"")</f>
        <v>UNKNOWN</v>
      </c>
      <c r="AG32" s="70" t="str">
        <f>IFERROR(INDEX('BR Tenure v41'!$U$4:$U$206,MATCH(1,INDEX(('BR Tenure v41'!$B$4:$B$206=B32)*('BR Tenure v41'!$D$4:$D$206="CEO"),0),0)),"")</f>
        <v/>
      </c>
      <c r="AH32" s="70" t="str">
        <f t="shared" si="4"/>
        <v>NO_EXACT</v>
      </c>
      <c r="AI32" s="70" t="str">
        <f>IF(COUNTIFS('BR Tenure v41'!$B$4:$B$206,B32,'BR Tenure v41'!$D$4:$D$206,"MEMBER",'BR Tenure v41'!$U$4:$U$206,"&gt;=0")=0,"",AVERAGEIFS('BR Tenure v41'!$U$4:$U$206,'BR Tenure v41'!$B$4:$B$206,B32,'BR Tenure v41'!$D$4:$D$206,"MEMBER",'BR Tenure v41'!$U$4:$U$206,"&gt;=0"))</f>
        <v/>
      </c>
      <c r="AJ32" s="70">
        <f>COUNTIFS('BR Tenure v41'!$B$4:$B$206,B32,'BR Tenure v41'!$D$4:$D$206,"MEMBER",'BR Tenure v41'!$U$4:$U$206,"&gt;=0")</f>
        <v>0</v>
      </c>
    </row>
    <row r="33" spans="1:36" ht="20" customHeight="1" x14ac:dyDescent="0.2">
      <c r="A33" s="71" t="s">
        <v>5073</v>
      </c>
      <c r="B33" s="71" t="s">
        <v>222</v>
      </c>
      <c r="C33" s="71" t="s">
        <v>3879</v>
      </c>
      <c r="D33" s="71">
        <v>5</v>
      </c>
      <c r="E33" s="71" t="s">
        <v>2894</v>
      </c>
      <c r="F33" s="71" t="s">
        <v>119</v>
      </c>
      <c r="G33" s="71" t="s">
        <v>223</v>
      </c>
      <c r="H33" s="71">
        <v>0</v>
      </c>
      <c r="I33" s="71">
        <f>COUNTIFS('BR Independence v41'!$B$4:$B$148,B33,'BR Independence v41'!$P$4:$P$148,"NOT_INDEPENDENT_DOCUMENTED_EXECUTIVE")</f>
        <v>1</v>
      </c>
      <c r="J33" s="71">
        <f>COUNTIFS('BR Independence v41'!$B$4:$B$148,B33,'BR Independence v41'!$P$4:$P$148,"UNKNOWN")</f>
        <v>4</v>
      </c>
      <c r="K33" s="71">
        <f>COUNTIFS('BR Independence v41'!$B$4:$B$148,B33,'BR Independence v41'!$P$4:$P$148,"CONFLICT_DUTY_STATUS")</f>
        <v>0</v>
      </c>
      <c r="L33" s="71" t="str">
        <f>IF(AND(J33=0,K33=0),H33/D33,"")</f>
        <v/>
      </c>
      <c r="M33" s="71">
        <f>IF(H33+I33=0,"",H33/(H33+I33))</f>
        <v>0</v>
      </c>
      <c r="N33" s="71">
        <f>H33/D33</f>
        <v>0</v>
      </c>
      <c r="O33" s="71">
        <f>(D33-I33)/D33</f>
        <v>0.8</v>
      </c>
      <c r="P33" s="71" t="s">
        <v>2016</v>
      </c>
      <c r="Q33" s="71">
        <v>0</v>
      </c>
      <c r="R33" s="71">
        <v>0</v>
      </c>
      <c r="S33" s="71">
        <v>5</v>
      </c>
      <c r="T33" s="71">
        <v>0</v>
      </c>
      <c r="U33" s="71">
        <v>0</v>
      </c>
      <c r="V33" s="71"/>
      <c r="W33" s="71">
        <f>COUNTIFS('BR Tenure v41'!$B$4:$B$206,B33,'BR Tenure v41'!$D$4:$D$206,"MEMBER",'BR Tenure v41'!$J$4:$J$206,"EXACT")</f>
        <v>4</v>
      </c>
      <c r="X33" s="71">
        <f>COUNTIFS('BR Tenure v41'!$B$4:$B$206,B33,'BR Tenure v41'!$D$4:$D$206,"MEMBER",'BR Tenure v41'!$J$4:$J$206,"INTERVAL")</f>
        <v>0</v>
      </c>
      <c r="Y33" s="71">
        <f>COUNTIFS('BR Tenure v41'!$B$4:$B$206,B33,'BR Tenure v41'!$D$4:$D$206,"MEMBER",'BR Tenure v41'!$J$4:$J$206,"MIN_CONTINUOUS")</f>
        <v>0</v>
      </c>
      <c r="Z33" s="71">
        <f>COUNTIFS('BR Tenure v41'!$B$4:$B$206,B33,'BR Tenure v41'!$D$4:$D$206,"MEMBER",'BR Tenure v41'!$J$4:$J$206,"CONFLICT_MIN")</f>
        <v>0</v>
      </c>
      <c r="AA33" s="71">
        <f>COUNTIFS('BR Tenure v41'!$B$4:$B$206,B33,'BR Tenure v41'!$D$4:$D$206,"MEMBER",'BR Tenure v41'!$J$4:$J$206,"UNKNOWN")</f>
        <v>1</v>
      </c>
      <c r="AB33" s="71">
        <f>IF(W33=0,"",AVERAGEIFS('BR Tenure v41'!$U$4:$U$206,'BR Tenure v41'!$B$4:$B$206,B33,'BR Tenure v41'!$D$4:$D$206,"MEMBER",'BR Tenure v41'!$J$4:$J$206,"EXACT"))</f>
        <v>0.52292950034223129</v>
      </c>
      <c r="AC33" s="71">
        <f>IF(W33&lt;2,"",SQRT((SUMIFS('BR Tenure v41'!$V$4:$V$206,'BR Tenure v41'!$B$4:$B$206,B33,'BR Tenure v41'!$D$4:$D$206,"MEMBER",'BR Tenure v41'!$J$4:$J$206,"EXACT")-W33*AB33^2)/(W33-1)))</f>
        <v>0.14236824093086931</v>
      </c>
      <c r="AD33" s="71" t="str">
        <f>IFERROR(INDEX('BR Tenure v41'!$J$4:$J$206,MATCH(1,INDEX(('BR Tenure v41'!$B$4:$B$206=B33)*('BR Tenure v41'!$D$4:$D$206="CHAIR"),0),0)),"")</f>
        <v>EXACT</v>
      </c>
      <c r="AE33" s="71">
        <f>IFERROR(INDEX('BR Tenure v41'!$U$4:$U$206,MATCH(1,INDEX(('BR Tenure v41'!$B$4:$B$206=B33)*('BR Tenure v41'!$D$4:$D$206="CHAIR"),0),0)),"")</f>
        <v>0.59411362080766594</v>
      </c>
      <c r="AF33" s="71" t="str">
        <f>IFERROR(INDEX('BR Tenure v41'!$J$4:$J$206,MATCH(1,INDEX(('BR Tenure v41'!$B$4:$B$206=B33)*('BR Tenure v41'!$D$4:$D$206="CEO"),0),0)),"")</f>
        <v>EXACT</v>
      </c>
      <c r="AG33" s="71">
        <f>IFERROR(INDEX('BR Tenure v41'!$U$4:$U$206,MATCH(1,INDEX(('BR Tenure v41'!$B$4:$B$206=B33)*('BR Tenure v41'!$D$4:$D$206="CEO"),0),0)),"")</f>
        <v>0.59411362080766594</v>
      </c>
      <c r="AH33" s="71" t="str">
        <f t="shared" si="4"/>
        <v>PARTIAL_EXACT</v>
      </c>
      <c r="AI33" s="71">
        <f>IF(COUNTIFS('BR Tenure v41'!$B$4:$B$206,B33,'BR Tenure v41'!$D$4:$D$206,"MEMBER",'BR Tenure v41'!$U$4:$U$206,"&gt;=0")=0,"",AVERAGEIFS('BR Tenure v41'!$U$4:$U$206,'BR Tenure v41'!$B$4:$B$206,B33,'BR Tenure v41'!$D$4:$D$206,"MEMBER",'BR Tenure v41'!$U$4:$U$206,"&gt;=0"))</f>
        <v>0.52292950034223129</v>
      </c>
      <c r="AJ33" s="71">
        <f>COUNTIFS('BR Tenure v41'!$B$4:$B$206,B33,'BR Tenure v41'!$D$4:$D$206,"MEMBER",'BR Tenure v41'!$U$4:$U$206,"&gt;=0")</f>
        <v>4</v>
      </c>
    </row>
  </sheetData>
  <mergeCells count="2">
    <mergeCell ref="A2:AJ2"/>
    <mergeCell ref="A1:AJ1"/>
  </mergeCells>
  <pageMargins left="0.75" right="0.75" top="1" bottom="1" header="0.5" footer="0.5"/>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K441"/>
  <sheetViews>
    <sheetView showGridLines="0" rightToLeft="1" workbookViewId="0">
      <pane xSplit="2" ySplit="3" topLeftCell="C4" activePane="bottomRight" state="frozen"/>
      <selection pane="topRight"/>
      <selection pane="bottomLeft"/>
      <selection pane="bottomRight"/>
    </sheetView>
  </sheetViews>
  <sheetFormatPr baseColWidth="10" defaultColWidth="8.83203125" defaultRowHeight="15" x14ac:dyDescent="0.2"/>
  <cols>
    <col min="1" max="1" width="16" customWidth="1"/>
    <col min="2" max="2" width="9" customWidth="1"/>
    <col min="3" max="4" width="22" customWidth="1"/>
    <col min="5" max="5" width="40" customWidth="1"/>
    <col min="6" max="6" width="12" customWidth="1"/>
    <col min="7" max="7" width="16" customWidth="1"/>
    <col min="8" max="8" width="40" customWidth="1"/>
    <col min="9" max="9" width="30" customWidth="1"/>
    <col min="10" max="10" width="20" customWidth="1"/>
    <col min="11" max="11" width="30" customWidth="1"/>
  </cols>
  <sheetData>
    <row r="1" spans="1:11" ht="30" customHeight="1" x14ac:dyDescent="0.2">
      <c r="A1" s="88" t="s">
        <v>6316</v>
      </c>
      <c r="B1" s="76"/>
      <c r="C1" s="76"/>
      <c r="D1" s="76"/>
      <c r="E1" s="76"/>
      <c r="F1" s="76"/>
      <c r="G1" s="76"/>
      <c r="H1" s="76"/>
      <c r="I1" s="76"/>
      <c r="J1" s="76"/>
      <c r="K1" s="76"/>
    </row>
    <row r="2" spans="1:11" ht="22" customHeight="1" x14ac:dyDescent="0.2">
      <c r="A2" s="85" t="s">
        <v>6317</v>
      </c>
      <c r="B2" s="76"/>
      <c r="C2" s="76"/>
      <c r="D2" s="76"/>
      <c r="E2" s="76"/>
      <c r="F2" s="76"/>
      <c r="G2" s="76"/>
      <c r="H2" s="76"/>
      <c r="I2" s="76"/>
      <c r="J2" s="76"/>
      <c r="K2" s="76"/>
    </row>
    <row r="3" spans="1:11" ht="30" customHeight="1" x14ac:dyDescent="0.2">
      <c r="A3" s="69" t="s">
        <v>1281</v>
      </c>
      <c r="B3" s="69" t="s">
        <v>2677</v>
      </c>
      <c r="C3" s="69" t="s">
        <v>4717</v>
      </c>
      <c r="D3" s="69" t="s">
        <v>6318</v>
      </c>
      <c r="E3" s="69" t="s">
        <v>258</v>
      </c>
      <c r="F3" s="69" t="s">
        <v>6319</v>
      </c>
      <c r="G3" s="69" t="s">
        <v>4462</v>
      </c>
      <c r="H3" s="69" t="s">
        <v>6320</v>
      </c>
      <c r="I3" s="69" t="s">
        <v>982</v>
      </c>
      <c r="J3" s="69" t="s">
        <v>6321</v>
      </c>
      <c r="K3" s="69" t="s">
        <v>6322</v>
      </c>
    </row>
    <row r="4" spans="1:11" ht="43.5" customHeight="1" x14ac:dyDescent="0.2">
      <c r="A4" s="70" t="s">
        <v>6323</v>
      </c>
      <c r="B4" s="70" t="s">
        <v>109</v>
      </c>
      <c r="C4" s="70" t="s">
        <v>6324</v>
      </c>
      <c r="D4" s="70" t="s">
        <v>4348</v>
      </c>
      <c r="E4" s="70" t="s">
        <v>6325</v>
      </c>
      <c r="F4" s="70" t="s">
        <v>4472</v>
      </c>
      <c r="G4" s="70" t="s">
        <v>4473</v>
      </c>
      <c r="H4" s="70" t="s">
        <v>4474</v>
      </c>
      <c r="I4" s="70" t="s">
        <v>6326</v>
      </c>
      <c r="J4" s="70"/>
      <c r="K4" s="70"/>
    </row>
    <row r="5" spans="1:11" ht="43.5" customHeight="1" x14ac:dyDescent="0.2">
      <c r="A5" s="71" t="s">
        <v>6327</v>
      </c>
      <c r="B5" s="71" t="s">
        <v>117</v>
      </c>
      <c r="C5" s="71" t="s">
        <v>6324</v>
      </c>
      <c r="D5" s="71" t="s">
        <v>4355</v>
      </c>
      <c r="E5" s="71" t="s">
        <v>6328</v>
      </c>
      <c r="F5" s="71" t="s">
        <v>4478</v>
      </c>
      <c r="G5" s="71" t="s">
        <v>4479</v>
      </c>
      <c r="H5" s="71" t="s">
        <v>4480</v>
      </c>
      <c r="I5" s="71" t="s">
        <v>6326</v>
      </c>
      <c r="J5" s="71"/>
      <c r="K5" s="71"/>
    </row>
    <row r="6" spans="1:11" ht="43.5" customHeight="1" x14ac:dyDescent="0.2">
      <c r="A6" s="70" t="s">
        <v>6329</v>
      </c>
      <c r="B6" s="70" t="s">
        <v>126</v>
      </c>
      <c r="C6" s="70" t="s">
        <v>6324</v>
      </c>
      <c r="D6" s="70" t="s">
        <v>4362</v>
      </c>
      <c r="E6" s="70" t="s">
        <v>6330</v>
      </c>
      <c r="F6" s="70" t="s">
        <v>4488</v>
      </c>
      <c r="G6" s="70" t="s">
        <v>6331</v>
      </c>
      <c r="H6" s="70" t="s">
        <v>4490</v>
      </c>
      <c r="I6" s="70" t="s">
        <v>6326</v>
      </c>
      <c r="J6" s="70"/>
      <c r="K6" s="70"/>
    </row>
    <row r="7" spans="1:11" ht="29" customHeight="1" x14ac:dyDescent="0.2">
      <c r="A7" s="71" t="s">
        <v>6332</v>
      </c>
      <c r="B7" s="71" t="s">
        <v>131</v>
      </c>
      <c r="C7" s="71" t="s">
        <v>6324</v>
      </c>
      <c r="D7" s="71" t="s">
        <v>4369</v>
      </c>
      <c r="E7" s="71" t="s">
        <v>4471</v>
      </c>
      <c r="F7" s="71" t="s">
        <v>6333</v>
      </c>
      <c r="G7" s="71" t="s">
        <v>6334</v>
      </c>
      <c r="H7" s="71" t="s">
        <v>6335</v>
      </c>
      <c r="I7" s="71" t="s">
        <v>6326</v>
      </c>
      <c r="J7" s="71"/>
      <c r="K7" s="71"/>
    </row>
    <row r="8" spans="1:11" ht="43.5" customHeight="1" x14ac:dyDescent="0.2">
      <c r="A8" s="70" t="s">
        <v>6336</v>
      </c>
      <c r="B8" s="70" t="s">
        <v>135</v>
      </c>
      <c r="C8" s="70" t="s">
        <v>6324</v>
      </c>
      <c r="D8" s="70" t="s">
        <v>4372</v>
      </c>
      <c r="E8" s="70" t="s">
        <v>6325</v>
      </c>
      <c r="F8" s="70" t="s">
        <v>4497</v>
      </c>
      <c r="G8" s="70" t="s">
        <v>4498</v>
      </c>
      <c r="H8" s="70" t="s">
        <v>4499</v>
      </c>
      <c r="I8" s="70" t="s">
        <v>6326</v>
      </c>
      <c r="J8" s="70"/>
      <c r="K8" s="70"/>
    </row>
    <row r="9" spans="1:11" ht="43.5" customHeight="1" x14ac:dyDescent="0.2">
      <c r="A9" s="71" t="s">
        <v>6337</v>
      </c>
      <c r="B9" s="71" t="s">
        <v>137</v>
      </c>
      <c r="C9" s="71" t="s">
        <v>6324</v>
      </c>
      <c r="D9" s="71" t="s">
        <v>2195</v>
      </c>
      <c r="E9" s="71" t="s">
        <v>6325</v>
      </c>
      <c r="F9" s="71" t="s">
        <v>4504</v>
      </c>
      <c r="G9" s="71" t="s">
        <v>4505</v>
      </c>
      <c r="H9" s="71" t="s">
        <v>4506</v>
      </c>
      <c r="I9" s="71" t="s">
        <v>6338</v>
      </c>
      <c r="J9" s="71"/>
      <c r="K9" s="71"/>
    </row>
    <row r="10" spans="1:11" ht="43.5" customHeight="1" x14ac:dyDescent="0.2">
      <c r="A10" s="70" t="s">
        <v>6339</v>
      </c>
      <c r="B10" s="70" t="s">
        <v>140</v>
      </c>
      <c r="C10" s="70" t="s">
        <v>6324</v>
      </c>
      <c r="D10" s="70" t="s">
        <v>4377</v>
      </c>
      <c r="E10" s="70" t="s">
        <v>6325</v>
      </c>
      <c r="F10" s="70" t="s">
        <v>4512</v>
      </c>
      <c r="G10" s="70" t="s">
        <v>4513</v>
      </c>
      <c r="H10" s="70" t="s">
        <v>4514</v>
      </c>
      <c r="I10" s="70" t="s">
        <v>6338</v>
      </c>
      <c r="J10" s="70"/>
      <c r="K10" s="70"/>
    </row>
    <row r="11" spans="1:11" ht="43.5" customHeight="1" x14ac:dyDescent="0.2">
      <c r="A11" s="71" t="s">
        <v>6340</v>
      </c>
      <c r="B11" s="71" t="s">
        <v>143</v>
      </c>
      <c r="C11" s="71" t="s">
        <v>6324</v>
      </c>
      <c r="D11" s="71" t="s">
        <v>1315</v>
      </c>
      <c r="E11" s="71" t="s">
        <v>6325</v>
      </c>
      <c r="F11" s="71" t="s">
        <v>4517</v>
      </c>
      <c r="G11" s="71" t="s">
        <v>6341</v>
      </c>
      <c r="H11" s="71" t="s">
        <v>1318</v>
      </c>
      <c r="I11" s="71" t="s">
        <v>6326</v>
      </c>
      <c r="J11" s="71"/>
      <c r="K11" s="71"/>
    </row>
    <row r="12" spans="1:11" ht="29" customHeight="1" x14ac:dyDescent="0.2">
      <c r="A12" s="70" t="s">
        <v>6342</v>
      </c>
      <c r="B12" s="70" t="s">
        <v>20</v>
      </c>
      <c r="C12" s="70" t="s">
        <v>6324</v>
      </c>
      <c r="D12" s="70" t="s">
        <v>1326</v>
      </c>
      <c r="E12" s="70"/>
      <c r="F12" s="70"/>
      <c r="G12" s="70"/>
      <c r="H12" s="70"/>
      <c r="I12" s="70" t="s">
        <v>6326</v>
      </c>
      <c r="J12" s="70"/>
      <c r="K12" s="70"/>
    </row>
    <row r="13" spans="1:11" ht="43.5" customHeight="1" x14ac:dyDescent="0.2">
      <c r="A13" s="71" t="s">
        <v>6343</v>
      </c>
      <c r="B13" s="71" t="s">
        <v>151</v>
      </c>
      <c r="C13" s="71" t="s">
        <v>6324</v>
      </c>
      <c r="D13" s="71" t="s">
        <v>5016</v>
      </c>
      <c r="E13" s="71" t="s">
        <v>6325</v>
      </c>
      <c r="F13" s="71" t="s">
        <v>6344</v>
      </c>
      <c r="G13" s="71" t="s">
        <v>6345</v>
      </c>
      <c r="H13" s="71" t="s">
        <v>6346</v>
      </c>
      <c r="I13" s="71" t="s">
        <v>6338</v>
      </c>
      <c r="J13" s="71"/>
      <c r="K13" s="71"/>
    </row>
    <row r="14" spans="1:11" ht="43.5" customHeight="1" x14ac:dyDescent="0.2">
      <c r="A14" s="70" t="s">
        <v>6347</v>
      </c>
      <c r="B14" s="70" t="s">
        <v>157</v>
      </c>
      <c r="C14" s="70" t="s">
        <v>6324</v>
      </c>
      <c r="D14" s="70" t="s">
        <v>4390</v>
      </c>
      <c r="E14" s="70" t="s">
        <v>6325</v>
      </c>
      <c r="F14" s="70" t="s">
        <v>4532</v>
      </c>
      <c r="G14" s="70" t="s">
        <v>4533</v>
      </c>
      <c r="H14" s="70" t="s">
        <v>4534</v>
      </c>
      <c r="I14" s="70" t="s">
        <v>6326</v>
      </c>
      <c r="J14" s="70"/>
      <c r="K14" s="70"/>
    </row>
    <row r="15" spans="1:11" ht="43.5" customHeight="1" x14ac:dyDescent="0.2">
      <c r="A15" s="71" t="s">
        <v>6348</v>
      </c>
      <c r="B15" s="71" t="s">
        <v>159</v>
      </c>
      <c r="C15" s="71" t="s">
        <v>6324</v>
      </c>
      <c r="D15" s="71" t="s">
        <v>4392</v>
      </c>
      <c r="E15" s="71" t="s">
        <v>6330</v>
      </c>
      <c r="F15" s="71" t="s">
        <v>4539</v>
      </c>
      <c r="G15" s="71" t="s">
        <v>6349</v>
      </c>
      <c r="H15" s="71" t="s">
        <v>4541</v>
      </c>
      <c r="I15" s="71" t="s">
        <v>6326</v>
      </c>
      <c r="J15" s="71"/>
      <c r="K15" s="71"/>
    </row>
    <row r="16" spans="1:11" ht="43.5" customHeight="1" x14ac:dyDescent="0.2">
      <c r="A16" s="70" t="s">
        <v>6350</v>
      </c>
      <c r="B16" s="70" t="s">
        <v>162</v>
      </c>
      <c r="C16" s="70" t="s">
        <v>6324</v>
      </c>
      <c r="D16" s="70" t="s">
        <v>4395</v>
      </c>
      <c r="E16" s="70" t="s">
        <v>6325</v>
      </c>
      <c r="F16" s="70" t="s">
        <v>4544</v>
      </c>
      <c r="G16" s="70" t="s">
        <v>6351</v>
      </c>
      <c r="H16" s="70" t="s">
        <v>4546</v>
      </c>
      <c r="I16" s="70" t="s">
        <v>6338</v>
      </c>
      <c r="J16" s="70"/>
      <c r="K16" s="70"/>
    </row>
    <row r="17" spans="1:11" ht="43.5" customHeight="1" x14ac:dyDescent="0.2">
      <c r="A17" s="71" t="s">
        <v>6352</v>
      </c>
      <c r="B17" s="71" t="s">
        <v>165</v>
      </c>
      <c r="C17" s="71" t="s">
        <v>6324</v>
      </c>
      <c r="D17" s="71" t="s">
        <v>4398</v>
      </c>
      <c r="E17" s="71" t="s">
        <v>6353</v>
      </c>
      <c r="F17" s="71" t="s">
        <v>4554</v>
      </c>
      <c r="G17" s="71" t="s">
        <v>6354</v>
      </c>
      <c r="H17" s="71" t="s">
        <v>4556</v>
      </c>
      <c r="I17" s="71" t="s">
        <v>6326</v>
      </c>
      <c r="J17" s="71"/>
      <c r="K17" s="71"/>
    </row>
    <row r="18" spans="1:11" ht="43.5" customHeight="1" x14ac:dyDescent="0.2">
      <c r="A18" s="70" t="s">
        <v>6355</v>
      </c>
      <c r="B18" s="70" t="s">
        <v>168</v>
      </c>
      <c r="C18" s="70" t="s">
        <v>6324</v>
      </c>
      <c r="D18" s="70" t="s">
        <v>4404</v>
      </c>
      <c r="E18" s="70" t="s">
        <v>6325</v>
      </c>
      <c r="F18" s="70" t="s">
        <v>4561</v>
      </c>
      <c r="G18" s="70" t="s">
        <v>6356</v>
      </c>
      <c r="H18" s="70" t="s">
        <v>1376</v>
      </c>
      <c r="I18" s="70" t="s">
        <v>6338</v>
      </c>
      <c r="J18" s="70"/>
      <c r="K18" s="70"/>
    </row>
    <row r="19" spans="1:11" ht="43.5" customHeight="1" x14ac:dyDescent="0.2">
      <c r="A19" s="71" t="s">
        <v>6357</v>
      </c>
      <c r="B19" s="71" t="s">
        <v>171</v>
      </c>
      <c r="C19" s="71" t="s">
        <v>6324</v>
      </c>
      <c r="D19" s="71" t="s">
        <v>1381</v>
      </c>
      <c r="E19" s="71" t="s">
        <v>6325</v>
      </c>
      <c r="F19" s="71" t="s">
        <v>4565</v>
      </c>
      <c r="G19" s="71" t="s">
        <v>6358</v>
      </c>
      <c r="H19" s="71" t="s">
        <v>1383</v>
      </c>
      <c r="I19" s="71" t="s">
        <v>6326</v>
      </c>
      <c r="J19" s="71"/>
      <c r="K19" s="71"/>
    </row>
    <row r="20" spans="1:11" ht="43.5" customHeight="1" x14ac:dyDescent="0.2">
      <c r="A20" s="70" t="s">
        <v>6359</v>
      </c>
      <c r="B20" s="70" t="s">
        <v>174</v>
      </c>
      <c r="C20" s="70" t="s">
        <v>6324</v>
      </c>
      <c r="D20" s="70" t="s">
        <v>4408</v>
      </c>
      <c r="E20" s="70" t="s">
        <v>6360</v>
      </c>
      <c r="F20" s="70" t="s">
        <v>4570</v>
      </c>
      <c r="G20" s="70" t="s">
        <v>6361</v>
      </c>
      <c r="H20" s="70" t="s">
        <v>4572</v>
      </c>
      <c r="I20" s="70" t="s">
        <v>6326</v>
      </c>
      <c r="J20" s="70"/>
      <c r="K20" s="70"/>
    </row>
    <row r="21" spans="1:11" ht="43.5" customHeight="1" x14ac:dyDescent="0.2">
      <c r="A21" s="71" t="s">
        <v>6362</v>
      </c>
      <c r="B21" s="71" t="s">
        <v>179</v>
      </c>
      <c r="C21" s="71" t="s">
        <v>6324</v>
      </c>
      <c r="D21" s="71" t="s">
        <v>4412</v>
      </c>
      <c r="E21" s="71" t="s">
        <v>6360</v>
      </c>
      <c r="F21" s="71" t="s">
        <v>4575</v>
      </c>
      <c r="G21" s="71" t="s">
        <v>6363</v>
      </c>
      <c r="H21" s="71" t="s">
        <v>4577</v>
      </c>
      <c r="I21" s="71" t="s">
        <v>6326</v>
      </c>
      <c r="J21" s="71"/>
      <c r="K21" s="71"/>
    </row>
    <row r="22" spans="1:11" ht="43.5" customHeight="1" x14ac:dyDescent="0.2">
      <c r="A22" s="70" t="s">
        <v>6364</v>
      </c>
      <c r="B22" s="70" t="s">
        <v>182</v>
      </c>
      <c r="C22" s="70" t="s">
        <v>6324</v>
      </c>
      <c r="D22" s="70" t="s">
        <v>1398</v>
      </c>
      <c r="E22" s="70" t="s">
        <v>6365</v>
      </c>
      <c r="F22" s="70" t="s">
        <v>4581</v>
      </c>
      <c r="G22" s="70" t="s">
        <v>6366</v>
      </c>
      <c r="H22" s="70" t="s">
        <v>1400</v>
      </c>
      <c r="I22" s="70" t="s">
        <v>6326</v>
      </c>
      <c r="J22" s="70"/>
      <c r="K22" s="70"/>
    </row>
    <row r="23" spans="1:11" ht="43.5" customHeight="1" x14ac:dyDescent="0.2">
      <c r="A23" s="71" t="s">
        <v>6367</v>
      </c>
      <c r="B23" s="71" t="s">
        <v>187</v>
      </c>
      <c r="C23" s="71" t="s">
        <v>6324</v>
      </c>
      <c r="D23" s="71" t="s">
        <v>4420</v>
      </c>
      <c r="E23" s="71" t="s">
        <v>6325</v>
      </c>
      <c r="F23" s="71" t="s">
        <v>4586</v>
      </c>
      <c r="G23" s="71" t="s">
        <v>4587</v>
      </c>
      <c r="H23" s="71" t="s">
        <v>4588</v>
      </c>
      <c r="I23" s="71" t="s">
        <v>6338</v>
      </c>
      <c r="J23" s="71"/>
      <c r="K23" s="71"/>
    </row>
    <row r="24" spans="1:11" ht="43.5" customHeight="1" x14ac:dyDescent="0.2">
      <c r="A24" s="70" t="s">
        <v>6368</v>
      </c>
      <c r="B24" s="70" t="s">
        <v>190</v>
      </c>
      <c r="C24" s="70" t="s">
        <v>6324</v>
      </c>
      <c r="D24" s="70" t="s">
        <v>4423</v>
      </c>
      <c r="E24" s="70" t="s">
        <v>6325</v>
      </c>
      <c r="F24" s="70" t="s">
        <v>4592</v>
      </c>
      <c r="G24" s="70" t="s">
        <v>4593</v>
      </c>
      <c r="H24" s="70" t="s">
        <v>4594</v>
      </c>
      <c r="I24" s="70" t="s">
        <v>6338</v>
      </c>
      <c r="J24" s="70"/>
      <c r="K24" s="70"/>
    </row>
    <row r="25" spans="1:11" ht="43.5" customHeight="1" x14ac:dyDescent="0.2">
      <c r="A25" s="71" t="s">
        <v>6369</v>
      </c>
      <c r="B25" s="71" t="s">
        <v>196</v>
      </c>
      <c r="C25" s="71" t="s">
        <v>6324</v>
      </c>
      <c r="D25" s="71" t="s">
        <v>1423</v>
      </c>
      <c r="E25" s="71" t="s">
        <v>6325</v>
      </c>
      <c r="F25" s="71" t="s">
        <v>4597</v>
      </c>
      <c r="G25" s="71" t="s">
        <v>4598</v>
      </c>
      <c r="H25" s="71" t="s">
        <v>1425</v>
      </c>
      <c r="I25" s="71" t="s">
        <v>6326</v>
      </c>
      <c r="J25" s="71"/>
      <c r="K25" s="71"/>
    </row>
    <row r="26" spans="1:11" ht="43.5" customHeight="1" x14ac:dyDescent="0.2">
      <c r="A26" s="70" t="s">
        <v>6370</v>
      </c>
      <c r="B26" s="70" t="s">
        <v>199</v>
      </c>
      <c r="C26" s="70" t="s">
        <v>6324</v>
      </c>
      <c r="D26" s="70" t="s">
        <v>1436</v>
      </c>
      <c r="E26" s="70" t="s">
        <v>6371</v>
      </c>
      <c r="F26" s="70" t="s">
        <v>4603</v>
      </c>
      <c r="G26" s="70" t="s">
        <v>4604</v>
      </c>
      <c r="H26" s="70" t="s">
        <v>1437</v>
      </c>
      <c r="I26" s="70" t="s">
        <v>6338</v>
      </c>
      <c r="J26" s="70"/>
      <c r="K26" s="70"/>
    </row>
    <row r="27" spans="1:11" ht="43.5" customHeight="1" x14ac:dyDescent="0.2">
      <c r="A27" s="71" t="s">
        <v>6372</v>
      </c>
      <c r="B27" s="71" t="s">
        <v>202</v>
      </c>
      <c r="C27" s="71" t="s">
        <v>6324</v>
      </c>
      <c r="D27" s="71" t="s">
        <v>4434</v>
      </c>
      <c r="E27" s="71" t="s">
        <v>6325</v>
      </c>
      <c r="F27" s="71" t="s">
        <v>4607</v>
      </c>
      <c r="G27" s="71" t="s">
        <v>6373</v>
      </c>
      <c r="H27" s="71" t="s">
        <v>4609</v>
      </c>
      <c r="I27" s="71" t="s">
        <v>6338</v>
      </c>
      <c r="J27" s="71"/>
      <c r="K27" s="71"/>
    </row>
    <row r="28" spans="1:11" ht="43.5" customHeight="1" x14ac:dyDescent="0.2">
      <c r="A28" s="70" t="s">
        <v>6374</v>
      </c>
      <c r="B28" s="70" t="s">
        <v>206</v>
      </c>
      <c r="C28" s="70" t="s">
        <v>6324</v>
      </c>
      <c r="D28" s="70" t="s">
        <v>1455</v>
      </c>
      <c r="E28" s="70" t="s">
        <v>6325</v>
      </c>
      <c r="F28" s="70" t="s">
        <v>4612</v>
      </c>
      <c r="G28" s="70" t="s">
        <v>4613</v>
      </c>
      <c r="H28" s="70" t="s">
        <v>1456</v>
      </c>
      <c r="I28" s="70" t="s">
        <v>6326</v>
      </c>
      <c r="J28" s="70"/>
      <c r="K28" s="70"/>
    </row>
    <row r="29" spans="1:11" ht="43.5" customHeight="1" x14ac:dyDescent="0.2">
      <c r="A29" s="71" t="s">
        <v>6375</v>
      </c>
      <c r="B29" s="71" t="s">
        <v>209</v>
      </c>
      <c r="C29" s="71" t="s">
        <v>6324</v>
      </c>
      <c r="D29" s="71" t="s">
        <v>4439</v>
      </c>
      <c r="E29" s="71" t="s">
        <v>6325</v>
      </c>
      <c r="F29" s="71" t="s">
        <v>4616</v>
      </c>
      <c r="G29" s="71" t="s">
        <v>4617</v>
      </c>
      <c r="H29" s="71" t="s">
        <v>4618</v>
      </c>
      <c r="I29" s="71" t="s">
        <v>6338</v>
      </c>
      <c r="J29" s="71"/>
      <c r="K29" s="71"/>
    </row>
    <row r="30" spans="1:11" ht="43.5" customHeight="1" x14ac:dyDescent="0.2">
      <c r="A30" s="70" t="s">
        <v>6376</v>
      </c>
      <c r="B30" s="70" t="s">
        <v>212</v>
      </c>
      <c r="C30" s="70" t="s">
        <v>6324</v>
      </c>
      <c r="D30" s="70" t="s">
        <v>1470</v>
      </c>
      <c r="E30" s="70" t="s">
        <v>6325</v>
      </c>
      <c r="F30" s="70" t="s">
        <v>4623</v>
      </c>
      <c r="G30" s="70" t="s">
        <v>4624</v>
      </c>
      <c r="H30" s="70" t="s">
        <v>1472</v>
      </c>
      <c r="I30" s="70" t="s">
        <v>6326</v>
      </c>
      <c r="J30" s="70"/>
      <c r="K30" s="70"/>
    </row>
    <row r="31" spans="1:11" ht="29" customHeight="1" x14ac:dyDescent="0.2">
      <c r="A31" s="71" t="s">
        <v>6377</v>
      </c>
      <c r="B31" s="71" t="s">
        <v>24</v>
      </c>
      <c r="C31" s="71" t="s">
        <v>6324</v>
      </c>
      <c r="D31" s="71" t="s">
        <v>1234</v>
      </c>
      <c r="E31" s="71"/>
      <c r="F31" s="71"/>
      <c r="G31" s="71"/>
      <c r="H31" s="71"/>
      <c r="I31" s="71" t="s">
        <v>6338</v>
      </c>
      <c r="J31" s="71"/>
      <c r="K31" s="71"/>
    </row>
    <row r="32" spans="1:11" ht="43.5" customHeight="1" x14ac:dyDescent="0.2">
      <c r="A32" s="70" t="s">
        <v>6378</v>
      </c>
      <c r="B32" s="70" t="s">
        <v>28</v>
      </c>
      <c r="C32" s="70" t="s">
        <v>6324</v>
      </c>
      <c r="D32" s="70" t="s">
        <v>4450</v>
      </c>
      <c r="E32" s="70" t="s">
        <v>6330</v>
      </c>
      <c r="F32" s="70" t="s">
        <v>4635</v>
      </c>
      <c r="G32" s="70" t="s">
        <v>4636</v>
      </c>
      <c r="H32" s="70" t="s">
        <v>4637</v>
      </c>
      <c r="I32" s="70" t="s">
        <v>6338</v>
      </c>
      <c r="J32" s="70"/>
      <c r="K32" s="70"/>
    </row>
    <row r="33" spans="1:11" ht="43.5" customHeight="1" x14ac:dyDescent="0.2">
      <c r="A33" s="71" t="s">
        <v>6379</v>
      </c>
      <c r="B33" s="71" t="s">
        <v>222</v>
      </c>
      <c r="C33" s="71" t="s">
        <v>6324</v>
      </c>
      <c r="D33" s="71" t="s">
        <v>4454</v>
      </c>
      <c r="E33" s="71" t="s">
        <v>6365</v>
      </c>
      <c r="F33" s="71" t="s">
        <v>4640</v>
      </c>
      <c r="G33" s="71" t="s">
        <v>4641</v>
      </c>
      <c r="H33" s="71" t="s">
        <v>4642</v>
      </c>
      <c r="I33" s="71" t="s">
        <v>6326</v>
      </c>
      <c r="J33" s="71"/>
      <c r="K33" s="71"/>
    </row>
    <row r="34" spans="1:11" ht="58" customHeight="1" x14ac:dyDescent="0.2">
      <c r="A34" s="70" t="s">
        <v>6380</v>
      </c>
      <c r="B34" s="70" t="s">
        <v>109</v>
      </c>
      <c r="C34" s="70" t="s">
        <v>6381</v>
      </c>
      <c r="D34" s="70"/>
      <c r="E34" s="70" t="s">
        <v>2703</v>
      </c>
      <c r="F34" s="70">
        <v>967358</v>
      </c>
      <c r="G34" s="70" t="s">
        <v>6382</v>
      </c>
      <c r="H34" s="70" t="s">
        <v>6383</v>
      </c>
      <c r="I34" s="70" t="s">
        <v>6384</v>
      </c>
      <c r="J34" s="70" t="s">
        <v>6385</v>
      </c>
      <c r="K34" s="70" t="s">
        <v>6386</v>
      </c>
    </row>
    <row r="35" spans="1:11" ht="58" customHeight="1" x14ac:dyDescent="0.2">
      <c r="A35" s="71" t="s">
        <v>6387</v>
      </c>
      <c r="B35" s="71" t="s">
        <v>109</v>
      </c>
      <c r="C35" s="71" t="s">
        <v>6381</v>
      </c>
      <c r="D35" s="71"/>
      <c r="E35" s="71" t="s">
        <v>2703</v>
      </c>
      <c r="F35" s="71">
        <v>971762</v>
      </c>
      <c r="G35" s="71" t="s">
        <v>6388</v>
      </c>
      <c r="H35" s="71" t="s">
        <v>6389</v>
      </c>
      <c r="I35" s="71" t="s">
        <v>6384</v>
      </c>
      <c r="J35" s="71" t="s">
        <v>6390</v>
      </c>
      <c r="K35" s="71" t="s">
        <v>6391</v>
      </c>
    </row>
    <row r="36" spans="1:11" ht="58" customHeight="1" x14ac:dyDescent="0.2">
      <c r="A36" s="70" t="s">
        <v>6392</v>
      </c>
      <c r="B36" s="70" t="s">
        <v>109</v>
      </c>
      <c r="C36" s="70" t="s">
        <v>6381</v>
      </c>
      <c r="D36" s="70"/>
      <c r="E36" s="70" t="s">
        <v>2703</v>
      </c>
      <c r="F36" s="70">
        <v>991640</v>
      </c>
      <c r="G36" s="70" t="s">
        <v>6393</v>
      </c>
      <c r="H36" s="70" t="s">
        <v>6394</v>
      </c>
      <c r="I36" s="70" t="s">
        <v>6384</v>
      </c>
      <c r="J36" s="70" t="s">
        <v>6395</v>
      </c>
      <c r="K36" s="70" t="s">
        <v>6396</v>
      </c>
    </row>
    <row r="37" spans="1:11" ht="58" customHeight="1" x14ac:dyDescent="0.2">
      <c r="A37" s="71" t="s">
        <v>6397</v>
      </c>
      <c r="B37" s="71" t="s">
        <v>109</v>
      </c>
      <c r="C37" s="71" t="s">
        <v>6381</v>
      </c>
      <c r="D37" s="71"/>
      <c r="E37" s="71" t="s">
        <v>2703</v>
      </c>
      <c r="F37" s="71">
        <v>1065401</v>
      </c>
      <c r="G37" s="71" t="s">
        <v>6398</v>
      </c>
      <c r="H37" s="71" t="s">
        <v>6399</v>
      </c>
      <c r="I37" s="71" t="s">
        <v>6384</v>
      </c>
      <c r="J37" s="71" t="s">
        <v>6400</v>
      </c>
      <c r="K37" s="71" t="s">
        <v>6401</v>
      </c>
    </row>
    <row r="38" spans="1:11" ht="58" customHeight="1" x14ac:dyDescent="0.2">
      <c r="A38" s="70" t="s">
        <v>6402</v>
      </c>
      <c r="B38" s="70" t="s">
        <v>109</v>
      </c>
      <c r="C38" s="70" t="s">
        <v>6381</v>
      </c>
      <c r="D38" s="70"/>
      <c r="E38" s="70" t="s">
        <v>2703</v>
      </c>
      <c r="F38" s="70">
        <v>1108993</v>
      </c>
      <c r="G38" s="70" t="s">
        <v>6403</v>
      </c>
      <c r="H38" s="70" t="s">
        <v>6404</v>
      </c>
      <c r="I38" s="70" t="s">
        <v>6384</v>
      </c>
      <c r="J38" s="70" t="s">
        <v>6405</v>
      </c>
      <c r="K38" s="70" t="s">
        <v>6406</v>
      </c>
    </row>
    <row r="39" spans="1:11" ht="58" customHeight="1" x14ac:dyDescent="0.2">
      <c r="A39" s="71" t="s">
        <v>6407</v>
      </c>
      <c r="B39" s="71" t="s">
        <v>109</v>
      </c>
      <c r="C39" s="71" t="s">
        <v>6381</v>
      </c>
      <c r="D39" s="71"/>
      <c r="E39" s="71" t="s">
        <v>2703</v>
      </c>
      <c r="F39" s="71">
        <v>1156403</v>
      </c>
      <c r="G39" s="71" t="s">
        <v>6408</v>
      </c>
      <c r="H39" s="71" t="s">
        <v>6409</v>
      </c>
      <c r="I39" s="71" t="s">
        <v>6384</v>
      </c>
      <c r="J39" s="71" t="s">
        <v>6410</v>
      </c>
      <c r="K39" s="71" t="s">
        <v>6411</v>
      </c>
    </row>
    <row r="40" spans="1:11" ht="58" customHeight="1" x14ac:dyDescent="0.2">
      <c r="A40" s="70" t="s">
        <v>6412</v>
      </c>
      <c r="B40" s="70" t="s">
        <v>109</v>
      </c>
      <c r="C40" s="70" t="s">
        <v>6381</v>
      </c>
      <c r="D40" s="70"/>
      <c r="E40" s="70" t="s">
        <v>2726</v>
      </c>
      <c r="F40" s="70">
        <v>1156455</v>
      </c>
      <c r="G40" s="70" t="s">
        <v>6413</v>
      </c>
      <c r="H40" s="70" t="s">
        <v>6414</v>
      </c>
      <c r="I40" s="70" t="s">
        <v>6384</v>
      </c>
      <c r="J40" s="70" t="s">
        <v>6415</v>
      </c>
      <c r="K40" s="70" t="s">
        <v>6416</v>
      </c>
    </row>
    <row r="41" spans="1:11" ht="58" customHeight="1" x14ac:dyDescent="0.2">
      <c r="A41" s="71" t="s">
        <v>6417</v>
      </c>
      <c r="B41" s="71" t="s">
        <v>109</v>
      </c>
      <c r="C41" s="71" t="s">
        <v>6381</v>
      </c>
      <c r="D41" s="71"/>
      <c r="E41" s="71" t="s">
        <v>2703</v>
      </c>
      <c r="F41" s="71">
        <v>1175556</v>
      </c>
      <c r="G41" s="71" t="s">
        <v>6418</v>
      </c>
      <c r="H41" s="71" t="s">
        <v>6419</v>
      </c>
      <c r="I41" s="71" t="s">
        <v>6384</v>
      </c>
      <c r="J41" s="71" t="s">
        <v>6420</v>
      </c>
      <c r="K41" s="71" t="s">
        <v>6421</v>
      </c>
    </row>
    <row r="42" spans="1:11" ht="58" customHeight="1" x14ac:dyDescent="0.2">
      <c r="A42" s="70" t="s">
        <v>6422</v>
      </c>
      <c r="B42" s="70" t="s">
        <v>109</v>
      </c>
      <c r="C42" s="70" t="s">
        <v>6381</v>
      </c>
      <c r="D42" s="70"/>
      <c r="E42" s="70" t="s">
        <v>2726</v>
      </c>
      <c r="F42" s="70">
        <v>1175638</v>
      </c>
      <c r="G42" s="70" t="s">
        <v>6423</v>
      </c>
      <c r="H42" s="70" t="s">
        <v>6424</v>
      </c>
      <c r="I42" s="70" t="s">
        <v>6384</v>
      </c>
      <c r="J42" s="70" t="s">
        <v>6425</v>
      </c>
      <c r="K42" s="70" t="s">
        <v>6426</v>
      </c>
    </row>
    <row r="43" spans="1:11" ht="58" customHeight="1" x14ac:dyDescent="0.2">
      <c r="A43" s="71" t="s">
        <v>6427</v>
      </c>
      <c r="B43" s="71" t="s">
        <v>109</v>
      </c>
      <c r="C43" s="71" t="s">
        <v>6381</v>
      </c>
      <c r="D43" s="71"/>
      <c r="E43" s="71" t="s">
        <v>2703</v>
      </c>
      <c r="F43" s="71">
        <v>1304676</v>
      </c>
      <c r="G43" s="71" t="s">
        <v>6428</v>
      </c>
      <c r="H43" s="71" t="s">
        <v>6429</v>
      </c>
      <c r="I43" s="71" t="s">
        <v>6384</v>
      </c>
      <c r="J43" s="71" t="s">
        <v>6430</v>
      </c>
      <c r="K43" s="71" t="s">
        <v>6431</v>
      </c>
    </row>
    <row r="44" spans="1:11" ht="58" customHeight="1" x14ac:dyDescent="0.2">
      <c r="A44" s="70" t="s">
        <v>6432</v>
      </c>
      <c r="B44" s="70" t="s">
        <v>109</v>
      </c>
      <c r="C44" s="70" t="s">
        <v>6381</v>
      </c>
      <c r="D44" s="70"/>
      <c r="E44" s="70" t="s">
        <v>2703</v>
      </c>
      <c r="F44" s="70">
        <v>1317727</v>
      </c>
      <c r="G44" s="70" t="s">
        <v>6433</v>
      </c>
      <c r="H44" s="70" t="s">
        <v>6434</v>
      </c>
      <c r="I44" s="70" t="s">
        <v>6384</v>
      </c>
      <c r="J44" s="70" t="s">
        <v>6435</v>
      </c>
      <c r="K44" s="70" t="s">
        <v>6436</v>
      </c>
    </row>
    <row r="45" spans="1:11" ht="58" customHeight="1" x14ac:dyDescent="0.2">
      <c r="A45" s="71" t="s">
        <v>6437</v>
      </c>
      <c r="B45" s="71" t="s">
        <v>109</v>
      </c>
      <c r="C45" s="71" t="s">
        <v>6381</v>
      </c>
      <c r="D45" s="71"/>
      <c r="E45" s="71" t="s">
        <v>2726</v>
      </c>
      <c r="F45" s="71">
        <v>1317785</v>
      </c>
      <c r="G45" s="71" t="s">
        <v>6438</v>
      </c>
      <c r="H45" s="71" t="s">
        <v>6439</v>
      </c>
      <c r="I45" s="71" t="s">
        <v>6384</v>
      </c>
      <c r="J45" s="71" t="s">
        <v>6440</v>
      </c>
      <c r="K45" s="71" t="s">
        <v>6441</v>
      </c>
    </row>
    <row r="46" spans="1:11" ht="58" customHeight="1" x14ac:dyDescent="0.2">
      <c r="A46" s="70" t="s">
        <v>6442</v>
      </c>
      <c r="B46" s="70" t="s">
        <v>109</v>
      </c>
      <c r="C46" s="70" t="s">
        <v>6381</v>
      </c>
      <c r="D46" s="70"/>
      <c r="E46" s="70" t="s">
        <v>2703</v>
      </c>
      <c r="F46" s="70">
        <v>1330149</v>
      </c>
      <c r="G46" s="70" t="s">
        <v>6443</v>
      </c>
      <c r="H46" s="70" t="s">
        <v>6444</v>
      </c>
      <c r="I46" s="70" t="s">
        <v>6384</v>
      </c>
      <c r="J46" s="70" t="s">
        <v>6445</v>
      </c>
      <c r="K46" s="70" t="s">
        <v>6446</v>
      </c>
    </row>
    <row r="47" spans="1:11" ht="58" customHeight="1" x14ac:dyDescent="0.2">
      <c r="A47" s="71" t="s">
        <v>6447</v>
      </c>
      <c r="B47" s="71" t="s">
        <v>109</v>
      </c>
      <c r="C47" s="71" t="s">
        <v>6381</v>
      </c>
      <c r="D47" s="71"/>
      <c r="E47" s="71" t="s">
        <v>2703</v>
      </c>
      <c r="F47" s="71">
        <v>1338264</v>
      </c>
      <c r="G47" s="71" t="s">
        <v>6448</v>
      </c>
      <c r="H47" s="71" t="s">
        <v>6449</v>
      </c>
      <c r="I47" s="71" t="s">
        <v>6384</v>
      </c>
      <c r="J47" s="71" t="s">
        <v>6450</v>
      </c>
      <c r="K47" s="71" t="s">
        <v>6451</v>
      </c>
    </row>
    <row r="48" spans="1:11" ht="58" customHeight="1" x14ac:dyDescent="0.2">
      <c r="A48" s="70" t="s">
        <v>6452</v>
      </c>
      <c r="B48" s="70" t="s">
        <v>109</v>
      </c>
      <c r="C48" s="70" t="s">
        <v>6381</v>
      </c>
      <c r="D48" s="70"/>
      <c r="E48" s="70" t="s">
        <v>2703</v>
      </c>
      <c r="F48" s="70">
        <v>1362953</v>
      </c>
      <c r="G48" s="70" t="s">
        <v>6453</v>
      </c>
      <c r="H48" s="70" t="s">
        <v>6454</v>
      </c>
      <c r="I48" s="70" t="s">
        <v>6384</v>
      </c>
      <c r="J48" s="70" t="s">
        <v>6455</v>
      </c>
      <c r="K48" s="70" t="s">
        <v>6456</v>
      </c>
    </row>
    <row r="49" spans="1:11" ht="58" customHeight="1" x14ac:dyDescent="0.2">
      <c r="A49" s="71" t="s">
        <v>6457</v>
      </c>
      <c r="B49" s="71" t="s">
        <v>109</v>
      </c>
      <c r="C49" s="71" t="s">
        <v>6381</v>
      </c>
      <c r="D49" s="71"/>
      <c r="E49" s="71" t="s">
        <v>2703</v>
      </c>
      <c r="F49" s="71">
        <v>1388917</v>
      </c>
      <c r="G49" s="71" t="s">
        <v>6458</v>
      </c>
      <c r="H49" s="71" t="s">
        <v>6459</v>
      </c>
      <c r="I49" s="71" t="s">
        <v>6460</v>
      </c>
      <c r="J49" s="71" t="s">
        <v>6461</v>
      </c>
      <c r="K49" s="71" t="s">
        <v>6462</v>
      </c>
    </row>
    <row r="50" spans="1:11" ht="58" customHeight="1" x14ac:dyDescent="0.2">
      <c r="A50" s="70" t="s">
        <v>6463</v>
      </c>
      <c r="B50" s="70" t="s">
        <v>109</v>
      </c>
      <c r="C50" s="70" t="s">
        <v>6381</v>
      </c>
      <c r="D50" s="70"/>
      <c r="E50" s="70" t="s">
        <v>2703</v>
      </c>
      <c r="F50" s="70">
        <v>1570953</v>
      </c>
      <c r="G50" s="70" t="s">
        <v>6464</v>
      </c>
      <c r="H50" s="70" t="s">
        <v>6465</v>
      </c>
      <c r="I50" s="70" t="s">
        <v>6384</v>
      </c>
      <c r="J50" s="70" t="s">
        <v>6466</v>
      </c>
      <c r="K50" s="70" t="s">
        <v>6467</v>
      </c>
    </row>
    <row r="51" spans="1:11" ht="58" customHeight="1" x14ac:dyDescent="0.2">
      <c r="A51" s="71" t="s">
        <v>6468</v>
      </c>
      <c r="B51" s="71" t="s">
        <v>117</v>
      </c>
      <c r="C51" s="71" t="s">
        <v>6381</v>
      </c>
      <c r="D51" s="71"/>
      <c r="E51" s="71" t="s">
        <v>6469</v>
      </c>
      <c r="F51" s="71">
        <v>866173</v>
      </c>
      <c r="G51" s="71" t="s">
        <v>6470</v>
      </c>
      <c r="H51" s="71" t="s">
        <v>6471</v>
      </c>
      <c r="I51" s="71" t="s">
        <v>6384</v>
      </c>
      <c r="J51" s="71" t="s">
        <v>6472</v>
      </c>
      <c r="K51" s="71" t="s">
        <v>6473</v>
      </c>
    </row>
    <row r="52" spans="1:11" ht="58" customHeight="1" x14ac:dyDescent="0.2">
      <c r="A52" s="70" t="s">
        <v>6474</v>
      </c>
      <c r="B52" s="70" t="s">
        <v>117</v>
      </c>
      <c r="C52" s="70" t="s">
        <v>6381</v>
      </c>
      <c r="D52" s="70"/>
      <c r="E52" s="70" t="s">
        <v>2703</v>
      </c>
      <c r="F52" s="70">
        <v>1018740</v>
      </c>
      <c r="G52" s="70" t="s">
        <v>6475</v>
      </c>
      <c r="H52" s="70" t="s">
        <v>6476</v>
      </c>
      <c r="I52" s="70" t="s">
        <v>6384</v>
      </c>
      <c r="J52" s="70" t="s">
        <v>6477</v>
      </c>
      <c r="K52" s="70" t="s">
        <v>6478</v>
      </c>
    </row>
    <row r="53" spans="1:11" ht="58" customHeight="1" x14ac:dyDescent="0.2">
      <c r="A53" s="71" t="s">
        <v>6479</v>
      </c>
      <c r="B53" s="71" t="s">
        <v>117</v>
      </c>
      <c r="C53" s="71" t="s">
        <v>6381</v>
      </c>
      <c r="D53" s="71"/>
      <c r="E53" s="71" t="s">
        <v>2703</v>
      </c>
      <c r="F53" s="71">
        <v>1086976</v>
      </c>
      <c r="G53" s="71" t="s">
        <v>6480</v>
      </c>
      <c r="H53" s="71" t="s">
        <v>6481</v>
      </c>
      <c r="I53" s="71" t="s">
        <v>6384</v>
      </c>
      <c r="J53" s="71" t="s">
        <v>6482</v>
      </c>
      <c r="K53" s="71" t="s">
        <v>6483</v>
      </c>
    </row>
    <row r="54" spans="1:11" ht="58" customHeight="1" x14ac:dyDescent="0.2">
      <c r="A54" s="70" t="s">
        <v>6484</v>
      </c>
      <c r="B54" s="70" t="s">
        <v>117</v>
      </c>
      <c r="C54" s="70" t="s">
        <v>6381</v>
      </c>
      <c r="D54" s="70"/>
      <c r="E54" s="70" t="s">
        <v>2703</v>
      </c>
      <c r="F54" s="70">
        <v>1104229</v>
      </c>
      <c r="G54" s="70" t="s">
        <v>6485</v>
      </c>
      <c r="H54" s="70" t="s">
        <v>6486</v>
      </c>
      <c r="I54" s="70" t="s">
        <v>6384</v>
      </c>
      <c r="J54" s="70" t="s">
        <v>6487</v>
      </c>
      <c r="K54" s="70" t="s">
        <v>6488</v>
      </c>
    </row>
    <row r="55" spans="1:11" ht="58" customHeight="1" x14ac:dyDescent="0.2">
      <c r="A55" s="71" t="s">
        <v>6489</v>
      </c>
      <c r="B55" s="71" t="s">
        <v>117</v>
      </c>
      <c r="C55" s="71" t="s">
        <v>6381</v>
      </c>
      <c r="D55" s="71"/>
      <c r="E55" s="71" t="s">
        <v>2703</v>
      </c>
      <c r="F55" s="71">
        <v>1116708</v>
      </c>
      <c r="G55" s="71" t="s">
        <v>6490</v>
      </c>
      <c r="H55" s="71" t="s">
        <v>6491</v>
      </c>
      <c r="I55" s="71" t="s">
        <v>6384</v>
      </c>
      <c r="J55" s="71" t="s">
        <v>6492</v>
      </c>
      <c r="K55" s="71" t="s">
        <v>6493</v>
      </c>
    </row>
    <row r="56" spans="1:11" ht="58" customHeight="1" x14ac:dyDescent="0.2">
      <c r="A56" s="70" t="s">
        <v>6494</v>
      </c>
      <c r="B56" s="70" t="s">
        <v>117</v>
      </c>
      <c r="C56" s="70" t="s">
        <v>6381</v>
      </c>
      <c r="D56" s="70"/>
      <c r="E56" s="70" t="s">
        <v>2703</v>
      </c>
      <c r="F56" s="70">
        <v>1137441</v>
      </c>
      <c r="G56" s="70" t="s">
        <v>6495</v>
      </c>
      <c r="H56" s="70" t="s">
        <v>6496</v>
      </c>
      <c r="I56" s="70" t="s">
        <v>6384</v>
      </c>
      <c r="J56" s="70" t="s">
        <v>6497</v>
      </c>
      <c r="K56" s="70" t="s">
        <v>6498</v>
      </c>
    </row>
    <row r="57" spans="1:11" ht="58" customHeight="1" x14ac:dyDescent="0.2">
      <c r="A57" s="71" t="s">
        <v>6499</v>
      </c>
      <c r="B57" s="71" t="s">
        <v>117</v>
      </c>
      <c r="C57" s="71" t="s">
        <v>6381</v>
      </c>
      <c r="D57" s="71"/>
      <c r="E57" s="71" t="s">
        <v>2703</v>
      </c>
      <c r="F57" s="71">
        <v>1138904</v>
      </c>
      <c r="G57" s="71" t="s">
        <v>6500</v>
      </c>
      <c r="H57" s="71" t="s">
        <v>6501</v>
      </c>
      <c r="I57" s="71" t="s">
        <v>6384</v>
      </c>
      <c r="J57" s="71" t="s">
        <v>6497</v>
      </c>
      <c r="K57" s="71" t="s">
        <v>6502</v>
      </c>
    </row>
    <row r="58" spans="1:11" ht="58" customHeight="1" x14ac:dyDescent="0.2">
      <c r="A58" s="70" t="s">
        <v>6503</v>
      </c>
      <c r="B58" s="70" t="s">
        <v>117</v>
      </c>
      <c r="C58" s="70" t="s">
        <v>6381</v>
      </c>
      <c r="D58" s="70"/>
      <c r="E58" s="70" t="s">
        <v>2703</v>
      </c>
      <c r="F58" s="70">
        <v>1146572</v>
      </c>
      <c r="G58" s="70" t="s">
        <v>6504</v>
      </c>
      <c r="H58" s="70" t="s">
        <v>6505</v>
      </c>
      <c r="I58" s="70" t="s">
        <v>6384</v>
      </c>
      <c r="J58" s="70" t="s">
        <v>6506</v>
      </c>
      <c r="K58" s="70" t="s">
        <v>6507</v>
      </c>
    </row>
    <row r="59" spans="1:11" ht="58" customHeight="1" x14ac:dyDescent="0.2">
      <c r="A59" s="71" t="s">
        <v>6508</v>
      </c>
      <c r="B59" s="71" t="s">
        <v>117</v>
      </c>
      <c r="C59" s="71" t="s">
        <v>6381</v>
      </c>
      <c r="D59" s="71"/>
      <c r="E59" s="71" t="s">
        <v>2726</v>
      </c>
      <c r="F59" s="71">
        <v>1147323</v>
      </c>
      <c r="G59" s="71" t="s">
        <v>6509</v>
      </c>
      <c r="H59" s="71" t="s">
        <v>6510</v>
      </c>
      <c r="I59" s="71" t="s">
        <v>6384</v>
      </c>
      <c r="J59" s="71" t="s">
        <v>6511</v>
      </c>
      <c r="K59" s="71" t="s">
        <v>6512</v>
      </c>
    </row>
    <row r="60" spans="1:11" ht="58" customHeight="1" x14ac:dyDescent="0.2">
      <c r="A60" s="70" t="s">
        <v>6513</v>
      </c>
      <c r="B60" s="70" t="s">
        <v>117</v>
      </c>
      <c r="C60" s="70" t="s">
        <v>6381</v>
      </c>
      <c r="D60" s="70"/>
      <c r="E60" s="70" t="s">
        <v>2703</v>
      </c>
      <c r="F60" s="70">
        <v>1176404</v>
      </c>
      <c r="G60" s="70" t="s">
        <v>6514</v>
      </c>
      <c r="H60" s="70" t="s">
        <v>6515</v>
      </c>
      <c r="I60" s="70" t="s">
        <v>6384</v>
      </c>
      <c r="J60" s="70" t="s">
        <v>6516</v>
      </c>
      <c r="K60" s="70" t="s">
        <v>6517</v>
      </c>
    </row>
    <row r="61" spans="1:11" ht="58" customHeight="1" x14ac:dyDescent="0.2">
      <c r="A61" s="71" t="s">
        <v>6518</v>
      </c>
      <c r="B61" s="71" t="s">
        <v>117</v>
      </c>
      <c r="C61" s="71" t="s">
        <v>6381</v>
      </c>
      <c r="D61" s="71"/>
      <c r="E61" s="71" t="s">
        <v>2703</v>
      </c>
      <c r="F61" s="71">
        <v>1177949</v>
      </c>
      <c r="G61" s="71" t="s">
        <v>6519</v>
      </c>
      <c r="H61" s="71" t="s">
        <v>6520</v>
      </c>
      <c r="I61" s="71" t="s">
        <v>6384</v>
      </c>
      <c r="J61" s="71" t="s">
        <v>6521</v>
      </c>
      <c r="K61" s="71" t="s">
        <v>6522</v>
      </c>
    </row>
    <row r="62" spans="1:11" ht="58" customHeight="1" x14ac:dyDescent="0.2">
      <c r="A62" s="70" t="s">
        <v>6523</v>
      </c>
      <c r="B62" s="70" t="s">
        <v>117</v>
      </c>
      <c r="C62" s="70" t="s">
        <v>6381</v>
      </c>
      <c r="D62" s="70"/>
      <c r="E62" s="70" t="s">
        <v>2703</v>
      </c>
      <c r="F62" s="70">
        <v>1199615</v>
      </c>
      <c r="G62" s="70" t="s">
        <v>6524</v>
      </c>
      <c r="H62" s="70" t="s">
        <v>6525</v>
      </c>
      <c r="I62" s="70" t="s">
        <v>6384</v>
      </c>
      <c r="J62" s="70" t="s">
        <v>6526</v>
      </c>
      <c r="K62" s="70" t="s">
        <v>6527</v>
      </c>
    </row>
    <row r="63" spans="1:11" ht="58" customHeight="1" x14ac:dyDescent="0.2">
      <c r="A63" s="71" t="s">
        <v>6528</v>
      </c>
      <c r="B63" s="71" t="s">
        <v>117</v>
      </c>
      <c r="C63" s="71" t="s">
        <v>6381</v>
      </c>
      <c r="D63" s="71"/>
      <c r="E63" s="71" t="s">
        <v>2703</v>
      </c>
      <c r="F63" s="71">
        <v>1204917</v>
      </c>
      <c r="G63" s="71" t="s">
        <v>6529</v>
      </c>
      <c r="H63" s="71" t="s">
        <v>6530</v>
      </c>
      <c r="I63" s="71" t="s">
        <v>6384</v>
      </c>
      <c r="J63" s="71" t="s">
        <v>6531</v>
      </c>
      <c r="K63" s="71" t="s">
        <v>6532</v>
      </c>
    </row>
    <row r="64" spans="1:11" ht="58" customHeight="1" x14ac:dyDescent="0.2">
      <c r="A64" s="70" t="s">
        <v>6533</v>
      </c>
      <c r="B64" s="70" t="s">
        <v>117</v>
      </c>
      <c r="C64" s="70" t="s">
        <v>6381</v>
      </c>
      <c r="D64" s="70"/>
      <c r="E64" s="70" t="s">
        <v>2726</v>
      </c>
      <c r="F64" s="70">
        <v>1204956</v>
      </c>
      <c r="G64" s="70" t="s">
        <v>6534</v>
      </c>
      <c r="H64" s="70" t="s">
        <v>6535</v>
      </c>
      <c r="I64" s="70" t="s">
        <v>6384</v>
      </c>
      <c r="J64" s="70" t="s">
        <v>6536</v>
      </c>
      <c r="K64" s="70" t="s">
        <v>6537</v>
      </c>
    </row>
    <row r="65" spans="1:11" ht="58" customHeight="1" x14ac:dyDescent="0.2">
      <c r="A65" s="71" t="s">
        <v>6538</v>
      </c>
      <c r="B65" s="71" t="s">
        <v>117</v>
      </c>
      <c r="C65" s="71" t="s">
        <v>6381</v>
      </c>
      <c r="D65" s="71"/>
      <c r="E65" s="71" t="s">
        <v>2703</v>
      </c>
      <c r="F65" s="71">
        <v>1205084</v>
      </c>
      <c r="G65" s="71" t="s">
        <v>6539</v>
      </c>
      <c r="H65" s="71" t="s">
        <v>6540</v>
      </c>
      <c r="I65" s="71" t="s">
        <v>6384</v>
      </c>
      <c r="J65" s="71" t="s">
        <v>6541</v>
      </c>
      <c r="K65" s="71" t="s">
        <v>6542</v>
      </c>
    </row>
    <row r="66" spans="1:11" ht="58" customHeight="1" x14ac:dyDescent="0.2">
      <c r="A66" s="70" t="s">
        <v>6543</v>
      </c>
      <c r="B66" s="70" t="s">
        <v>117</v>
      </c>
      <c r="C66" s="70" t="s">
        <v>6381</v>
      </c>
      <c r="D66" s="70"/>
      <c r="E66" s="70" t="s">
        <v>2726</v>
      </c>
      <c r="F66" s="70">
        <v>1229287</v>
      </c>
      <c r="G66" s="70" t="s">
        <v>6544</v>
      </c>
      <c r="H66" s="70" t="s">
        <v>6545</v>
      </c>
      <c r="I66" s="70" t="s">
        <v>6384</v>
      </c>
      <c r="J66" s="70" t="s">
        <v>6546</v>
      </c>
      <c r="K66" s="70" t="s">
        <v>6547</v>
      </c>
    </row>
    <row r="67" spans="1:11" ht="58" customHeight="1" x14ac:dyDescent="0.2">
      <c r="A67" s="71" t="s">
        <v>6548</v>
      </c>
      <c r="B67" s="71" t="s">
        <v>117</v>
      </c>
      <c r="C67" s="71" t="s">
        <v>6381</v>
      </c>
      <c r="D67" s="71"/>
      <c r="E67" s="71" t="s">
        <v>2703</v>
      </c>
      <c r="F67" s="71">
        <v>1246565</v>
      </c>
      <c r="G67" s="71" t="s">
        <v>6549</v>
      </c>
      <c r="H67" s="71" t="s">
        <v>6550</v>
      </c>
      <c r="I67" s="71" t="s">
        <v>6384</v>
      </c>
      <c r="J67" s="71" t="s">
        <v>6551</v>
      </c>
      <c r="K67" s="71" t="s">
        <v>6552</v>
      </c>
    </row>
    <row r="68" spans="1:11" ht="58" customHeight="1" x14ac:dyDescent="0.2">
      <c r="A68" s="70" t="s">
        <v>6553</v>
      </c>
      <c r="B68" s="70" t="s">
        <v>117</v>
      </c>
      <c r="C68" s="70" t="s">
        <v>6381</v>
      </c>
      <c r="D68" s="70"/>
      <c r="E68" s="70" t="s">
        <v>2703</v>
      </c>
      <c r="F68" s="70">
        <v>1248678</v>
      </c>
      <c r="G68" s="70" t="s">
        <v>6554</v>
      </c>
      <c r="H68" s="70" t="s">
        <v>6555</v>
      </c>
      <c r="I68" s="70" t="s">
        <v>6384</v>
      </c>
      <c r="J68" s="70" t="s">
        <v>6556</v>
      </c>
      <c r="K68" s="70" t="s">
        <v>6557</v>
      </c>
    </row>
    <row r="69" spans="1:11" ht="58" customHeight="1" x14ac:dyDescent="0.2">
      <c r="A69" s="71" t="s">
        <v>6558</v>
      </c>
      <c r="B69" s="71" t="s">
        <v>117</v>
      </c>
      <c r="C69" s="71" t="s">
        <v>6381</v>
      </c>
      <c r="D69" s="71"/>
      <c r="E69" s="71" t="s">
        <v>2703</v>
      </c>
      <c r="F69" s="71">
        <v>1294995</v>
      </c>
      <c r="G69" s="71" t="s">
        <v>6559</v>
      </c>
      <c r="H69" s="71" t="s">
        <v>6560</v>
      </c>
      <c r="I69" s="71" t="s">
        <v>6384</v>
      </c>
      <c r="J69" s="71" t="s">
        <v>6561</v>
      </c>
      <c r="K69" s="71" t="s">
        <v>6562</v>
      </c>
    </row>
    <row r="70" spans="1:11" ht="58" customHeight="1" x14ac:dyDescent="0.2">
      <c r="A70" s="70" t="s">
        <v>6563</v>
      </c>
      <c r="B70" s="70" t="s">
        <v>117</v>
      </c>
      <c r="C70" s="70" t="s">
        <v>6381</v>
      </c>
      <c r="D70" s="70"/>
      <c r="E70" s="70" t="s">
        <v>2726</v>
      </c>
      <c r="F70" s="70">
        <v>1295971</v>
      </c>
      <c r="G70" s="70" t="s">
        <v>6564</v>
      </c>
      <c r="H70" s="70" t="s">
        <v>6565</v>
      </c>
      <c r="I70" s="70" t="s">
        <v>6384</v>
      </c>
      <c r="J70" s="70" t="s">
        <v>6566</v>
      </c>
      <c r="K70" s="70" t="s">
        <v>6567</v>
      </c>
    </row>
    <row r="71" spans="1:11" ht="58" customHeight="1" x14ac:dyDescent="0.2">
      <c r="A71" s="71" t="s">
        <v>6568</v>
      </c>
      <c r="B71" s="71" t="s">
        <v>117</v>
      </c>
      <c r="C71" s="71" t="s">
        <v>6381</v>
      </c>
      <c r="D71" s="71"/>
      <c r="E71" s="71" t="s">
        <v>2703</v>
      </c>
      <c r="F71" s="71">
        <v>1311653</v>
      </c>
      <c r="G71" s="71" t="s">
        <v>6569</v>
      </c>
      <c r="H71" s="71" t="s">
        <v>3052</v>
      </c>
      <c r="I71" s="71" t="s">
        <v>6384</v>
      </c>
      <c r="J71" s="71" t="s">
        <v>6570</v>
      </c>
      <c r="K71" s="71" t="s">
        <v>6571</v>
      </c>
    </row>
    <row r="72" spans="1:11" ht="58" customHeight="1" x14ac:dyDescent="0.2">
      <c r="A72" s="70" t="s">
        <v>6572</v>
      </c>
      <c r="B72" s="70" t="s">
        <v>117</v>
      </c>
      <c r="C72" s="70" t="s">
        <v>6381</v>
      </c>
      <c r="D72" s="70"/>
      <c r="E72" s="70" t="s">
        <v>2703</v>
      </c>
      <c r="F72" s="70">
        <v>1333972</v>
      </c>
      <c r="G72" s="70" t="s">
        <v>6573</v>
      </c>
      <c r="H72" s="70" t="s">
        <v>6574</v>
      </c>
      <c r="I72" s="70" t="s">
        <v>6384</v>
      </c>
      <c r="J72" s="70" t="s">
        <v>6575</v>
      </c>
      <c r="K72" s="70" t="s">
        <v>6576</v>
      </c>
    </row>
    <row r="73" spans="1:11" ht="58" customHeight="1" x14ac:dyDescent="0.2">
      <c r="A73" s="71" t="s">
        <v>6577</v>
      </c>
      <c r="B73" s="71" t="s">
        <v>117</v>
      </c>
      <c r="C73" s="71" t="s">
        <v>6381</v>
      </c>
      <c r="D73" s="71"/>
      <c r="E73" s="71" t="s">
        <v>2726</v>
      </c>
      <c r="F73" s="71">
        <v>1371339</v>
      </c>
      <c r="G73" s="71" t="s">
        <v>6578</v>
      </c>
      <c r="H73" s="71" t="s">
        <v>6579</v>
      </c>
      <c r="I73" s="71" t="s">
        <v>6460</v>
      </c>
      <c r="J73" s="71" t="s">
        <v>6580</v>
      </c>
      <c r="K73" s="71" t="s">
        <v>6581</v>
      </c>
    </row>
    <row r="74" spans="1:11" ht="58" customHeight="1" x14ac:dyDescent="0.2">
      <c r="A74" s="70" t="s">
        <v>6582</v>
      </c>
      <c r="B74" s="70" t="s">
        <v>117</v>
      </c>
      <c r="C74" s="70" t="s">
        <v>6381</v>
      </c>
      <c r="D74" s="70"/>
      <c r="E74" s="70" t="s">
        <v>2703</v>
      </c>
      <c r="F74" s="70">
        <v>1379918</v>
      </c>
      <c r="G74" s="70" t="s">
        <v>6583</v>
      </c>
      <c r="H74" s="70" t="s">
        <v>2717</v>
      </c>
      <c r="I74" s="70" t="s">
        <v>6384</v>
      </c>
      <c r="J74" s="70" t="s">
        <v>6584</v>
      </c>
      <c r="K74" s="70" t="s">
        <v>6585</v>
      </c>
    </row>
    <row r="75" spans="1:11" ht="58" customHeight="1" x14ac:dyDescent="0.2">
      <c r="A75" s="71" t="s">
        <v>6586</v>
      </c>
      <c r="B75" s="71" t="s">
        <v>117</v>
      </c>
      <c r="C75" s="71" t="s">
        <v>6381</v>
      </c>
      <c r="D75" s="71"/>
      <c r="E75" s="71" t="s">
        <v>2726</v>
      </c>
      <c r="F75" s="71">
        <v>1380291</v>
      </c>
      <c r="G75" s="71" t="s">
        <v>6587</v>
      </c>
      <c r="H75" s="71" t="s">
        <v>6588</v>
      </c>
      <c r="I75" s="71" t="s">
        <v>6384</v>
      </c>
      <c r="J75" s="71" t="s">
        <v>6589</v>
      </c>
      <c r="K75" s="71" t="s">
        <v>6590</v>
      </c>
    </row>
    <row r="76" spans="1:11" ht="58" customHeight="1" x14ac:dyDescent="0.2">
      <c r="A76" s="70" t="s">
        <v>6591</v>
      </c>
      <c r="B76" s="70" t="s">
        <v>117</v>
      </c>
      <c r="C76" s="70" t="s">
        <v>6381</v>
      </c>
      <c r="D76" s="70"/>
      <c r="E76" s="70" t="s">
        <v>2703</v>
      </c>
      <c r="F76" s="70">
        <v>1408462</v>
      </c>
      <c r="G76" s="70" t="s">
        <v>6592</v>
      </c>
      <c r="H76" s="70" t="s">
        <v>2706</v>
      </c>
      <c r="I76" s="70" t="s">
        <v>6384</v>
      </c>
      <c r="J76" s="70" t="s">
        <v>6593</v>
      </c>
      <c r="K76" s="70" t="s">
        <v>6594</v>
      </c>
    </row>
    <row r="77" spans="1:11" ht="58" customHeight="1" x14ac:dyDescent="0.2">
      <c r="A77" s="71" t="s">
        <v>6595</v>
      </c>
      <c r="B77" s="71" t="s">
        <v>117</v>
      </c>
      <c r="C77" s="71" t="s">
        <v>6381</v>
      </c>
      <c r="D77" s="71"/>
      <c r="E77" s="71" t="s">
        <v>2726</v>
      </c>
      <c r="F77" s="71">
        <v>1454336</v>
      </c>
      <c r="G77" s="71" t="s">
        <v>6596</v>
      </c>
      <c r="H77" s="71" t="s">
        <v>6597</v>
      </c>
      <c r="I77" s="71" t="s">
        <v>6384</v>
      </c>
      <c r="J77" s="71" t="s">
        <v>6598</v>
      </c>
      <c r="K77" s="71" t="s">
        <v>6599</v>
      </c>
    </row>
    <row r="78" spans="1:11" ht="58" customHeight="1" x14ac:dyDescent="0.2">
      <c r="A78" s="70" t="s">
        <v>6600</v>
      </c>
      <c r="B78" s="70" t="s">
        <v>117</v>
      </c>
      <c r="C78" s="70" t="s">
        <v>6381</v>
      </c>
      <c r="D78" s="70"/>
      <c r="E78" s="70" t="s">
        <v>2726</v>
      </c>
      <c r="F78" s="70">
        <v>1477918</v>
      </c>
      <c r="G78" s="70" t="s">
        <v>6601</v>
      </c>
      <c r="H78" s="70" t="s">
        <v>2729</v>
      </c>
      <c r="I78" s="70" t="s">
        <v>6384</v>
      </c>
      <c r="J78" s="70" t="s">
        <v>6602</v>
      </c>
      <c r="K78" s="70" t="s">
        <v>6603</v>
      </c>
    </row>
    <row r="79" spans="1:11" ht="58" customHeight="1" x14ac:dyDescent="0.2">
      <c r="A79" s="71" t="s">
        <v>6604</v>
      </c>
      <c r="B79" s="71" t="s">
        <v>117</v>
      </c>
      <c r="C79" s="71" t="s">
        <v>6381</v>
      </c>
      <c r="D79" s="71"/>
      <c r="E79" s="71" t="s">
        <v>2703</v>
      </c>
      <c r="F79" s="71">
        <v>1482329</v>
      </c>
      <c r="G79" s="71" t="s">
        <v>6605</v>
      </c>
      <c r="H79" s="71" t="s">
        <v>6606</v>
      </c>
      <c r="I79" s="71" t="s">
        <v>6384</v>
      </c>
      <c r="J79" s="71" t="s">
        <v>6607</v>
      </c>
      <c r="K79" s="71" t="s">
        <v>6608</v>
      </c>
    </row>
    <row r="80" spans="1:11" ht="58" customHeight="1" x14ac:dyDescent="0.2">
      <c r="A80" s="70" t="s">
        <v>6609</v>
      </c>
      <c r="B80" s="70" t="s">
        <v>117</v>
      </c>
      <c r="C80" s="70" t="s">
        <v>6381</v>
      </c>
      <c r="D80" s="70"/>
      <c r="E80" s="70" t="s">
        <v>2726</v>
      </c>
      <c r="F80" s="70">
        <v>1576448</v>
      </c>
      <c r="G80" s="70" t="s">
        <v>6610</v>
      </c>
      <c r="H80" s="70" t="s">
        <v>6611</v>
      </c>
      <c r="I80" s="70" t="s">
        <v>6384</v>
      </c>
      <c r="J80" s="70" t="s">
        <v>6612</v>
      </c>
      <c r="K80" s="70" t="s">
        <v>6613</v>
      </c>
    </row>
    <row r="81" spans="1:11" ht="58" customHeight="1" x14ac:dyDescent="0.2">
      <c r="A81" s="71" t="s">
        <v>6614</v>
      </c>
      <c r="B81" s="71" t="s">
        <v>117</v>
      </c>
      <c r="C81" s="71" t="s">
        <v>6381</v>
      </c>
      <c r="D81" s="71"/>
      <c r="E81" s="71" t="s">
        <v>2703</v>
      </c>
      <c r="F81" s="71">
        <v>1601953</v>
      </c>
      <c r="G81" s="71" t="s">
        <v>6615</v>
      </c>
      <c r="H81" s="71" t="s">
        <v>6616</v>
      </c>
      <c r="I81" s="71" t="s">
        <v>6384</v>
      </c>
      <c r="J81" s="71" t="s">
        <v>6617</v>
      </c>
      <c r="K81" s="71" t="s">
        <v>6618</v>
      </c>
    </row>
    <row r="82" spans="1:11" ht="58" customHeight="1" x14ac:dyDescent="0.2">
      <c r="A82" s="70" t="s">
        <v>6619</v>
      </c>
      <c r="B82" s="70" t="s">
        <v>126</v>
      </c>
      <c r="C82" s="70" t="s">
        <v>6381</v>
      </c>
      <c r="D82" s="70"/>
      <c r="E82" s="70" t="s">
        <v>2703</v>
      </c>
      <c r="F82" s="70">
        <v>1002535</v>
      </c>
      <c r="G82" s="70" t="s">
        <v>6620</v>
      </c>
      <c r="H82" s="70" t="s">
        <v>6621</v>
      </c>
      <c r="I82" s="70" t="s">
        <v>6384</v>
      </c>
      <c r="J82" s="70" t="s">
        <v>6622</v>
      </c>
      <c r="K82" s="70" t="s">
        <v>6623</v>
      </c>
    </row>
    <row r="83" spans="1:11" ht="58" customHeight="1" x14ac:dyDescent="0.2">
      <c r="A83" s="71" t="s">
        <v>6624</v>
      </c>
      <c r="B83" s="71" t="s">
        <v>126</v>
      </c>
      <c r="C83" s="71" t="s">
        <v>6381</v>
      </c>
      <c r="D83" s="71"/>
      <c r="E83" s="71" t="s">
        <v>2726</v>
      </c>
      <c r="F83" s="71">
        <v>1014477</v>
      </c>
      <c r="G83" s="71" t="s">
        <v>6625</v>
      </c>
      <c r="H83" s="71" t="s">
        <v>6626</v>
      </c>
      <c r="I83" s="71" t="s">
        <v>6384</v>
      </c>
      <c r="J83" s="71" t="s">
        <v>6627</v>
      </c>
      <c r="K83" s="71" t="s">
        <v>6628</v>
      </c>
    </row>
    <row r="84" spans="1:11" ht="58" customHeight="1" x14ac:dyDescent="0.2">
      <c r="A84" s="70" t="s">
        <v>6629</v>
      </c>
      <c r="B84" s="70" t="s">
        <v>126</v>
      </c>
      <c r="C84" s="70" t="s">
        <v>6381</v>
      </c>
      <c r="D84" s="70"/>
      <c r="E84" s="70" t="s">
        <v>2726</v>
      </c>
      <c r="F84" s="70">
        <v>1018807</v>
      </c>
      <c r="G84" s="70" t="s">
        <v>6630</v>
      </c>
      <c r="H84" s="70" t="s">
        <v>6631</v>
      </c>
      <c r="I84" s="70" t="s">
        <v>6384</v>
      </c>
      <c r="J84" s="70" t="s">
        <v>6632</v>
      </c>
      <c r="K84" s="70" t="s">
        <v>6633</v>
      </c>
    </row>
    <row r="85" spans="1:11" ht="58" customHeight="1" x14ac:dyDescent="0.2">
      <c r="A85" s="71" t="s">
        <v>6634</v>
      </c>
      <c r="B85" s="71" t="s">
        <v>126</v>
      </c>
      <c r="C85" s="71" t="s">
        <v>6381</v>
      </c>
      <c r="D85" s="71"/>
      <c r="E85" s="71" t="s">
        <v>2703</v>
      </c>
      <c r="F85" s="71">
        <v>1148753</v>
      </c>
      <c r="G85" s="71" t="s">
        <v>6635</v>
      </c>
      <c r="H85" s="71" t="s">
        <v>6636</v>
      </c>
      <c r="I85" s="71" t="s">
        <v>6384</v>
      </c>
      <c r="J85" s="71" t="s">
        <v>6637</v>
      </c>
      <c r="K85" s="71" t="s">
        <v>6638</v>
      </c>
    </row>
    <row r="86" spans="1:11" ht="58" customHeight="1" x14ac:dyDescent="0.2">
      <c r="A86" s="70" t="s">
        <v>6639</v>
      </c>
      <c r="B86" s="70" t="s">
        <v>126</v>
      </c>
      <c r="C86" s="70" t="s">
        <v>6381</v>
      </c>
      <c r="D86" s="70"/>
      <c r="E86" s="70" t="s">
        <v>2726</v>
      </c>
      <c r="F86" s="70">
        <v>1148926</v>
      </c>
      <c r="G86" s="70" t="s">
        <v>6640</v>
      </c>
      <c r="H86" s="70" t="s">
        <v>6641</v>
      </c>
      <c r="I86" s="70" t="s">
        <v>6384</v>
      </c>
      <c r="J86" s="70" t="s">
        <v>6642</v>
      </c>
      <c r="K86" s="70" t="s">
        <v>6643</v>
      </c>
    </row>
    <row r="87" spans="1:11" ht="58" customHeight="1" x14ac:dyDescent="0.2">
      <c r="A87" s="71" t="s">
        <v>6644</v>
      </c>
      <c r="B87" s="71" t="s">
        <v>126</v>
      </c>
      <c r="C87" s="71" t="s">
        <v>6381</v>
      </c>
      <c r="D87" s="71"/>
      <c r="E87" s="71" t="s">
        <v>2703</v>
      </c>
      <c r="F87" s="71">
        <v>1254335</v>
      </c>
      <c r="G87" s="71" t="s">
        <v>6645</v>
      </c>
      <c r="H87" s="71" t="s">
        <v>6646</v>
      </c>
      <c r="I87" s="71" t="s">
        <v>6384</v>
      </c>
      <c r="J87" s="71" t="s">
        <v>6647</v>
      </c>
      <c r="K87" s="71" t="s">
        <v>6648</v>
      </c>
    </row>
    <row r="88" spans="1:11" ht="58" customHeight="1" x14ac:dyDescent="0.2">
      <c r="A88" s="70" t="s">
        <v>6649</v>
      </c>
      <c r="B88" s="70" t="s">
        <v>126</v>
      </c>
      <c r="C88" s="70" t="s">
        <v>6381</v>
      </c>
      <c r="D88" s="70"/>
      <c r="E88" s="70" t="s">
        <v>2703</v>
      </c>
      <c r="F88" s="70">
        <v>1279471</v>
      </c>
      <c r="G88" s="70" t="s">
        <v>6650</v>
      </c>
      <c r="H88" s="70" t="s">
        <v>6651</v>
      </c>
      <c r="I88" s="70" t="s">
        <v>6384</v>
      </c>
      <c r="J88" s="70" t="s">
        <v>6652</v>
      </c>
      <c r="K88" s="70" t="s">
        <v>6653</v>
      </c>
    </row>
    <row r="89" spans="1:11" ht="58" customHeight="1" x14ac:dyDescent="0.2">
      <c r="A89" s="71" t="s">
        <v>6654</v>
      </c>
      <c r="B89" s="71" t="s">
        <v>126</v>
      </c>
      <c r="C89" s="71" t="s">
        <v>6381</v>
      </c>
      <c r="D89" s="71"/>
      <c r="E89" s="71" t="s">
        <v>2726</v>
      </c>
      <c r="F89" s="71">
        <v>1335429</v>
      </c>
      <c r="G89" s="71" t="s">
        <v>6655</v>
      </c>
      <c r="H89" s="71" t="s">
        <v>6656</v>
      </c>
      <c r="I89" s="71" t="s">
        <v>6384</v>
      </c>
      <c r="J89" s="71" t="s">
        <v>6657</v>
      </c>
      <c r="K89" s="71" t="s">
        <v>6658</v>
      </c>
    </row>
    <row r="90" spans="1:11" ht="58" customHeight="1" x14ac:dyDescent="0.2">
      <c r="A90" s="70" t="s">
        <v>6659</v>
      </c>
      <c r="B90" s="70" t="s">
        <v>126</v>
      </c>
      <c r="C90" s="70" t="s">
        <v>6381</v>
      </c>
      <c r="D90" s="70"/>
      <c r="E90" s="70" t="s">
        <v>2703</v>
      </c>
      <c r="F90" s="70">
        <v>1337293</v>
      </c>
      <c r="G90" s="70" t="s">
        <v>6660</v>
      </c>
      <c r="H90" s="70" t="s">
        <v>6661</v>
      </c>
      <c r="I90" s="70" t="s">
        <v>6384</v>
      </c>
      <c r="J90" s="70" t="s">
        <v>6662</v>
      </c>
      <c r="K90" s="70" t="s">
        <v>6663</v>
      </c>
    </row>
    <row r="91" spans="1:11" ht="58" customHeight="1" x14ac:dyDescent="0.2">
      <c r="A91" s="71" t="s">
        <v>6664</v>
      </c>
      <c r="B91" s="71" t="s">
        <v>126</v>
      </c>
      <c r="C91" s="71" t="s">
        <v>6381</v>
      </c>
      <c r="D91" s="71"/>
      <c r="E91" s="71" t="s">
        <v>2726</v>
      </c>
      <c r="F91" s="71">
        <v>1338492</v>
      </c>
      <c r="G91" s="71" t="s">
        <v>6665</v>
      </c>
      <c r="H91" s="71" t="s">
        <v>6666</v>
      </c>
      <c r="I91" s="71" t="s">
        <v>6384</v>
      </c>
      <c r="J91" s="71" t="s">
        <v>6667</v>
      </c>
      <c r="K91" s="71" t="s">
        <v>6668</v>
      </c>
    </row>
    <row r="92" spans="1:11" ht="58" customHeight="1" x14ac:dyDescent="0.2">
      <c r="A92" s="70" t="s">
        <v>6669</v>
      </c>
      <c r="B92" s="70" t="s">
        <v>126</v>
      </c>
      <c r="C92" s="70" t="s">
        <v>6381</v>
      </c>
      <c r="D92" s="70"/>
      <c r="E92" s="70" t="s">
        <v>2703</v>
      </c>
      <c r="F92" s="70">
        <v>1344079</v>
      </c>
      <c r="G92" s="70" t="s">
        <v>6670</v>
      </c>
      <c r="H92" s="70" t="s">
        <v>6671</v>
      </c>
      <c r="I92" s="70" t="s">
        <v>6384</v>
      </c>
      <c r="J92" s="70" t="s">
        <v>6672</v>
      </c>
      <c r="K92" s="70" t="s">
        <v>6673</v>
      </c>
    </row>
    <row r="93" spans="1:11" ht="58" customHeight="1" x14ac:dyDescent="0.2">
      <c r="A93" s="71" t="s">
        <v>6674</v>
      </c>
      <c r="B93" s="71" t="s">
        <v>126</v>
      </c>
      <c r="C93" s="71" t="s">
        <v>6381</v>
      </c>
      <c r="D93" s="71"/>
      <c r="E93" s="71" t="s">
        <v>2703</v>
      </c>
      <c r="F93" s="71">
        <v>1346558</v>
      </c>
      <c r="G93" s="71" t="s">
        <v>6675</v>
      </c>
      <c r="H93" s="71" t="s">
        <v>6676</v>
      </c>
      <c r="I93" s="71" t="s">
        <v>6384</v>
      </c>
      <c r="J93" s="71" t="s">
        <v>6677</v>
      </c>
      <c r="K93" s="71" t="s">
        <v>6678</v>
      </c>
    </row>
    <row r="94" spans="1:11" ht="58" customHeight="1" x14ac:dyDescent="0.2">
      <c r="A94" s="70" t="s">
        <v>6679</v>
      </c>
      <c r="B94" s="70" t="s">
        <v>126</v>
      </c>
      <c r="C94" s="70" t="s">
        <v>6381</v>
      </c>
      <c r="D94" s="70"/>
      <c r="E94" s="70" t="s">
        <v>2726</v>
      </c>
      <c r="F94" s="70">
        <v>1417899</v>
      </c>
      <c r="G94" s="70" t="s">
        <v>6680</v>
      </c>
      <c r="H94" s="70" t="s">
        <v>6681</v>
      </c>
      <c r="I94" s="70" t="s">
        <v>6460</v>
      </c>
      <c r="J94" s="70" t="s">
        <v>6682</v>
      </c>
      <c r="K94" s="70" t="s">
        <v>6683</v>
      </c>
    </row>
    <row r="95" spans="1:11" ht="58" customHeight="1" x14ac:dyDescent="0.2">
      <c r="A95" s="71" t="s">
        <v>6684</v>
      </c>
      <c r="B95" s="71" t="s">
        <v>131</v>
      </c>
      <c r="C95" s="71" t="s">
        <v>6381</v>
      </c>
      <c r="D95" s="71"/>
      <c r="E95" s="71" t="s">
        <v>6469</v>
      </c>
      <c r="F95" s="71">
        <v>912195</v>
      </c>
      <c r="G95" s="71" t="s">
        <v>6685</v>
      </c>
      <c r="H95" s="71" t="s">
        <v>6686</v>
      </c>
      <c r="I95" s="71" t="s">
        <v>6384</v>
      </c>
      <c r="J95" s="71" t="s">
        <v>6687</v>
      </c>
      <c r="K95" s="71" t="s">
        <v>6688</v>
      </c>
    </row>
    <row r="96" spans="1:11" ht="58" customHeight="1" x14ac:dyDescent="0.2">
      <c r="A96" s="70" t="s">
        <v>6689</v>
      </c>
      <c r="B96" s="70" t="s">
        <v>131</v>
      </c>
      <c r="C96" s="70" t="s">
        <v>6381</v>
      </c>
      <c r="D96" s="70"/>
      <c r="E96" s="70" t="s">
        <v>2703</v>
      </c>
      <c r="F96" s="70">
        <v>998215</v>
      </c>
      <c r="G96" s="70" t="s">
        <v>6690</v>
      </c>
      <c r="H96" s="70" t="s">
        <v>6691</v>
      </c>
      <c r="I96" s="70" t="s">
        <v>6384</v>
      </c>
      <c r="J96" s="70" t="s">
        <v>6692</v>
      </c>
      <c r="K96" s="70" t="s">
        <v>6693</v>
      </c>
    </row>
    <row r="97" spans="1:11" ht="58" customHeight="1" x14ac:dyDescent="0.2">
      <c r="A97" s="71" t="s">
        <v>6694</v>
      </c>
      <c r="B97" s="71" t="s">
        <v>131</v>
      </c>
      <c r="C97" s="71" t="s">
        <v>6381</v>
      </c>
      <c r="D97" s="71"/>
      <c r="E97" s="71" t="s">
        <v>2703</v>
      </c>
      <c r="F97" s="71">
        <v>1079450</v>
      </c>
      <c r="G97" s="71" t="s">
        <v>6695</v>
      </c>
      <c r="H97" s="71" t="s">
        <v>6696</v>
      </c>
      <c r="I97" s="71" t="s">
        <v>6384</v>
      </c>
      <c r="J97" s="71" t="s">
        <v>6697</v>
      </c>
      <c r="K97" s="71" t="s">
        <v>6698</v>
      </c>
    </row>
    <row r="98" spans="1:11" ht="58" customHeight="1" x14ac:dyDescent="0.2">
      <c r="A98" s="70" t="s">
        <v>6699</v>
      </c>
      <c r="B98" s="70" t="s">
        <v>131</v>
      </c>
      <c r="C98" s="70" t="s">
        <v>6381</v>
      </c>
      <c r="D98" s="70"/>
      <c r="E98" s="70" t="s">
        <v>2703</v>
      </c>
      <c r="F98" s="70">
        <v>1285658</v>
      </c>
      <c r="G98" s="70" t="s">
        <v>6700</v>
      </c>
      <c r="H98" s="70" t="s">
        <v>6701</v>
      </c>
      <c r="I98" s="70" t="s">
        <v>6384</v>
      </c>
      <c r="J98" s="70" t="s">
        <v>6702</v>
      </c>
      <c r="K98" s="70" t="s">
        <v>6703</v>
      </c>
    </row>
    <row r="99" spans="1:11" ht="58" customHeight="1" x14ac:dyDescent="0.2">
      <c r="A99" s="71" t="s">
        <v>6704</v>
      </c>
      <c r="B99" s="71" t="s">
        <v>131</v>
      </c>
      <c r="C99" s="71" t="s">
        <v>6381</v>
      </c>
      <c r="D99" s="71"/>
      <c r="E99" s="71" t="s">
        <v>2703</v>
      </c>
      <c r="F99" s="71">
        <v>1306740</v>
      </c>
      <c r="G99" s="71" t="s">
        <v>6705</v>
      </c>
      <c r="H99" s="71" t="s">
        <v>3107</v>
      </c>
      <c r="I99" s="71" t="s">
        <v>6384</v>
      </c>
      <c r="J99" s="71" t="s">
        <v>6706</v>
      </c>
      <c r="K99" s="71" t="s">
        <v>6707</v>
      </c>
    </row>
    <row r="100" spans="1:11" ht="58" customHeight="1" x14ac:dyDescent="0.2">
      <c r="A100" s="70" t="s">
        <v>6708</v>
      </c>
      <c r="B100" s="70" t="s">
        <v>131</v>
      </c>
      <c r="C100" s="70" t="s">
        <v>6381</v>
      </c>
      <c r="D100" s="70"/>
      <c r="E100" s="70" t="s">
        <v>2726</v>
      </c>
      <c r="F100" s="70">
        <v>1308744</v>
      </c>
      <c r="G100" s="70" t="s">
        <v>6709</v>
      </c>
      <c r="H100" s="70" t="s">
        <v>6710</v>
      </c>
      <c r="I100" s="70" t="s">
        <v>6384</v>
      </c>
      <c r="J100" s="70" t="s">
        <v>6711</v>
      </c>
      <c r="K100" s="70" t="s">
        <v>6712</v>
      </c>
    </row>
    <row r="101" spans="1:11" ht="58" customHeight="1" x14ac:dyDescent="0.2">
      <c r="A101" s="71" t="s">
        <v>6713</v>
      </c>
      <c r="B101" s="71" t="s">
        <v>131</v>
      </c>
      <c r="C101" s="71" t="s">
        <v>6381</v>
      </c>
      <c r="D101" s="71"/>
      <c r="E101" s="71" t="s">
        <v>2703</v>
      </c>
      <c r="F101" s="71">
        <v>1417850</v>
      </c>
      <c r="G101" s="71" t="s">
        <v>6714</v>
      </c>
      <c r="H101" s="71" t="s">
        <v>2876</v>
      </c>
      <c r="I101" s="71" t="s">
        <v>6460</v>
      </c>
      <c r="J101" s="71" t="s">
        <v>6715</v>
      </c>
      <c r="K101" s="71" t="s">
        <v>6716</v>
      </c>
    </row>
    <row r="102" spans="1:11" ht="58" customHeight="1" x14ac:dyDescent="0.2">
      <c r="A102" s="70" t="s">
        <v>6717</v>
      </c>
      <c r="B102" s="70" t="s">
        <v>131</v>
      </c>
      <c r="C102" s="70" t="s">
        <v>6381</v>
      </c>
      <c r="D102" s="70"/>
      <c r="E102" s="70" t="s">
        <v>2703</v>
      </c>
      <c r="F102" s="70">
        <v>1433580</v>
      </c>
      <c r="G102" s="70" t="s">
        <v>6718</v>
      </c>
      <c r="H102" s="70" t="s">
        <v>6719</v>
      </c>
      <c r="I102" s="70" t="s">
        <v>6384</v>
      </c>
      <c r="J102" s="70" t="s">
        <v>6720</v>
      </c>
      <c r="K102" s="70" t="s">
        <v>6721</v>
      </c>
    </row>
    <row r="103" spans="1:11" ht="58" customHeight="1" x14ac:dyDescent="0.2">
      <c r="A103" s="71" t="s">
        <v>6722</v>
      </c>
      <c r="B103" s="71" t="s">
        <v>131</v>
      </c>
      <c r="C103" s="71" t="s">
        <v>6381</v>
      </c>
      <c r="D103" s="71"/>
      <c r="E103" s="71" t="s">
        <v>2703</v>
      </c>
      <c r="F103" s="71">
        <v>1511411</v>
      </c>
      <c r="G103" s="71" t="s">
        <v>6723</v>
      </c>
      <c r="H103" s="71" t="s">
        <v>6724</v>
      </c>
      <c r="I103" s="71" t="s">
        <v>6384</v>
      </c>
      <c r="J103" s="71" t="s">
        <v>6725</v>
      </c>
      <c r="K103" s="71" t="s">
        <v>6726</v>
      </c>
    </row>
    <row r="104" spans="1:11" ht="58" customHeight="1" x14ac:dyDescent="0.2">
      <c r="A104" s="70" t="s">
        <v>6727</v>
      </c>
      <c r="B104" s="70" t="s">
        <v>131</v>
      </c>
      <c r="C104" s="70" t="s">
        <v>6381</v>
      </c>
      <c r="D104" s="70"/>
      <c r="E104" s="70" t="s">
        <v>2703</v>
      </c>
      <c r="F104" s="70">
        <v>1547965</v>
      </c>
      <c r="G104" s="70" t="s">
        <v>6728</v>
      </c>
      <c r="H104" s="70" t="s">
        <v>6729</v>
      </c>
      <c r="I104" s="70" t="s">
        <v>6384</v>
      </c>
      <c r="J104" s="70" t="s">
        <v>6730</v>
      </c>
      <c r="K104" s="70" t="s">
        <v>6731</v>
      </c>
    </row>
    <row r="105" spans="1:11" ht="58" customHeight="1" x14ac:dyDescent="0.2">
      <c r="A105" s="71" t="s">
        <v>6732</v>
      </c>
      <c r="B105" s="71" t="s">
        <v>131</v>
      </c>
      <c r="C105" s="71" t="s">
        <v>6381</v>
      </c>
      <c r="D105" s="71"/>
      <c r="E105" s="71" t="s">
        <v>2703</v>
      </c>
      <c r="F105" s="71">
        <v>1589109</v>
      </c>
      <c r="G105" s="71" t="s">
        <v>6733</v>
      </c>
      <c r="H105" s="71" t="s">
        <v>6734</v>
      </c>
      <c r="I105" s="71" t="s">
        <v>6384</v>
      </c>
      <c r="J105" s="71" t="s">
        <v>6735</v>
      </c>
      <c r="K105" s="71" t="s">
        <v>6736</v>
      </c>
    </row>
    <row r="106" spans="1:11" ht="58" customHeight="1" x14ac:dyDescent="0.2">
      <c r="A106" s="70" t="s">
        <v>6737</v>
      </c>
      <c r="B106" s="70" t="s">
        <v>135</v>
      </c>
      <c r="C106" s="70" t="s">
        <v>6381</v>
      </c>
      <c r="D106" s="70"/>
      <c r="E106" s="70" t="s">
        <v>6469</v>
      </c>
      <c r="F106" s="70">
        <v>871052</v>
      </c>
      <c r="G106" s="70" t="s">
        <v>6738</v>
      </c>
      <c r="H106" s="70" t="s">
        <v>6739</v>
      </c>
      <c r="I106" s="70" t="s">
        <v>6384</v>
      </c>
      <c r="J106" s="70" t="s">
        <v>6740</v>
      </c>
      <c r="K106" s="70" t="s">
        <v>6741</v>
      </c>
    </row>
    <row r="107" spans="1:11" ht="58" customHeight="1" x14ac:dyDescent="0.2">
      <c r="A107" s="71" t="s">
        <v>6742</v>
      </c>
      <c r="B107" s="71" t="s">
        <v>135</v>
      </c>
      <c r="C107" s="71" t="s">
        <v>6381</v>
      </c>
      <c r="D107" s="71"/>
      <c r="E107" s="71" t="s">
        <v>6469</v>
      </c>
      <c r="F107" s="71">
        <v>920353</v>
      </c>
      <c r="G107" s="71" t="s">
        <v>6743</v>
      </c>
      <c r="H107" s="71" t="s">
        <v>6744</v>
      </c>
      <c r="I107" s="71" t="s">
        <v>6384</v>
      </c>
      <c r="J107" s="71" t="s">
        <v>6745</v>
      </c>
      <c r="K107" s="71" t="s">
        <v>6746</v>
      </c>
    </row>
    <row r="108" spans="1:11" ht="58" customHeight="1" x14ac:dyDescent="0.2">
      <c r="A108" s="70" t="s">
        <v>6747</v>
      </c>
      <c r="B108" s="70" t="s">
        <v>135</v>
      </c>
      <c r="C108" s="70" t="s">
        <v>6381</v>
      </c>
      <c r="D108" s="70"/>
      <c r="E108" s="70" t="s">
        <v>2703</v>
      </c>
      <c r="F108" s="70">
        <v>1064112</v>
      </c>
      <c r="G108" s="70" t="s">
        <v>6748</v>
      </c>
      <c r="H108" s="70" t="s">
        <v>6749</v>
      </c>
      <c r="I108" s="70" t="s">
        <v>6384</v>
      </c>
      <c r="J108" s="70" t="s">
        <v>6750</v>
      </c>
      <c r="K108" s="70" t="s">
        <v>6751</v>
      </c>
    </row>
    <row r="109" spans="1:11" ht="58" customHeight="1" x14ac:dyDescent="0.2">
      <c r="A109" s="71" t="s">
        <v>6752</v>
      </c>
      <c r="B109" s="71" t="s">
        <v>135</v>
      </c>
      <c r="C109" s="71" t="s">
        <v>6381</v>
      </c>
      <c r="D109" s="71"/>
      <c r="E109" s="71" t="s">
        <v>2703</v>
      </c>
      <c r="F109" s="71">
        <v>1393291</v>
      </c>
      <c r="G109" s="71" t="s">
        <v>6753</v>
      </c>
      <c r="H109" s="71" t="s">
        <v>6754</v>
      </c>
      <c r="I109" s="71" t="s">
        <v>6384</v>
      </c>
      <c r="J109" s="71" t="s">
        <v>6755</v>
      </c>
      <c r="K109" s="71" t="s">
        <v>6756</v>
      </c>
    </row>
    <row r="110" spans="1:11" ht="58" customHeight="1" x14ac:dyDescent="0.2">
      <c r="A110" s="70" t="s">
        <v>6757</v>
      </c>
      <c r="B110" s="70" t="s">
        <v>135</v>
      </c>
      <c r="C110" s="70" t="s">
        <v>6381</v>
      </c>
      <c r="D110" s="70"/>
      <c r="E110" s="70" t="s">
        <v>2703</v>
      </c>
      <c r="F110" s="70">
        <v>1440464</v>
      </c>
      <c r="G110" s="70" t="s">
        <v>6758</v>
      </c>
      <c r="H110" s="70" t="s">
        <v>6759</v>
      </c>
      <c r="I110" s="70" t="s">
        <v>6384</v>
      </c>
      <c r="J110" s="70" t="s">
        <v>6760</v>
      </c>
      <c r="K110" s="70" t="s">
        <v>6761</v>
      </c>
    </row>
    <row r="111" spans="1:11" ht="58" customHeight="1" x14ac:dyDescent="0.2">
      <c r="A111" s="71" t="s">
        <v>6762</v>
      </c>
      <c r="B111" s="71" t="s">
        <v>135</v>
      </c>
      <c r="C111" s="71" t="s">
        <v>6381</v>
      </c>
      <c r="D111" s="71"/>
      <c r="E111" s="71" t="s">
        <v>2703</v>
      </c>
      <c r="F111" s="71">
        <v>1441375</v>
      </c>
      <c r="G111" s="71" t="s">
        <v>6763</v>
      </c>
      <c r="H111" s="71" t="s">
        <v>6764</v>
      </c>
      <c r="I111" s="71" t="s">
        <v>6384</v>
      </c>
      <c r="J111" s="71" t="s">
        <v>6765</v>
      </c>
      <c r="K111" s="71" t="s">
        <v>6766</v>
      </c>
    </row>
    <row r="112" spans="1:11" ht="58" customHeight="1" x14ac:dyDescent="0.2">
      <c r="A112" s="70" t="s">
        <v>6767</v>
      </c>
      <c r="B112" s="70" t="s">
        <v>135</v>
      </c>
      <c r="C112" s="70" t="s">
        <v>6381</v>
      </c>
      <c r="D112" s="70"/>
      <c r="E112" s="70" t="s">
        <v>2726</v>
      </c>
      <c r="F112" s="70">
        <v>1461380</v>
      </c>
      <c r="G112" s="70" t="s">
        <v>6768</v>
      </c>
      <c r="H112" s="70" t="s">
        <v>6769</v>
      </c>
      <c r="I112" s="70" t="s">
        <v>6460</v>
      </c>
      <c r="J112" s="70" t="s">
        <v>6770</v>
      </c>
      <c r="K112" s="70" t="s">
        <v>6771</v>
      </c>
    </row>
    <row r="113" spans="1:11" ht="58" customHeight="1" x14ac:dyDescent="0.2">
      <c r="A113" s="71" t="s">
        <v>6772</v>
      </c>
      <c r="B113" s="71" t="s">
        <v>135</v>
      </c>
      <c r="C113" s="71" t="s">
        <v>6381</v>
      </c>
      <c r="D113" s="71"/>
      <c r="E113" s="71" t="s">
        <v>2703</v>
      </c>
      <c r="F113" s="71">
        <v>1520943</v>
      </c>
      <c r="G113" s="71" t="s">
        <v>6773</v>
      </c>
      <c r="H113" s="71" t="s">
        <v>6774</v>
      </c>
      <c r="I113" s="71" t="s">
        <v>6384</v>
      </c>
      <c r="J113" s="71" t="s">
        <v>6775</v>
      </c>
      <c r="K113" s="71" t="s">
        <v>6776</v>
      </c>
    </row>
    <row r="114" spans="1:11" ht="58" customHeight="1" x14ac:dyDescent="0.2">
      <c r="A114" s="70" t="s">
        <v>6777</v>
      </c>
      <c r="B114" s="70" t="s">
        <v>137</v>
      </c>
      <c r="C114" s="70" t="s">
        <v>6381</v>
      </c>
      <c r="D114" s="70"/>
      <c r="E114" s="70" t="s">
        <v>2703</v>
      </c>
      <c r="F114" s="70">
        <v>993127</v>
      </c>
      <c r="G114" s="70" t="s">
        <v>6778</v>
      </c>
      <c r="H114" s="70" t="s">
        <v>6779</v>
      </c>
      <c r="I114" s="70" t="s">
        <v>6384</v>
      </c>
      <c r="J114" s="70" t="s">
        <v>6780</v>
      </c>
      <c r="K114" s="70" t="s">
        <v>6781</v>
      </c>
    </row>
    <row r="115" spans="1:11" ht="58" customHeight="1" x14ac:dyDescent="0.2">
      <c r="A115" s="71" t="s">
        <v>6782</v>
      </c>
      <c r="B115" s="71" t="s">
        <v>137</v>
      </c>
      <c r="C115" s="71" t="s">
        <v>6381</v>
      </c>
      <c r="D115" s="71"/>
      <c r="E115" s="71" t="s">
        <v>2726</v>
      </c>
      <c r="F115" s="71">
        <v>1058293</v>
      </c>
      <c r="G115" s="71" t="s">
        <v>6783</v>
      </c>
      <c r="H115" s="71" t="s">
        <v>6784</v>
      </c>
      <c r="I115" s="71" t="s">
        <v>6384</v>
      </c>
      <c r="J115" s="71" t="s">
        <v>6785</v>
      </c>
      <c r="K115" s="71" t="s">
        <v>6786</v>
      </c>
    </row>
    <row r="116" spans="1:11" ht="58" customHeight="1" x14ac:dyDescent="0.2">
      <c r="A116" s="70" t="s">
        <v>6787</v>
      </c>
      <c r="B116" s="70" t="s">
        <v>137</v>
      </c>
      <c r="C116" s="70" t="s">
        <v>6381</v>
      </c>
      <c r="D116" s="70"/>
      <c r="E116" s="70" t="s">
        <v>2703</v>
      </c>
      <c r="F116" s="70">
        <v>1147526</v>
      </c>
      <c r="G116" s="70" t="s">
        <v>6788</v>
      </c>
      <c r="H116" s="70" t="s">
        <v>6789</v>
      </c>
      <c r="I116" s="70" t="s">
        <v>6384</v>
      </c>
      <c r="J116" s="70" t="s">
        <v>6790</v>
      </c>
      <c r="K116" s="70" t="s">
        <v>6791</v>
      </c>
    </row>
    <row r="117" spans="1:11" ht="58" customHeight="1" x14ac:dyDescent="0.2">
      <c r="A117" s="71" t="s">
        <v>6792</v>
      </c>
      <c r="B117" s="71" t="s">
        <v>137</v>
      </c>
      <c r="C117" s="71" t="s">
        <v>6381</v>
      </c>
      <c r="D117" s="71"/>
      <c r="E117" s="71" t="s">
        <v>2703</v>
      </c>
      <c r="F117" s="71">
        <v>1169450</v>
      </c>
      <c r="G117" s="71" t="s">
        <v>6793</v>
      </c>
      <c r="H117" s="71" t="s">
        <v>6794</v>
      </c>
      <c r="I117" s="71" t="s">
        <v>6384</v>
      </c>
      <c r="J117" s="71" t="s">
        <v>6795</v>
      </c>
      <c r="K117" s="71" t="s">
        <v>6796</v>
      </c>
    </row>
    <row r="118" spans="1:11" ht="58" customHeight="1" x14ac:dyDescent="0.2">
      <c r="A118" s="70" t="s">
        <v>6797</v>
      </c>
      <c r="B118" s="70" t="s">
        <v>137</v>
      </c>
      <c r="C118" s="70" t="s">
        <v>6381</v>
      </c>
      <c r="D118" s="70"/>
      <c r="E118" s="70" t="s">
        <v>2703</v>
      </c>
      <c r="F118" s="70">
        <v>1170350</v>
      </c>
      <c r="G118" s="70" t="s">
        <v>6798</v>
      </c>
      <c r="H118" s="70" t="s">
        <v>6799</v>
      </c>
      <c r="I118" s="70" t="s">
        <v>6384</v>
      </c>
      <c r="J118" s="70" t="s">
        <v>6800</v>
      </c>
      <c r="K118" s="70" t="s">
        <v>6801</v>
      </c>
    </row>
    <row r="119" spans="1:11" ht="58" customHeight="1" x14ac:dyDescent="0.2">
      <c r="A119" s="71" t="s">
        <v>6802</v>
      </c>
      <c r="B119" s="71" t="s">
        <v>137</v>
      </c>
      <c r="C119" s="71" t="s">
        <v>6381</v>
      </c>
      <c r="D119" s="71"/>
      <c r="E119" s="71" t="s">
        <v>2703</v>
      </c>
      <c r="F119" s="71">
        <v>1177443</v>
      </c>
      <c r="G119" s="71" t="s">
        <v>6803</v>
      </c>
      <c r="H119" s="71" t="s">
        <v>6804</v>
      </c>
      <c r="I119" s="71" t="s">
        <v>6384</v>
      </c>
      <c r="J119" s="71" t="s">
        <v>6805</v>
      </c>
      <c r="K119" s="71" t="s">
        <v>6806</v>
      </c>
    </row>
    <row r="120" spans="1:11" ht="58" customHeight="1" x14ac:dyDescent="0.2">
      <c r="A120" s="70" t="s">
        <v>6807</v>
      </c>
      <c r="B120" s="70" t="s">
        <v>137</v>
      </c>
      <c r="C120" s="70" t="s">
        <v>6381</v>
      </c>
      <c r="D120" s="70"/>
      <c r="E120" s="70" t="s">
        <v>2703</v>
      </c>
      <c r="F120" s="70">
        <v>1323928</v>
      </c>
      <c r="G120" s="70" t="s">
        <v>6808</v>
      </c>
      <c r="H120" s="70" t="s">
        <v>6809</v>
      </c>
      <c r="I120" s="70" t="s">
        <v>6384</v>
      </c>
      <c r="J120" s="70" t="s">
        <v>6810</v>
      </c>
      <c r="K120" s="70" t="s">
        <v>6811</v>
      </c>
    </row>
    <row r="121" spans="1:11" ht="58" customHeight="1" x14ac:dyDescent="0.2">
      <c r="A121" s="71" t="s">
        <v>6812</v>
      </c>
      <c r="B121" s="71" t="s">
        <v>137</v>
      </c>
      <c r="C121" s="71" t="s">
        <v>6381</v>
      </c>
      <c r="D121" s="71"/>
      <c r="E121" s="71" t="s">
        <v>2726</v>
      </c>
      <c r="F121" s="71">
        <v>1327416</v>
      </c>
      <c r="G121" s="71" t="s">
        <v>6813</v>
      </c>
      <c r="H121" s="71" t="s">
        <v>1293</v>
      </c>
      <c r="I121" s="71" t="s">
        <v>6384</v>
      </c>
      <c r="J121" s="71" t="s">
        <v>6814</v>
      </c>
      <c r="K121" s="71" t="s">
        <v>6815</v>
      </c>
    </row>
    <row r="122" spans="1:11" ht="58" customHeight="1" x14ac:dyDescent="0.2">
      <c r="A122" s="70" t="s">
        <v>6816</v>
      </c>
      <c r="B122" s="70" t="s">
        <v>137</v>
      </c>
      <c r="C122" s="70" t="s">
        <v>6381</v>
      </c>
      <c r="D122" s="70"/>
      <c r="E122" s="70" t="s">
        <v>2703</v>
      </c>
      <c r="F122" s="70">
        <v>1393995</v>
      </c>
      <c r="G122" s="70" t="s">
        <v>6817</v>
      </c>
      <c r="H122" s="70" t="s">
        <v>6818</v>
      </c>
      <c r="I122" s="70" t="s">
        <v>6384</v>
      </c>
      <c r="J122" s="70" t="s">
        <v>6819</v>
      </c>
      <c r="K122" s="70" t="s">
        <v>6820</v>
      </c>
    </row>
    <row r="123" spans="1:11" ht="58" customHeight="1" x14ac:dyDescent="0.2">
      <c r="A123" s="71" t="s">
        <v>6821</v>
      </c>
      <c r="B123" s="71" t="s">
        <v>137</v>
      </c>
      <c r="C123" s="71" t="s">
        <v>6381</v>
      </c>
      <c r="D123" s="71"/>
      <c r="E123" s="71" t="s">
        <v>2703</v>
      </c>
      <c r="F123" s="71">
        <v>1411918</v>
      </c>
      <c r="G123" s="71" t="s">
        <v>6822</v>
      </c>
      <c r="H123" s="71" t="s">
        <v>6823</v>
      </c>
      <c r="I123" s="71" t="s">
        <v>6384</v>
      </c>
      <c r="J123" s="71" t="s">
        <v>6824</v>
      </c>
      <c r="K123" s="71" t="s">
        <v>6825</v>
      </c>
    </row>
    <row r="124" spans="1:11" ht="58" customHeight="1" x14ac:dyDescent="0.2">
      <c r="A124" s="70" t="s">
        <v>6826</v>
      </c>
      <c r="B124" s="70" t="s">
        <v>137</v>
      </c>
      <c r="C124" s="70" t="s">
        <v>6381</v>
      </c>
      <c r="D124" s="70"/>
      <c r="E124" s="70" t="s">
        <v>2703</v>
      </c>
      <c r="F124" s="70">
        <v>1465718</v>
      </c>
      <c r="G124" s="70" t="s">
        <v>6827</v>
      </c>
      <c r="H124" s="70" t="s">
        <v>6828</v>
      </c>
      <c r="I124" s="70" t="s">
        <v>6384</v>
      </c>
      <c r="J124" s="70" t="s">
        <v>6829</v>
      </c>
      <c r="K124" s="70" t="s">
        <v>6830</v>
      </c>
    </row>
    <row r="125" spans="1:11" ht="58" customHeight="1" x14ac:dyDescent="0.2">
      <c r="A125" s="71" t="s">
        <v>6831</v>
      </c>
      <c r="B125" s="71" t="s">
        <v>137</v>
      </c>
      <c r="C125" s="71" t="s">
        <v>6381</v>
      </c>
      <c r="D125" s="71"/>
      <c r="E125" s="71" t="s">
        <v>2703</v>
      </c>
      <c r="F125" s="71">
        <v>1472522</v>
      </c>
      <c r="G125" s="71" t="s">
        <v>6832</v>
      </c>
      <c r="H125" s="71" t="s">
        <v>1300</v>
      </c>
      <c r="I125" s="71" t="s">
        <v>6460</v>
      </c>
      <c r="J125" s="71" t="s">
        <v>6833</v>
      </c>
      <c r="K125" s="71" t="s">
        <v>6834</v>
      </c>
    </row>
    <row r="126" spans="1:11" ht="58" customHeight="1" x14ac:dyDescent="0.2">
      <c r="A126" s="70" t="s">
        <v>6835</v>
      </c>
      <c r="B126" s="70" t="s">
        <v>140</v>
      </c>
      <c r="C126" s="70" t="s">
        <v>6381</v>
      </c>
      <c r="D126" s="70"/>
      <c r="E126" s="70" t="s">
        <v>6469</v>
      </c>
      <c r="F126" s="70">
        <v>916928</v>
      </c>
      <c r="G126" s="70" t="s">
        <v>6836</v>
      </c>
      <c r="H126" s="70" t="s">
        <v>6837</v>
      </c>
      <c r="I126" s="70" t="s">
        <v>6384</v>
      </c>
      <c r="J126" s="70" t="s">
        <v>6838</v>
      </c>
      <c r="K126" s="70" t="s">
        <v>6839</v>
      </c>
    </row>
    <row r="127" spans="1:11" ht="58" customHeight="1" x14ac:dyDescent="0.2">
      <c r="A127" s="71" t="s">
        <v>6840</v>
      </c>
      <c r="B127" s="71" t="s">
        <v>140</v>
      </c>
      <c r="C127" s="71" t="s">
        <v>6381</v>
      </c>
      <c r="D127" s="71"/>
      <c r="E127" s="71" t="s">
        <v>6469</v>
      </c>
      <c r="F127" s="71">
        <v>927464</v>
      </c>
      <c r="G127" s="71" t="s">
        <v>6841</v>
      </c>
      <c r="H127" s="71" t="s">
        <v>6842</v>
      </c>
      <c r="I127" s="71" t="s">
        <v>6384</v>
      </c>
      <c r="J127" s="71" t="s">
        <v>6843</v>
      </c>
      <c r="K127" s="71" t="s">
        <v>6844</v>
      </c>
    </row>
    <row r="128" spans="1:11" ht="58" customHeight="1" x14ac:dyDescent="0.2">
      <c r="A128" s="70" t="s">
        <v>6845</v>
      </c>
      <c r="B128" s="70" t="s">
        <v>140</v>
      </c>
      <c r="C128" s="70" t="s">
        <v>6381</v>
      </c>
      <c r="D128" s="70"/>
      <c r="E128" s="70" t="s">
        <v>2726</v>
      </c>
      <c r="F128" s="70">
        <v>932969</v>
      </c>
      <c r="G128" s="70" t="s">
        <v>6846</v>
      </c>
      <c r="H128" s="70" t="s">
        <v>6847</v>
      </c>
      <c r="I128" s="70" t="s">
        <v>6384</v>
      </c>
      <c r="J128" s="70" t="s">
        <v>6848</v>
      </c>
      <c r="K128" s="70" t="s">
        <v>6849</v>
      </c>
    </row>
    <row r="129" spans="1:11" ht="58" customHeight="1" x14ac:dyDescent="0.2">
      <c r="A129" s="71" t="s">
        <v>6850</v>
      </c>
      <c r="B129" s="71" t="s">
        <v>140</v>
      </c>
      <c r="C129" s="71" t="s">
        <v>6381</v>
      </c>
      <c r="D129" s="71"/>
      <c r="E129" s="71" t="s">
        <v>2703</v>
      </c>
      <c r="F129" s="71">
        <v>1114891</v>
      </c>
      <c r="G129" s="71" t="s">
        <v>6851</v>
      </c>
      <c r="H129" s="71" t="s">
        <v>6852</v>
      </c>
      <c r="I129" s="71" t="s">
        <v>6384</v>
      </c>
      <c r="J129" s="71" t="s">
        <v>6853</v>
      </c>
      <c r="K129" s="71" t="s">
        <v>6854</v>
      </c>
    </row>
    <row r="130" spans="1:11" ht="58" customHeight="1" x14ac:dyDescent="0.2">
      <c r="A130" s="70" t="s">
        <v>6855</v>
      </c>
      <c r="B130" s="70" t="s">
        <v>140</v>
      </c>
      <c r="C130" s="70" t="s">
        <v>6381</v>
      </c>
      <c r="D130" s="70"/>
      <c r="E130" s="70" t="s">
        <v>2703</v>
      </c>
      <c r="F130" s="70">
        <v>1168124</v>
      </c>
      <c r="G130" s="70" t="s">
        <v>6856</v>
      </c>
      <c r="H130" s="70" t="s">
        <v>6857</v>
      </c>
      <c r="I130" s="70" t="s">
        <v>6384</v>
      </c>
      <c r="J130" s="70" t="s">
        <v>6858</v>
      </c>
      <c r="K130" s="70" t="s">
        <v>6859</v>
      </c>
    </row>
    <row r="131" spans="1:11" ht="58" customHeight="1" x14ac:dyDescent="0.2">
      <c r="A131" s="71" t="s">
        <v>6860</v>
      </c>
      <c r="B131" s="71" t="s">
        <v>140</v>
      </c>
      <c r="C131" s="71" t="s">
        <v>6381</v>
      </c>
      <c r="D131" s="71"/>
      <c r="E131" s="71" t="s">
        <v>2726</v>
      </c>
      <c r="F131" s="71">
        <v>1173735</v>
      </c>
      <c r="G131" s="71" t="s">
        <v>6861</v>
      </c>
      <c r="H131" s="71" t="s">
        <v>6862</v>
      </c>
      <c r="I131" s="71" t="s">
        <v>6384</v>
      </c>
      <c r="J131" s="71" t="s">
        <v>6863</v>
      </c>
      <c r="K131" s="71" t="s">
        <v>6864</v>
      </c>
    </row>
    <row r="132" spans="1:11" ht="58" customHeight="1" x14ac:dyDescent="0.2">
      <c r="A132" s="70" t="s">
        <v>6865</v>
      </c>
      <c r="B132" s="70" t="s">
        <v>140</v>
      </c>
      <c r="C132" s="70" t="s">
        <v>6381</v>
      </c>
      <c r="D132" s="70"/>
      <c r="E132" s="70" t="s">
        <v>2703</v>
      </c>
      <c r="F132" s="70">
        <v>1232772</v>
      </c>
      <c r="G132" s="70" t="s">
        <v>6866</v>
      </c>
      <c r="H132" s="70" t="s">
        <v>6867</v>
      </c>
      <c r="I132" s="70" t="s">
        <v>6384</v>
      </c>
      <c r="J132" s="70" t="s">
        <v>6868</v>
      </c>
      <c r="K132" s="70" t="s">
        <v>6869</v>
      </c>
    </row>
    <row r="133" spans="1:11" ht="58" customHeight="1" x14ac:dyDescent="0.2">
      <c r="A133" s="71" t="s">
        <v>6870</v>
      </c>
      <c r="B133" s="71" t="s">
        <v>140</v>
      </c>
      <c r="C133" s="71" t="s">
        <v>6381</v>
      </c>
      <c r="D133" s="71"/>
      <c r="E133" s="71" t="s">
        <v>2703</v>
      </c>
      <c r="F133" s="71">
        <v>1256903</v>
      </c>
      <c r="G133" s="71" t="s">
        <v>6871</v>
      </c>
      <c r="H133" s="71" t="s">
        <v>6872</v>
      </c>
      <c r="I133" s="71" t="s">
        <v>6384</v>
      </c>
      <c r="J133" s="71" t="s">
        <v>6873</v>
      </c>
      <c r="K133" s="71" t="s">
        <v>6874</v>
      </c>
    </row>
    <row r="134" spans="1:11" ht="58" customHeight="1" x14ac:dyDescent="0.2">
      <c r="A134" s="70" t="s">
        <v>6875</v>
      </c>
      <c r="B134" s="70" t="s">
        <v>140</v>
      </c>
      <c r="C134" s="70" t="s">
        <v>6381</v>
      </c>
      <c r="D134" s="70"/>
      <c r="E134" s="70" t="s">
        <v>2726</v>
      </c>
      <c r="F134" s="70">
        <v>1258780</v>
      </c>
      <c r="G134" s="70" t="s">
        <v>6876</v>
      </c>
      <c r="H134" s="70" t="s">
        <v>6877</v>
      </c>
      <c r="I134" s="70" t="s">
        <v>6384</v>
      </c>
      <c r="J134" s="70" t="s">
        <v>6878</v>
      </c>
      <c r="K134" s="70" t="s">
        <v>6879</v>
      </c>
    </row>
    <row r="135" spans="1:11" ht="58" customHeight="1" x14ac:dyDescent="0.2">
      <c r="A135" s="71" t="s">
        <v>6880</v>
      </c>
      <c r="B135" s="71" t="s">
        <v>140</v>
      </c>
      <c r="C135" s="71" t="s">
        <v>6381</v>
      </c>
      <c r="D135" s="71"/>
      <c r="E135" s="71" t="s">
        <v>2703</v>
      </c>
      <c r="F135" s="71">
        <v>1312374</v>
      </c>
      <c r="G135" s="71" t="s">
        <v>6881</v>
      </c>
      <c r="H135" s="71" t="s">
        <v>6882</v>
      </c>
      <c r="I135" s="71" t="s">
        <v>6384</v>
      </c>
      <c r="J135" s="71" t="s">
        <v>6883</v>
      </c>
      <c r="K135" s="71" t="s">
        <v>6884</v>
      </c>
    </row>
    <row r="136" spans="1:11" ht="58" customHeight="1" x14ac:dyDescent="0.2">
      <c r="A136" s="70" t="s">
        <v>6885</v>
      </c>
      <c r="B136" s="70" t="s">
        <v>140</v>
      </c>
      <c r="C136" s="70" t="s">
        <v>6381</v>
      </c>
      <c r="D136" s="70"/>
      <c r="E136" s="70" t="s">
        <v>2703</v>
      </c>
      <c r="F136" s="70">
        <v>1334124</v>
      </c>
      <c r="G136" s="70" t="s">
        <v>6886</v>
      </c>
      <c r="H136" s="70" t="s">
        <v>1304</v>
      </c>
      <c r="I136" s="70" t="s">
        <v>6384</v>
      </c>
      <c r="J136" s="70" t="s">
        <v>6887</v>
      </c>
      <c r="K136" s="70" t="s">
        <v>6888</v>
      </c>
    </row>
    <row r="137" spans="1:11" ht="58" customHeight="1" x14ac:dyDescent="0.2">
      <c r="A137" s="71" t="s">
        <v>6889</v>
      </c>
      <c r="B137" s="71" t="s">
        <v>140</v>
      </c>
      <c r="C137" s="71" t="s">
        <v>6381</v>
      </c>
      <c r="D137" s="71"/>
      <c r="E137" s="71" t="s">
        <v>2703</v>
      </c>
      <c r="F137" s="71">
        <v>1400738</v>
      </c>
      <c r="G137" s="71" t="s">
        <v>6890</v>
      </c>
      <c r="H137" s="71" t="s">
        <v>6891</v>
      </c>
      <c r="I137" s="71" t="s">
        <v>6384</v>
      </c>
      <c r="J137" s="71" t="s">
        <v>6892</v>
      </c>
      <c r="K137" s="71" t="s">
        <v>6893</v>
      </c>
    </row>
    <row r="138" spans="1:11" ht="58" customHeight="1" x14ac:dyDescent="0.2">
      <c r="A138" s="70" t="s">
        <v>6894</v>
      </c>
      <c r="B138" s="70" t="s">
        <v>140</v>
      </c>
      <c r="C138" s="70" t="s">
        <v>6381</v>
      </c>
      <c r="D138" s="70"/>
      <c r="E138" s="70" t="s">
        <v>2726</v>
      </c>
      <c r="F138" s="70">
        <v>1411740</v>
      </c>
      <c r="G138" s="70" t="s">
        <v>6895</v>
      </c>
      <c r="H138" s="70" t="s">
        <v>6896</v>
      </c>
      <c r="I138" s="70" t="s">
        <v>6384</v>
      </c>
      <c r="J138" s="70" t="s">
        <v>6897</v>
      </c>
      <c r="K138" s="70" t="s">
        <v>6898</v>
      </c>
    </row>
    <row r="139" spans="1:11" ht="58" customHeight="1" x14ac:dyDescent="0.2">
      <c r="A139" s="71" t="s">
        <v>6899</v>
      </c>
      <c r="B139" s="71" t="s">
        <v>140</v>
      </c>
      <c r="C139" s="71" t="s">
        <v>6381</v>
      </c>
      <c r="D139" s="71"/>
      <c r="E139" s="71" t="s">
        <v>2703</v>
      </c>
      <c r="F139" s="71">
        <v>1423115</v>
      </c>
      <c r="G139" s="71" t="s">
        <v>6900</v>
      </c>
      <c r="H139" s="71" t="s">
        <v>1308</v>
      </c>
      <c r="I139" s="71" t="s">
        <v>6460</v>
      </c>
      <c r="J139" s="71" t="s">
        <v>6901</v>
      </c>
      <c r="K139" s="71" t="s">
        <v>6902</v>
      </c>
    </row>
    <row r="140" spans="1:11" ht="58" customHeight="1" x14ac:dyDescent="0.2">
      <c r="A140" s="70" t="s">
        <v>6903</v>
      </c>
      <c r="B140" s="70" t="s">
        <v>140</v>
      </c>
      <c r="C140" s="70" t="s">
        <v>6381</v>
      </c>
      <c r="D140" s="70"/>
      <c r="E140" s="70" t="s">
        <v>2703</v>
      </c>
      <c r="F140" s="70">
        <v>1482700</v>
      </c>
      <c r="G140" s="70" t="s">
        <v>6904</v>
      </c>
      <c r="H140" s="70" t="s">
        <v>6905</v>
      </c>
      <c r="I140" s="70" t="s">
        <v>6384</v>
      </c>
      <c r="J140" s="70" t="s">
        <v>6906</v>
      </c>
      <c r="K140" s="70" t="s">
        <v>6907</v>
      </c>
    </row>
    <row r="141" spans="1:11" ht="58" customHeight="1" x14ac:dyDescent="0.2">
      <c r="A141" s="71" t="s">
        <v>6908</v>
      </c>
      <c r="B141" s="71" t="s">
        <v>143</v>
      </c>
      <c r="C141" s="71" t="s">
        <v>6381</v>
      </c>
      <c r="D141" s="71"/>
      <c r="E141" s="71" t="s">
        <v>2703</v>
      </c>
      <c r="F141" s="71">
        <v>944826</v>
      </c>
      <c r="G141" s="71" t="s">
        <v>6909</v>
      </c>
      <c r="H141" s="71" t="s">
        <v>6910</v>
      </c>
      <c r="I141" s="71" t="s">
        <v>6384</v>
      </c>
      <c r="J141" s="71" t="s">
        <v>6911</v>
      </c>
      <c r="K141" s="71" t="s">
        <v>6912</v>
      </c>
    </row>
    <row r="142" spans="1:11" ht="58" customHeight="1" x14ac:dyDescent="0.2">
      <c r="A142" s="70" t="s">
        <v>6913</v>
      </c>
      <c r="B142" s="70" t="s">
        <v>143</v>
      </c>
      <c r="C142" s="70" t="s">
        <v>6381</v>
      </c>
      <c r="D142" s="70"/>
      <c r="E142" s="70" t="s">
        <v>2703</v>
      </c>
      <c r="F142" s="70">
        <v>964186</v>
      </c>
      <c r="G142" s="70" t="s">
        <v>6914</v>
      </c>
      <c r="H142" s="70" t="s">
        <v>6915</v>
      </c>
      <c r="I142" s="70" t="s">
        <v>6384</v>
      </c>
      <c r="J142" s="70" t="s">
        <v>6916</v>
      </c>
      <c r="K142" s="70" t="s">
        <v>6917</v>
      </c>
    </row>
    <row r="143" spans="1:11" ht="58" customHeight="1" x14ac:dyDescent="0.2">
      <c r="A143" s="71" t="s">
        <v>6918</v>
      </c>
      <c r="B143" s="71" t="s">
        <v>143</v>
      </c>
      <c r="C143" s="71" t="s">
        <v>6381</v>
      </c>
      <c r="D143" s="71"/>
      <c r="E143" s="71" t="s">
        <v>2703</v>
      </c>
      <c r="F143" s="71">
        <v>965643</v>
      </c>
      <c r="G143" s="71" t="s">
        <v>6919</v>
      </c>
      <c r="H143" s="71" t="s">
        <v>6920</v>
      </c>
      <c r="I143" s="71" t="s">
        <v>6384</v>
      </c>
      <c r="J143" s="71" t="s">
        <v>6921</v>
      </c>
      <c r="K143" s="71" t="s">
        <v>6922</v>
      </c>
    </row>
    <row r="144" spans="1:11" ht="58" customHeight="1" x14ac:dyDescent="0.2">
      <c r="A144" s="70" t="s">
        <v>6923</v>
      </c>
      <c r="B144" s="70" t="s">
        <v>143</v>
      </c>
      <c r="C144" s="70" t="s">
        <v>6381</v>
      </c>
      <c r="D144" s="70"/>
      <c r="E144" s="70" t="s">
        <v>2703</v>
      </c>
      <c r="F144" s="70">
        <v>989571</v>
      </c>
      <c r="G144" s="70" t="s">
        <v>6924</v>
      </c>
      <c r="H144" s="70" t="s">
        <v>6925</v>
      </c>
      <c r="I144" s="70" t="s">
        <v>6384</v>
      </c>
      <c r="J144" s="70" t="s">
        <v>6926</v>
      </c>
      <c r="K144" s="70" t="s">
        <v>6927</v>
      </c>
    </row>
    <row r="145" spans="1:11" ht="58" customHeight="1" x14ac:dyDescent="0.2">
      <c r="A145" s="71" t="s">
        <v>6928</v>
      </c>
      <c r="B145" s="71" t="s">
        <v>143</v>
      </c>
      <c r="C145" s="71" t="s">
        <v>6381</v>
      </c>
      <c r="D145" s="71"/>
      <c r="E145" s="71" t="s">
        <v>2703</v>
      </c>
      <c r="F145" s="71">
        <v>1076413</v>
      </c>
      <c r="G145" s="71" t="s">
        <v>6929</v>
      </c>
      <c r="H145" s="71" t="s">
        <v>6930</v>
      </c>
      <c r="I145" s="71" t="s">
        <v>6384</v>
      </c>
      <c r="J145" s="71" t="s">
        <v>6931</v>
      </c>
      <c r="K145" s="71" t="s">
        <v>6932</v>
      </c>
    </row>
    <row r="146" spans="1:11" ht="58" customHeight="1" x14ac:dyDescent="0.2">
      <c r="A146" s="70" t="s">
        <v>6933</v>
      </c>
      <c r="B146" s="70" t="s">
        <v>143</v>
      </c>
      <c r="C146" s="70" t="s">
        <v>6381</v>
      </c>
      <c r="D146" s="70"/>
      <c r="E146" s="70" t="s">
        <v>2703</v>
      </c>
      <c r="F146" s="70">
        <v>1093177</v>
      </c>
      <c r="G146" s="70" t="s">
        <v>6934</v>
      </c>
      <c r="H146" s="70" t="s">
        <v>6935</v>
      </c>
      <c r="I146" s="70" t="s">
        <v>6384</v>
      </c>
      <c r="J146" s="70" t="s">
        <v>6936</v>
      </c>
      <c r="K146" s="70" t="s">
        <v>6937</v>
      </c>
    </row>
    <row r="147" spans="1:11" ht="58" customHeight="1" x14ac:dyDescent="0.2">
      <c r="A147" s="71" t="s">
        <v>6938</v>
      </c>
      <c r="B147" s="71" t="s">
        <v>143</v>
      </c>
      <c r="C147" s="71" t="s">
        <v>6381</v>
      </c>
      <c r="D147" s="71"/>
      <c r="E147" s="71" t="s">
        <v>2703</v>
      </c>
      <c r="F147" s="71">
        <v>1174210</v>
      </c>
      <c r="G147" s="71" t="s">
        <v>6939</v>
      </c>
      <c r="H147" s="71" t="s">
        <v>6940</v>
      </c>
      <c r="I147" s="71" t="s">
        <v>6384</v>
      </c>
      <c r="J147" s="71" t="s">
        <v>6941</v>
      </c>
      <c r="K147" s="71" t="s">
        <v>6942</v>
      </c>
    </row>
    <row r="148" spans="1:11" ht="58" customHeight="1" x14ac:dyDescent="0.2">
      <c r="A148" s="70" t="s">
        <v>6943</v>
      </c>
      <c r="B148" s="70" t="s">
        <v>143</v>
      </c>
      <c r="C148" s="70" t="s">
        <v>6381</v>
      </c>
      <c r="D148" s="70"/>
      <c r="E148" s="70" t="s">
        <v>2726</v>
      </c>
      <c r="F148" s="70">
        <v>1182238</v>
      </c>
      <c r="G148" s="70" t="s">
        <v>6944</v>
      </c>
      <c r="H148" s="70" t="s">
        <v>6945</v>
      </c>
      <c r="I148" s="70" t="s">
        <v>6384</v>
      </c>
      <c r="J148" s="70" t="s">
        <v>6946</v>
      </c>
      <c r="K148" s="70" t="s">
        <v>6947</v>
      </c>
    </row>
    <row r="149" spans="1:11" ht="58" customHeight="1" x14ac:dyDescent="0.2">
      <c r="A149" s="71" t="s">
        <v>6948</v>
      </c>
      <c r="B149" s="71" t="s">
        <v>143</v>
      </c>
      <c r="C149" s="71" t="s">
        <v>6381</v>
      </c>
      <c r="D149" s="71"/>
      <c r="E149" s="71" t="s">
        <v>2726</v>
      </c>
      <c r="F149" s="71">
        <v>1182357</v>
      </c>
      <c r="G149" s="71" t="s">
        <v>6949</v>
      </c>
      <c r="H149" s="71" t="s">
        <v>6950</v>
      </c>
      <c r="I149" s="71" t="s">
        <v>6384</v>
      </c>
      <c r="J149" s="71" t="s">
        <v>6951</v>
      </c>
      <c r="K149" s="71" t="s">
        <v>6952</v>
      </c>
    </row>
    <row r="150" spans="1:11" ht="58" customHeight="1" x14ac:dyDescent="0.2">
      <c r="A150" s="70" t="s">
        <v>6953</v>
      </c>
      <c r="B150" s="70" t="s">
        <v>143</v>
      </c>
      <c r="C150" s="70" t="s">
        <v>6381</v>
      </c>
      <c r="D150" s="70"/>
      <c r="E150" s="70" t="s">
        <v>2703</v>
      </c>
      <c r="F150" s="70">
        <v>1266793</v>
      </c>
      <c r="G150" s="70" t="s">
        <v>6954</v>
      </c>
      <c r="H150" s="70" t="s">
        <v>6955</v>
      </c>
      <c r="I150" s="70" t="s">
        <v>6384</v>
      </c>
      <c r="J150" s="70" t="s">
        <v>6956</v>
      </c>
      <c r="K150" s="70" t="s">
        <v>6957</v>
      </c>
    </row>
    <row r="151" spans="1:11" ht="58" customHeight="1" x14ac:dyDescent="0.2">
      <c r="A151" s="71" t="s">
        <v>6958</v>
      </c>
      <c r="B151" s="71" t="s">
        <v>143</v>
      </c>
      <c r="C151" s="71" t="s">
        <v>6381</v>
      </c>
      <c r="D151" s="71"/>
      <c r="E151" s="71" t="s">
        <v>2703</v>
      </c>
      <c r="F151" s="71">
        <v>1279421</v>
      </c>
      <c r="G151" s="71" t="s">
        <v>6959</v>
      </c>
      <c r="H151" s="71" t="s">
        <v>6960</v>
      </c>
      <c r="I151" s="71" t="s">
        <v>6384</v>
      </c>
      <c r="J151" s="71" t="s">
        <v>6961</v>
      </c>
      <c r="K151" s="71" t="s">
        <v>6962</v>
      </c>
    </row>
    <row r="152" spans="1:11" ht="58" customHeight="1" x14ac:dyDescent="0.2">
      <c r="A152" s="70" t="s">
        <v>6963</v>
      </c>
      <c r="B152" s="70" t="s">
        <v>143</v>
      </c>
      <c r="C152" s="70" t="s">
        <v>6381</v>
      </c>
      <c r="D152" s="70"/>
      <c r="E152" s="70" t="s">
        <v>2703</v>
      </c>
      <c r="F152" s="70">
        <v>1297220</v>
      </c>
      <c r="G152" s="70" t="s">
        <v>6964</v>
      </c>
      <c r="H152" s="70" t="s">
        <v>6965</v>
      </c>
      <c r="I152" s="70" t="s">
        <v>6384</v>
      </c>
      <c r="J152" s="70" t="s">
        <v>6966</v>
      </c>
      <c r="K152" s="70" t="s">
        <v>6967</v>
      </c>
    </row>
    <row r="153" spans="1:11" ht="58" customHeight="1" x14ac:dyDescent="0.2">
      <c r="A153" s="71" t="s">
        <v>6968</v>
      </c>
      <c r="B153" s="71" t="s">
        <v>143</v>
      </c>
      <c r="C153" s="71" t="s">
        <v>6381</v>
      </c>
      <c r="D153" s="71"/>
      <c r="E153" s="71" t="s">
        <v>2703</v>
      </c>
      <c r="F153" s="71">
        <v>1315123</v>
      </c>
      <c r="G153" s="71" t="s">
        <v>6969</v>
      </c>
      <c r="H153" s="71" t="s">
        <v>6970</v>
      </c>
      <c r="I153" s="71" t="s">
        <v>6384</v>
      </c>
      <c r="J153" s="71" t="s">
        <v>6971</v>
      </c>
      <c r="K153" s="71" t="s">
        <v>6972</v>
      </c>
    </row>
    <row r="154" spans="1:11" ht="58" customHeight="1" x14ac:dyDescent="0.2">
      <c r="A154" s="70" t="s">
        <v>6973</v>
      </c>
      <c r="B154" s="70" t="s">
        <v>143</v>
      </c>
      <c r="C154" s="70" t="s">
        <v>6381</v>
      </c>
      <c r="D154" s="70"/>
      <c r="E154" s="70" t="s">
        <v>2703</v>
      </c>
      <c r="F154" s="70">
        <v>1389158</v>
      </c>
      <c r="G154" s="70" t="s">
        <v>6974</v>
      </c>
      <c r="H154" s="70" t="s">
        <v>6975</v>
      </c>
      <c r="I154" s="70" t="s">
        <v>6384</v>
      </c>
      <c r="J154" s="70" t="s">
        <v>6976</v>
      </c>
      <c r="K154" s="70" t="s">
        <v>6977</v>
      </c>
    </row>
    <row r="155" spans="1:11" ht="58" customHeight="1" x14ac:dyDescent="0.2">
      <c r="A155" s="71" t="s">
        <v>6978</v>
      </c>
      <c r="B155" s="71" t="s">
        <v>143</v>
      </c>
      <c r="C155" s="71" t="s">
        <v>6381</v>
      </c>
      <c r="D155" s="71"/>
      <c r="E155" s="71" t="s">
        <v>2726</v>
      </c>
      <c r="F155" s="71">
        <v>1389607</v>
      </c>
      <c r="G155" s="71" t="s">
        <v>6979</v>
      </c>
      <c r="H155" s="71" t="s">
        <v>6980</v>
      </c>
      <c r="I155" s="71" t="s">
        <v>6460</v>
      </c>
      <c r="J155" s="71" t="s">
        <v>6981</v>
      </c>
      <c r="K155" s="71" t="s">
        <v>6982</v>
      </c>
    </row>
    <row r="156" spans="1:11" ht="58" customHeight="1" x14ac:dyDescent="0.2">
      <c r="A156" s="70" t="s">
        <v>6983</v>
      </c>
      <c r="B156" s="70" t="s">
        <v>20</v>
      </c>
      <c r="C156" s="70" t="s">
        <v>6381</v>
      </c>
      <c r="D156" s="70"/>
      <c r="E156" s="70" t="s">
        <v>2703</v>
      </c>
      <c r="F156" s="70">
        <v>967447</v>
      </c>
      <c r="G156" s="70" t="s">
        <v>6984</v>
      </c>
      <c r="H156" s="70" t="s">
        <v>6985</v>
      </c>
      <c r="I156" s="70" t="s">
        <v>6384</v>
      </c>
      <c r="J156" s="70" t="s">
        <v>6986</v>
      </c>
      <c r="K156" s="70" t="s">
        <v>6987</v>
      </c>
    </row>
    <row r="157" spans="1:11" ht="58" customHeight="1" x14ac:dyDescent="0.2">
      <c r="A157" s="71" t="s">
        <v>6988</v>
      </c>
      <c r="B157" s="71" t="s">
        <v>20</v>
      </c>
      <c r="C157" s="71" t="s">
        <v>6381</v>
      </c>
      <c r="D157" s="71"/>
      <c r="E157" s="71" t="s">
        <v>2726</v>
      </c>
      <c r="F157" s="71">
        <v>977045</v>
      </c>
      <c r="G157" s="71" t="s">
        <v>6989</v>
      </c>
      <c r="H157" s="71" t="s">
        <v>6990</v>
      </c>
      <c r="I157" s="71" t="s">
        <v>6384</v>
      </c>
      <c r="J157" s="71" t="s">
        <v>6991</v>
      </c>
      <c r="K157" s="71" t="s">
        <v>6992</v>
      </c>
    </row>
    <row r="158" spans="1:11" ht="58" customHeight="1" x14ac:dyDescent="0.2">
      <c r="A158" s="70" t="s">
        <v>6993</v>
      </c>
      <c r="B158" s="70" t="s">
        <v>20</v>
      </c>
      <c r="C158" s="70" t="s">
        <v>6381</v>
      </c>
      <c r="D158" s="70"/>
      <c r="E158" s="70" t="s">
        <v>2703</v>
      </c>
      <c r="F158" s="70">
        <v>1007228</v>
      </c>
      <c r="G158" s="70" t="s">
        <v>6994</v>
      </c>
      <c r="H158" s="70" t="s">
        <v>6995</v>
      </c>
      <c r="I158" s="70" t="s">
        <v>6384</v>
      </c>
      <c r="J158" s="70" t="s">
        <v>6996</v>
      </c>
      <c r="K158" s="70" t="s">
        <v>6997</v>
      </c>
    </row>
    <row r="159" spans="1:11" ht="58" customHeight="1" x14ac:dyDescent="0.2">
      <c r="A159" s="71" t="s">
        <v>6998</v>
      </c>
      <c r="B159" s="71" t="s">
        <v>20</v>
      </c>
      <c r="C159" s="71" t="s">
        <v>6381</v>
      </c>
      <c r="D159" s="71"/>
      <c r="E159" s="71" t="s">
        <v>2703</v>
      </c>
      <c r="F159" s="71">
        <v>1116308</v>
      </c>
      <c r="G159" s="71" t="s">
        <v>6999</v>
      </c>
      <c r="H159" s="71" t="s">
        <v>7000</v>
      </c>
      <c r="I159" s="71" t="s">
        <v>6384</v>
      </c>
      <c r="J159" s="71" t="s">
        <v>7001</v>
      </c>
      <c r="K159" s="71" t="s">
        <v>7002</v>
      </c>
    </row>
    <row r="160" spans="1:11" ht="58" customHeight="1" x14ac:dyDescent="0.2">
      <c r="A160" s="70" t="s">
        <v>7003</v>
      </c>
      <c r="B160" s="70" t="s">
        <v>20</v>
      </c>
      <c r="C160" s="70" t="s">
        <v>6381</v>
      </c>
      <c r="D160" s="70"/>
      <c r="E160" s="70" t="s">
        <v>2703</v>
      </c>
      <c r="F160" s="70">
        <v>1159936</v>
      </c>
      <c r="G160" s="70" t="s">
        <v>7004</v>
      </c>
      <c r="H160" s="70" t="s">
        <v>3126</v>
      </c>
      <c r="I160" s="70" t="s">
        <v>6384</v>
      </c>
      <c r="J160" s="70" t="s">
        <v>7005</v>
      </c>
      <c r="K160" s="70" t="s">
        <v>7006</v>
      </c>
    </row>
    <row r="161" spans="1:11" ht="58" customHeight="1" x14ac:dyDescent="0.2">
      <c r="A161" s="71" t="s">
        <v>7007</v>
      </c>
      <c r="B161" s="71" t="s">
        <v>20</v>
      </c>
      <c r="C161" s="71" t="s">
        <v>6381</v>
      </c>
      <c r="D161" s="71"/>
      <c r="E161" s="71" t="s">
        <v>2703</v>
      </c>
      <c r="F161" s="71">
        <v>1443078</v>
      </c>
      <c r="G161" s="71" t="s">
        <v>7008</v>
      </c>
      <c r="H161" s="71" t="s">
        <v>7009</v>
      </c>
      <c r="I161" s="71" t="s">
        <v>6384</v>
      </c>
      <c r="J161" s="71" t="s">
        <v>7010</v>
      </c>
      <c r="K161" s="71" t="s">
        <v>7011</v>
      </c>
    </row>
    <row r="162" spans="1:11" ht="58" customHeight="1" x14ac:dyDescent="0.2">
      <c r="A162" s="70" t="s">
        <v>7012</v>
      </c>
      <c r="B162" s="70" t="s">
        <v>20</v>
      </c>
      <c r="C162" s="70" t="s">
        <v>6381</v>
      </c>
      <c r="D162" s="70"/>
      <c r="E162" s="70" t="s">
        <v>2726</v>
      </c>
      <c r="F162" s="70">
        <v>1444154</v>
      </c>
      <c r="G162" s="70" t="s">
        <v>7013</v>
      </c>
      <c r="H162" s="70" t="s">
        <v>303</v>
      </c>
      <c r="I162" s="70" t="s">
        <v>6460</v>
      </c>
      <c r="J162" s="70" t="s">
        <v>7014</v>
      </c>
      <c r="K162" s="70" t="s">
        <v>7015</v>
      </c>
    </row>
    <row r="163" spans="1:11" ht="58" customHeight="1" x14ac:dyDescent="0.2">
      <c r="A163" s="71" t="s">
        <v>7016</v>
      </c>
      <c r="B163" s="71" t="s">
        <v>151</v>
      </c>
      <c r="C163" s="71" t="s">
        <v>6381</v>
      </c>
      <c r="D163" s="71"/>
      <c r="E163" s="71" t="s">
        <v>6469</v>
      </c>
      <c r="F163" s="71">
        <v>914148</v>
      </c>
      <c r="G163" s="71" t="s">
        <v>7017</v>
      </c>
      <c r="H163" s="71" t="s">
        <v>7018</v>
      </c>
      <c r="I163" s="71" t="s">
        <v>6384</v>
      </c>
      <c r="J163" s="71" t="s">
        <v>7019</v>
      </c>
      <c r="K163" s="71" t="s">
        <v>7020</v>
      </c>
    </row>
    <row r="164" spans="1:11" ht="58" customHeight="1" x14ac:dyDescent="0.2">
      <c r="A164" s="70" t="s">
        <v>7021</v>
      </c>
      <c r="B164" s="70" t="s">
        <v>151</v>
      </c>
      <c r="C164" s="70" t="s">
        <v>6381</v>
      </c>
      <c r="D164" s="70"/>
      <c r="E164" s="70" t="s">
        <v>7022</v>
      </c>
      <c r="F164" s="70">
        <v>924696</v>
      </c>
      <c r="G164" s="70" t="s">
        <v>7023</v>
      </c>
      <c r="H164" s="70" t="s">
        <v>7024</v>
      </c>
      <c r="I164" s="70" t="s">
        <v>6384</v>
      </c>
      <c r="J164" s="70" t="s">
        <v>7025</v>
      </c>
      <c r="K164" s="70" t="s">
        <v>7026</v>
      </c>
    </row>
    <row r="165" spans="1:11" ht="58" customHeight="1" x14ac:dyDescent="0.2">
      <c r="A165" s="71" t="s">
        <v>7027</v>
      </c>
      <c r="B165" s="71" t="s">
        <v>151</v>
      </c>
      <c r="C165" s="71" t="s">
        <v>6381</v>
      </c>
      <c r="D165" s="71"/>
      <c r="E165" s="71" t="s">
        <v>2703</v>
      </c>
      <c r="F165" s="71">
        <v>1047157</v>
      </c>
      <c r="G165" s="71" t="s">
        <v>7028</v>
      </c>
      <c r="H165" s="71" t="s">
        <v>7029</v>
      </c>
      <c r="I165" s="71" t="s">
        <v>6384</v>
      </c>
      <c r="J165" s="71" t="s">
        <v>7030</v>
      </c>
      <c r="K165" s="71" t="s">
        <v>7031</v>
      </c>
    </row>
    <row r="166" spans="1:11" ht="58" customHeight="1" x14ac:dyDescent="0.2">
      <c r="A166" s="70" t="s">
        <v>7032</v>
      </c>
      <c r="B166" s="70" t="s">
        <v>151</v>
      </c>
      <c r="C166" s="70" t="s">
        <v>6381</v>
      </c>
      <c r="D166" s="70"/>
      <c r="E166" s="70" t="s">
        <v>2726</v>
      </c>
      <c r="F166" s="70">
        <v>1049062</v>
      </c>
      <c r="G166" s="70" t="s">
        <v>7033</v>
      </c>
      <c r="H166" s="70" t="s">
        <v>7034</v>
      </c>
      <c r="I166" s="70" t="s">
        <v>6384</v>
      </c>
      <c r="J166" s="70" t="s">
        <v>7035</v>
      </c>
      <c r="K166" s="70" t="s">
        <v>7036</v>
      </c>
    </row>
    <row r="167" spans="1:11" ht="58" customHeight="1" x14ac:dyDescent="0.2">
      <c r="A167" s="71" t="s">
        <v>7037</v>
      </c>
      <c r="B167" s="71" t="s">
        <v>151</v>
      </c>
      <c r="C167" s="71" t="s">
        <v>6381</v>
      </c>
      <c r="D167" s="71"/>
      <c r="E167" s="71" t="s">
        <v>2726</v>
      </c>
      <c r="F167" s="71">
        <v>1053521</v>
      </c>
      <c r="G167" s="71" t="s">
        <v>7038</v>
      </c>
      <c r="H167" s="71" t="s">
        <v>7039</v>
      </c>
      <c r="I167" s="71" t="s">
        <v>6384</v>
      </c>
      <c r="J167" s="71" t="s">
        <v>7040</v>
      </c>
      <c r="K167" s="71" t="s">
        <v>7041</v>
      </c>
    </row>
    <row r="168" spans="1:11" ht="58" customHeight="1" x14ac:dyDescent="0.2">
      <c r="A168" s="70" t="s">
        <v>7042</v>
      </c>
      <c r="B168" s="70" t="s">
        <v>151</v>
      </c>
      <c r="C168" s="70" t="s">
        <v>6381</v>
      </c>
      <c r="D168" s="70"/>
      <c r="E168" s="70" t="s">
        <v>2703</v>
      </c>
      <c r="F168" s="70">
        <v>1115958</v>
      </c>
      <c r="G168" s="70" t="s">
        <v>7043</v>
      </c>
      <c r="H168" s="70" t="s">
        <v>7044</v>
      </c>
      <c r="I168" s="70" t="s">
        <v>6384</v>
      </c>
      <c r="J168" s="70" t="s">
        <v>7045</v>
      </c>
      <c r="K168" s="70" t="s">
        <v>7046</v>
      </c>
    </row>
    <row r="169" spans="1:11" ht="58" customHeight="1" x14ac:dyDescent="0.2">
      <c r="A169" s="71" t="s">
        <v>7047</v>
      </c>
      <c r="B169" s="71" t="s">
        <v>151</v>
      </c>
      <c r="C169" s="71" t="s">
        <v>6381</v>
      </c>
      <c r="D169" s="71"/>
      <c r="E169" s="71" t="s">
        <v>2726</v>
      </c>
      <c r="F169" s="71">
        <v>1136577</v>
      </c>
      <c r="G169" s="71" t="s">
        <v>7048</v>
      </c>
      <c r="H169" s="71" t="s">
        <v>7049</v>
      </c>
      <c r="I169" s="71" t="s">
        <v>6384</v>
      </c>
      <c r="J169" s="71" t="s">
        <v>7050</v>
      </c>
      <c r="K169" s="71" t="s">
        <v>7051</v>
      </c>
    </row>
    <row r="170" spans="1:11" ht="58" customHeight="1" x14ac:dyDescent="0.2">
      <c r="A170" s="70" t="s">
        <v>7052</v>
      </c>
      <c r="B170" s="70" t="s">
        <v>151</v>
      </c>
      <c r="C170" s="70" t="s">
        <v>6381</v>
      </c>
      <c r="D170" s="70"/>
      <c r="E170" s="70" t="s">
        <v>2703</v>
      </c>
      <c r="F170" s="70">
        <v>1203308</v>
      </c>
      <c r="G170" s="70" t="s">
        <v>7053</v>
      </c>
      <c r="H170" s="70" t="s">
        <v>7054</v>
      </c>
      <c r="I170" s="70" t="s">
        <v>6384</v>
      </c>
      <c r="J170" s="70" t="s">
        <v>7055</v>
      </c>
      <c r="K170" s="70" t="s">
        <v>7056</v>
      </c>
    </row>
    <row r="171" spans="1:11" ht="58" customHeight="1" x14ac:dyDescent="0.2">
      <c r="A171" s="71" t="s">
        <v>7057</v>
      </c>
      <c r="B171" s="71" t="s">
        <v>151</v>
      </c>
      <c r="C171" s="71" t="s">
        <v>6381</v>
      </c>
      <c r="D171" s="71"/>
      <c r="E171" s="71" t="s">
        <v>2703</v>
      </c>
      <c r="F171" s="71">
        <v>1343229</v>
      </c>
      <c r="G171" s="71" t="s">
        <v>7058</v>
      </c>
      <c r="H171" s="71" t="s">
        <v>7059</v>
      </c>
      <c r="I171" s="71" t="s">
        <v>6384</v>
      </c>
      <c r="J171" s="71" t="s">
        <v>7060</v>
      </c>
      <c r="K171" s="71" t="s">
        <v>7061</v>
      </c>
    </row>
    <row r="172" spans="1:11" ht="58" customHeight="1" x14ac:dyDescent="0.2">
      <c r="A172" s="70" t="s">
        <v>7062</v>
      </c>
      <c r="B172" s="70" t="s">
        <v>151</v>
      </c>
      <c r="C172" s="70" t="s">
        <v>6381</v>
      </c>
      <c r="D172" s="70"/>
      <c r="E172" s="70" t="s">
        <v>2726</v>
      </c>
      <c r="F172" s="70">
        <v>1352980</v>
      </c>
      <c r="G172" s="70" t="s">
        <v>7063</v>
      </c>
      <c r="H172" s="70" t="s">
        <v>1334</v>
      </c>
      <c r="I172" s="70" t="s">
        <v>6384</v>
      </c>
      <c r="J172" s="70" t="s">
        <v>7064</v>
      </c>
      <c r="K172" s="70" t="s">
        <v>7065</v>
      </c>
    </row>
    <row r="173" spans="1:11" ht="58" customHeight="1" x14ac:dyDescent="0.2">
      <c r="A173" s="71" t="s">
        <v>7066</v>
      </c>
      <c r="B173" s="71" t="s">
        <v>151</v>
      </c>
      <c r="C173" s="71" t="s">
        <v>6381</v>
      </c>
      <c r="D173" s="71"/>
      <c r="E173" s="71" t="s">
        <v>2726</v>
      </c>
      <c r="F173" s="71">
        <v>1362888</v>
      </c>
      <c r="G173" s="71" t="s">
        <v>7067</v>
      </c>
      <c r="H173" s="71" t="s">
        <v>7068</v>
      </c>
      <c r="I173" s="71" t="s">
        <v>6384</v>
      </c>
      <c r="J173" s="71" t="s">
        <v>7069</v>
      </c>
      <c r="K173" s="71" t="s">
        <v>7070</v>
      </c>
    </row>
    <row r="174" spans="1:11" ht="58" customHeight="1" x14ac:dyDescent="0.2">
      <c r="A174" s="70" t="s">
        <v>7071</v>
      </c>
      <c r="B174" s="70" t="s">
        <v>151</v>
      </c>
      <c r="C174" s="70" t="s">
        <v>6381</v>
      </c>
      <c r="D174" s="70"/>
      <c r="E174" s="70" t="s">
        <v>2703</v>
      </c>
      <c r="F174" s="70">
        <v>1378204</v>
      </c>
      <c r="G174" s="70" t="s">
        <v>7072</v>
      </c>
      <c r="H174" s="70" t="s">
        <v>7073</v>
      </c>
      <c r="I174" s="70" t="s">
        <v>6384</v>
      </c>
      <c r="J174" s="70" t="s">
        <v>7074</v>
      </c>
      <c r="K174" s="70" t="s">
        <v>7075</v>
      </c>
    </row>
    <row r="175" spans="1:11" ht="58" customHeight="1" x14ac:dyDescent="0.2">
      <c r="A175" s="71" t="s">
        <v>7076</v>
      </c>
      <c r="B175" s="71" t="s">
        <v>151</v>
      </c>
      <c r="C175" s="71" t="s">
        <v>6381</v>
      </c>
      <c r="D175" s="71"/>
      <c r="E175" s="71" t="s">
        <v>2703</v>
      </c>
      <c r="F175" s="71">
        <v>1482306</v>
      </c>
      <c r="G175" s="71" t="s">
        <v>7077</v>
      </c>
      <c r="H175" s="71" t="s">
        <v>1339</v>
      </c>
      <c r="I175" s="71" t="s">
        <v>6460</v>
      </c>
      <c r="J175" s="71" t="s">
        <v>7078</v>
      </c>
      <c r="K175" s="71" t="s">
        <v>7079</v>
      </c>
    </row>
    <row r="176" spans="1:11" ht="58" customHeight="1" x14ac:dyDescent="0.2">
      <c r="A176" s="70" t="s">
        <v>7080</v>
      </c>
      <c r="B176" s="70" t="s">
        <v>151</v>
      </c>
      <c r="C176" s="70" t="s">
        <v>6381</v>
      </c>
      <c r="D176" s="70"/>
      <c r="E176" s="70" t="s">
        <v>2703</v>
      </c>
      <c r="F176" s="70">
        <v>1523599</v>
      </c>
      <c r="G176" s="70" t="s">
        <v>7081</v>
      </c>
      <c r="H176" s="70" t="s">
        <v>7082</v>
      </c>
      <c r="I176" s="70" t="s">
        <v>6384</v>
      </c>
      <c r="J176" s="70" t="s">
        <v>7083</v>
      </c>
      <c r="K176" s="70" t="s">
        <v>7084</v>
      </c>
    </row>
    <row r="177" spans="1:11" ht="58" customHeight="1" x14ac:dyDescent="0.2">
      <c r="A177" s="71" t="s">
        <v>7085</v>
      </c>
      <c r="B177" s="71" t="s">
        <v>151</v>
      </c>
      <c r="C177" s="71" t="s">
        <v>6381</v>
      </c>
      <c r="D177" s="71"/>
      <c r="E177" s="71" t="s">
        <v>2703</v>
      </c>
      <c r="F177" s="71">
        <v>1581623</v>
      </c>
      <c r="G177" s="71" t="s">
        <v>7086</v>
      </c>
      <c r="H177" s="71" t="s">
        <v>7087</v>
      </c>
      <c r="I177" s="71" t="s">
        <v>6384</v>
      </c>
      <c r="J177" s="71" t="s">
        <v>7088</v>
      </c>
      <c r="K177" s="71" t="s">
        <v>7089</v>
      </c>
    </row>
    <row r="178" spans="1:11" ht="58" customHeight="1" x14ac:dyDescent="0.2">
      <c r="A178" s="70" t="s">
        <v>7090</v>
      </c>
      <c r="B178" s="70" t="s">
        <v>151</v>
      </c>
      <c r="C178" s="70" t="s">
        <v>6381</v>
      </c>
      <c r="D178" s="70"/>
      <c r="E178" s="70" t="s">
        <v>2726</v>
      </c>
      <c r="F178" s="70">
        <v>1582056</v>
      </c>
      <c r="G178" s="70" t="s">
        <v>7091</v>
      </c>
      <c r="H178" s="70" t="s">
        <v>7092</v>
      </c>
      <c r="I178" s="70" t="s">
        <v>6384</v>
      </c>
      <c r="J178" s="70" t="s">
        <v>7093</v>
      </c>
      <c r="K178" s="70" t="s">
        <v>7094</v>
      </c>
    </row>
    <row r="179" spans="1:11" ht="58" customHeight="1" x14ac:dyDescent="0.2">
      <c r="A179" s="71" t="s">
        <v>7095</v>
      </c>
      <c r="B179" s="71" t="s">
        <v>157</v>
      </c>
      <c r="C179" s="71" t="s">
        <v>6381</v>
      </c>
      <c r="D179" s="71"/>
      <c r="E179" s="71" t="s">
        <v>2703</v>
      </c>
      <c r="F179" s="71">
        <v>1065843</v>
      </c>
      <c r="G179" s="71" t="s">
        <v>7096</v>
      </c>
      <c r="H179" s="71" t="s">
        <v>7097</v>
      </c>
      <c r="I179" s="71" t="s">
        <v>6384</v>
      </c>
      <c r="J179" s="71" t="s">
        <v>7098</v>
      </c>
      <c r="K179" s="71" t="s">
        <v>7099</v>
      </c>
    </row>
    <row r="180" spans="1:11" ht="58" customHeight="1" x14ac:dyDescent="0.2">
      <c r="A180" s="70" t="s">
        <v>7100</v>
      </c>
      <c r="B180" s="70" t="s">
        <v>157</v>
      </c>
      <c r="C180" s="70" t="s">
        <v>6381</v>
      </c>
      <c r="D180" s="70"/>
      <c r="E180" s="70" t="s">
        <v>2726</v>
      </c>
      <c r="F180" s="70">
        <v>1071071</v>
      </c>
      <c r="G180" s="70" t="s">
        <v>7101</v>
      </c>
      <c r="H180" s="70" t="s">
        <v>7102</v>
      </c>
      <c r="I180" s="70" t="s">
        <v>6384</v>
      </c>
      <c r="J180" s="70" t="s">
        <v>7103</v>
      </c>
      <c r="K180" s="70" t="s">
        <v>7104</v>
      </c>
    </row>
    <row r="181" spans="1:11" ht="58" customHeight="1" x14ac:dyDescent="0.2">
      <c r="A181" s="71" t="s">
        <v>7105</v>
      </c>
      <c r="B181" s="71" t="s">
        <v>157</v>
      </c>
      <c r="C181" s="71" t="s">
        <v>6381</v>
      </c>
      <c r="D181" s="71"/>
      <c r="E181" s="71" t="s">
        <v>2703</v>
      </c>
      <c r="F181" s="71">
        <v>1074438</v>
      </c>
      <c r="G181" s="71" t="s">
        <v>7106</v>
      </c>
      <c r="H181" s="71" t="s">
        <v>7107</v>
      </c>
      <c r="I181" s="71" t="s">
        <v>6384</v>
      </c>
      <c r="J181" s="71" t="s">
        <v>7108</v>
      </c>
      <c r="K181" s="71" t="s">
        <v>7109</v>
      </c>
    </row>
    <row r="182" spans="1:11" ht="58" customHeight="1" x14ac:dyDescent="0.2">
      <c r="A182" s="70" t="s">
        <v>7110</v>
      </c>
      <c r="B182" s="70" t="s">
        <v>157</v>
      </c>
      <c r="C182" s="70" t="s">
        <v>6381</v>
      </c>
      <c r="D182" s="70"/>
      <c r="E182" s="70" t="s">
        <v>2703</v>
      </c>
      <c r="F182" s="70">
        <v>1296243</v>
      </c>
      <c r="G182" s="70" t="s">
        <v>7111</v>
      </c>
      <c r="H182" s="70" t="s">
        <v>7112</v>
      </c>
      <c r="I182" s="70" t="s">
        <v>6384</v>
      </c>
      <c r="J182" s="70" t="s">
        <v>7113</v>
      </c>
      <c r="K182" s="70" t="s">
        <v>7114</v>
      </c>
    </row>
    <row r="183" spans="1:11" ht="58" customHeight="1" x14ac:dyDescent="0.2">
      <c r="A183" s="71" t="s">
        <v>7115</v>
      </c>
      <c r="B183" s="71" t="s">
        <v>157</v>
      </c>
      <c r="C183" s="71" t="s">
        <v>6381</v>
      </c>
      <c r="D183" s="71"/>
      <c r="E183" s="71" t="s">
        <v>2703</v>
      </c>
      <c r="F183" s="71">
        <v>1390696</v>
      </c>
      <c r="G183" s="71" t="s">
        <v>7116</v>
      </c>
      <c r="H183" s="71" t="s">
        <v>7117</v>
      </c>
      <c r="I183" s="71" t="s">
        <v>6384</v>
      </c>
      <c r="J183" s="71" t="s">
        <v>7118</v>
      </c>
      <c r="K183" s="71" t="s">
        <v>7119</v>
      </c>
    </row>
    <row r="184" spans="1:11" ht="58" customHeight="1" x14ac:dyDescent="0.2">
      <c r="A184" s="70" t="s">
        <v>7120</v>
      </c>
      <c r="B184" s="70" t="s">
        <v>157</v>
      </c>
      <c r="C184" s="70" t="s">
        <v>6381</v>
      </c>
      <c r="D184" s="70"/>
      <c r="E184" s="70" t="s">
        <v>2726</v>
      </c>
      <c r="F184" s="70">
        <v>1391437</v>
      </c>
      <c r="G184" s="70" t="s">
        <v>7121</v>
      </c>
      <c r="H184" s="70" t="s">
        <v>7122</v>
      </c>
      <c r="I184" s="70" t="s">
        <v>6384</v>
      </c>
      <c r="J184" s="70" t="s">
        <v>7123</v>
      </c>
      <c r="K184" s="70" t="s">
        <v>7124</v>
      </c>
    </row>
    <row r="185" spans="1:11" ht="58" customHeight="1" x14ac:dyDescent="0.2">
      <c r="A185" s="71" t="s">
        <v>7125</v>
      </c>
      <c r="B185" s="71" t="s">
        <v>157</v>
      </c>
      <c r="C185" s="71" t="s">
        <v>6381</v>
      </c>
      <c r="D185" s="71"/>
      <c r="E185" s="71" t="s">
        <v>2703</v>
      </c>
      <c r="F185" s="71">
        <v>1393004</v>
      </c>
      <c r="G185" s="71" t="s">
        <v>7126</v>
      </c>
      <c r="H185" s="71" t="s">
        <v>7127</v>
      </c>
      <c r="I185" s="71" t="s">
        <v>6460</v>
      </c>
      <c r="J185" s="71" t="s">
        <v>7128</v>
      </c>
      <c r="K185" s="71" t="s">
        <v>7129</v>
      </c>
    </row>
    <row r="186" spans="1:11" ht="58" customHeight="1" x14ac:dyDescent="0.2">
      <c r="A186" s="70" t="s">
        <v>7130</v>
      </c>
      <c r="B186" s="70" t="s">
        <v>157</v>
      </c>
      <c r="C186" s="70" t="s">
        <v>6381</v>
      </c>
      <c r="D186" s="70"/>
      <c r="E186" s="70" t="s">
        <v>2703</v>
      </c>
      <c r="F186" s="70">
        <v>1509579</v>
      </c>
      <c r="G186" s="70" t="s">
        <v>7131</v>
      </c>
      <c r="H186" s="70" t="s">
        <v>7132</v>
      </c>
      <c r="I186" s="70" t="s">
        <v>6384</v>
      </c>
      <c r="J186" s="70" t="s">
        <v>7133</v>
      </c>
      <c r="K186" s="70" t="s">
        <v>7134</v>
      </c>
    </row>
    <row r="187" spans="1:11" ht="58" customHeight="1" x14ac:dyDescent="0.2">
      <c r="A187" s="71" t="s">
        <v>7135</v>
      </c>
      <c r="B187" s="71" t="s">
        <v>159</v>
      </c>
      <c r="C187" s="71" t="s">
        <v>6381</v>
      </c>
      <c r="D187" s="71"/>
      <c r="E187" s="71" t="s">
        <v>7022</v>
      </c>
      <c r="F187" s="71">
        <v>864736</v>
      </c>
      <c r="G187" s="71" t="s">
        <v>7136</v>
      </c>
      <c r="H187" s="71" t="s">
        <v>7137</v>
      </c>
      <c r="I187" s="71" t="s">
        <v>6384</v>
      </c>
      <c r="J187" s="71" t="s">
        <v>7138</v>
      </c>
      <c r="K187" s="71" t="s">
        <v>7139</v>
      </c>
    </row>
    <row r="188" spans="1:11" ht="58" customHeight="1" x14ac:dyDescent="0.2">
      <c r="A188" s="70" t="s">
        <v>7140</v>
      </c>
      <c r="B188" s="70" t="s">
        <v>159</v>
      </c>
      <c r="C188" s="70" t="s">
        <v>6381</v>
      </c>
      <c r="D188" s="70"/>
      <c r="E188" s="70" t="s">
        <v>6469</v>
      </c>
      <c r="F188" s="70">
        <v>872897</v>
      </c>
      <c r="G188" s="70" t="s">
        <v>7141</v>
      </c>
      <c r="H188" s="70" t="s">
        <v>7142</v>
      </c>
      <c r="I188" s="70" t="s">
        <v>6384</v>
      </c>
      <c r="J188" s="70" t="s">
        <v>7143</v>
      </c>
      <c r="K188" s="70" t="s">
        <v>7144</v>
      </c>
    </row>
    <row r="189" spans="1:11" ht="58" customHeight="1" x14ac:dyDescent="0.2">
      <c r="A189" s="71" t="s">
        <v>7145</v>
      </c>
      <c r="B189" s="71" t="s">
        <v>159</v>
      </c>
      <c r="C189" s="71" t="s">
        <v>6381</v>
      </c>
      <c r="D189" s="71"/>
      <c r="E189" s="71" t="s">
        <v>2703</v>
      </c>
      <c r="F189" s="71">
        <v>936330</v>
      </c>
      <c r="G189" s="71" t="s">
        <v>7146</v>
      </c>
      <c r="H189" s="71" t="s">
        <v>7147</v>
      </c>
      <c r="I189" s="71" t="s">
        <v>6384</v>
      </c>
      <c r="J189" s="71" t="s">
        <v>7148</v>
      </c>
      <c r="K189" s="71" t="s">
        <v>7149</v>
      </c>
    </row>
    <row r="190" spans="1:11" ht="58" customHeight="1" x14ac:dyDescent="0.2">
      <c r="A190" s="70" t="s">
        <v>7150</v>
      </c>
      <c r="B190" s="70" t="s">
        <v>159</v>
      </c>
      <c r="C190" s="70" t="s">
        <v>6381</v>
      </c>
      <c r="D190" s="70"/>
      <c r="E190" s="70" t="s">
        <v>2703</v>
      </c>
      <c r="F190" s="70">
        <v>1004599</v>
      </c>
      <c r="G190" s="70" t="s">
        <v>7151</v>
      </c>
      <c r="H190" s="70" t="s">
        <v>7152</v>
      </c>
      <c r="I190" s="70" t="s">
        <v>6384</v>
      </c>
      <c r="J190" s="70" t="s">
        <v>7153</v>
      </c>
      <c r="K190" s="70" t="s">
        <v>7154</v>
      </c>
    </row>
    <row r="191" spans="1:11" ht="58" customHeight="1" x14ac:dyDescent="0.2">
      <c r="A191" s="71" t="s">
        <v>7155</v>
      </c>
      <c r="B191" s="71" t="s">
        <v>159</v>
      </c>
      <c r="C191" s="71" t="s">
        <v>6381</v>
      </c>
      <c r="D191" s="71"/>
      <c r="E191" s="71" t="s">
        <v>2726</v>
      </c>
      <c r="F191" s="71">
        <v>1035576</v>
      </c>
      <c r="G191" s="71" t="s">
        <v>7156</v>
      </c>
      <c r="H191" s="71" t="s">
        <v>7157</v>
      </c>
      <c r="I191" s="71" t="s">
        <v>6384</v>
      </c>
      <c r="J191" s="71" t="s">
        <v>7158</v>
      </c>
      <c r="K191" s="71" t="s">
        <v>7159</v>
      </c>
    </row>
    <row r="192" spans="1:11" ht="58" customHeight="1" x14ac:dyDescent="0.2">
      <c r="A192" s="70" t="s">
        <v>7160</v>
      </c>
      <c r="B192" s="70" t="s">
        <v>159</v>
      </c>
      <c r="C192" s="70" t="s">
        <v>6381</v>
      </c>
      <c r="D192" s="70"/>
      <c r="E192" s="70" t="s">
        <v>2703</v>
      </c>
      <c r="F192" s="70">
        <v>1069049</v>
      </c>
      <c r="G192" s="70" t="s">
        <v>7161</v>
      </c>
      <c r="H192" s="70" t="s">
        <v>7162</v>
      </c>
      <c r="I192" s="70" t="s">
        <v>6384</v>
      </c>
      <c r="J192" s="70" t="s">
        <v>7163</v>
      </c>
      <c r="K192" s="70" t="s">
        <v>7164</v>
      </c>
    </row>
    <row r="193" spans="1:11" ht="58" customHeight="1" x14ac:dyDescent="0.2">
      <c r="A193" s="71" t="s">
        <v>7165</v>
      </c>
      <c r="B193" s="71" t="s">
        <v>159</v>
      </c>
      <c r="C193" s="71" t="s">
        <v>6381</v>
      </c>
      <c r="D193" s="71"/>
      <c r="E193" s="71" t="s">
        <v>2703</v>
      </c>
      <c r="F193" s="71">
        <v>1077102</v>
      </c>
      <c r="G193" s="71" t="s">
        <v>7166</v>
      </c>
      <c r="H193" s="71" t="s">
        <v>7167</v>
      </c>
      <c r="I193" s="71" t="s">
        <v>6384</v>
      </c>
      <c r="J193" s="71" t="s">
        <v>7168</v>
      </c>
      <c r="K193" s="71" t="s">
        <v>7169</v>
      </c>
    </row>
    <row r="194" spans="1:11" ht="58" customHeight="1" x14ac:dyDescent="0.2">
      <c r="A194" s="70" t="s">
        <v>7170</v>
      </c>
      <c r="B194" s="70" t="s">
        <v>159</v>
      </c>
      <c r="C194" s="70" t="s">
        <v>6381</v>
      </c>
      <c r="D194" s="70"/>
      <c r="E194" s="70" t="s">
        <v>2726</v>
      </c>
      <c r="F194" s="70">
        <v>1085402</v>
      </c>
      <c r="G194" s="70" t="s">
        <v>7171</v>
      </c>
      <c r="H194" s="70" t="s">
        <v>7172</v>
      </c>
      <c r="I194" s="70" t="s">
        <v>6384</v>
      </c>
      <c r="J194" s="70" t="s">
        <v>7173</v>
      </c>
      <c r="K194" s="70" t="s">
        <v>7174</v>
      </c>
    </row>
    <row r="195" spans="1:11" ht="58" customHeight="1" x14ac:dyDescent="0.2">
      <c r="A195" s="71" t="s">
        <v>7175</v>
      </c>
      <c r="B195" s="71" t="s">
        <v>159</v>
      </c>
      <c r="C195" s="71" t="s">
        <v>6381</v>
      </c>
      <c r="D195" s="71"/>
      <c r="E195" s="71" t="s">
        <v>2726</v>
      </c>
      <c r="F195" s="71">
        <v>1086722</v>
      </c>
      <c r="G195" s="71" t="s">
        <v>7176</v>
      </c>
      <c r="H195" s="71" t="s">
        <v>7177</v>
      </c>
      <c r="I195" s="71" t="s">
        <v>6384</v>
      </c>
      <c r="J195" s="71" t="s">
        <v>7178</v>
      </c>
      <c r="K195" s="71" t="s">
        <v>7179</v>
      </c>
    </row>
    <row r="196" spans="1:11" ht="58" customHeight="1" x14ac:dyDescent="0.2">
      <c r="A196" s="70" t="s">
        <v>7180</v>
      </c>
      <c r="B196" s="70" t="s">
        <v>159</v>
      </c>
      <c r="C196" s="70" t="s">
        <v>6381</v>
      </c>
      <c r="D196" s="70"/>
      <c r="E196" s="70" t="s">
        <v>2703</v>
      </c>
      <c r="F196" s="70">
        <v>1103274</v>
      </c>
      <c r="G196" s="70" t="s">
        <v>7181</v>
      </c>
      <c r="H196" s="70" t="s">
        <v>7182</v>
      </c>
      <c r="I196" s="70" t="s">
        <v>6384</v>
      </c>
      <c r="J196" s="70" t="s">
        <v>7183</v>
      </c>
      <c r="K196" s="70" t="s">
        <v>7184</v>
      </c>
    </row>
    <row r="197" spans="1:11" ht="58" customHeight="1" x14ac:dyDescent="0.2">
      <c r="A197" s="71" t="s">
        <v>7185</v>
      </c>
      <c r="B197" s="71" t="s">
        <v>159</v>
      </c>
      <c r="C197" s="71" t="s">
        <v>6381</v>
      </c>
      <c r="D197" s="71"/>
      <c r="E197" s="71" t="s">
        <v>2726</v>
      </c>
      <c r="F197" s="71">
        <v>1103341</v>
      </c>
      <c r="G197" s="71" t="s">
        <v>7186</v>
      </c>
      <c r="H197" s="71" t="s">
        <v>1355</v>
      </c>
      <c r="I197" s="71" t="s">
        <v>6384</v>
      </c>
      <c r="J197" s="71" t="s">
        <v>7187</v>
      </c>
      <c r="K197" s="71" t="s">
        <v>7188</v>
      </c>
    </row>
    <row r="198" spans="1:11" ht="58" customHeight="1" x14ac:dyDescent="0.2">
      <c r="A198" s="70" t="s">
        <v>7189</v>
      </c>
      <c r="B198" s="70" t="s">
        <v>159</v>
      </c>
      <c r="C198" s="70" t="s">
        <v>6381</v>
      </c>
      <c r="D198" s="70"/>
      <c r="E198" s="70" t="s">
        <v>2703</v>
      </c>
      <c r="F198" s="70">
        <v>1113897</v>
      </c>
      <c r="G198" s="70" t="s">
        <v>7190</v>
      </c>
      <c r="H198" s="70" t="s">
        <v>7191</v>
      </c>
      <c r="I198" s="70" t="s">
        <v>6384</v>
      </c>
      <c r="J198" s="70" t="s">
        <v>7192</v>
      </c>
      <c r="K198" s="70" t="s">
        <v>7193</v>
      </c>
    </row>
    <row r="199" spans="1:11" ht="58" customHeight="1" x14ac:dyDescent="0.2">
      <c r="A199" s="71" t="s">
        <v>7194</v>
      </c>
      <c r="B199" s="71" t="s">
        <v>159</v>
      </c>
      <c r="C199" s="71" t="s">
        <v>6381</v>
      </c>
      <c r="D199" s="71"/>
      <c r="E199" s="71" t="s">
        <v>2726</v>
      </c>
      <c r="F199" s="71">
        <v>1145823</v>
      </c>
      <c r="G199" s="71" t="s">
        <v>7195</v>
      </c>
      <c r="H199" s="71" t="s">
        <v>7196</v>
      </c>
      <c r="I199" s="71" t="s">
        <v>6384</v>
      </c>
      <c r="J199" s="71" t="s">
        <v>7197</v>
      </c>
      <c r="K199" s="71" t="s">
        <v>7198</v>
      </c>
    </row>
    <row r="200" spans="1:11" ht="58" customHeight="1" x14ac:dyDescent="0.2">
      <c r="A200" s="70" t="s">
        <v>7199</v>
      </c>
      <c r="B200" s="70" t="s">
        <v>159</v>
      </c>
      <c r="C200" s="70" t="s">
        <v>6381</v>
      </c>
      <c r="D200" s="70"/>
      <c r="E200" s="70" t="s">
        <v>2703</v>
      </c>
      <c r="F200" s="70">
        <v>1268159</v>
      </c>
      <c r="G200" s="70" t="s">
        <v>7200</v>
      </c>
      <c r="H200" s="70" t="s">
        <v>7201</v>
      </c>
      <c r="I200" s="70" t="s">
        <v>6384</v>
      </c>
      <c r="J200" s="70" t="s">
        <v>7202</v>
      </c>
      <c r="K200" s="70" t="s">
        <v>7203</v>
      </c>
    </row>
    <row r="201" spans="1:11" ht="58" customHeight="1" x14ac:dyDescent="0.2">
      <c r="A201" s="71" t="s">
        <v>7204</v>
      </c>
      <c r="B201" s="71" t="s">
        <v>159</v>
      </c>
      <c r="C201" s="71" t="s">
        <v>6381</v>
      </c>
      <c r="D201" s="71"/>
      <c r="E201" s="71" t="s">
        <v>2726</v>
      </c>
      <c r="F201" s="71">
        <v>1276377</v>
      </c>
      <c r="G201" s="71" t="s">
        <v>7205</v>
      </c>
      <c r="H201" s="71" t="s">
        <v>7206</v>
      </c>
      <c r="I201" s="71" t="s">
        <v>6384</v>
      </c>
      <c r="J201" s="71" t="s">
        <v>7207</v>
      </c>
      <c r="K201" s="71" t="s">
        <v>7208</v>
      </c>
    </row>
    <row r="202" spans="1:11" ht="58" customHeight="1" x14ac:dyDescent="0.2">
      <c r="A202" s="70" t="s">
        <v>7209</v>
      </c>
      <c r="B202" s="70" t="s">
        <v>159</v>
      </c>
      <c r="C202" s="70" t="s">
        <v>6381</v>
      </c>
      <c r="D202" s="70"/>
      <c r="E202" s="70" t="s">
        <v>2703</v>
      </c>
      <c r="F202" s="70">
        <v>1284069</v>
      </c>
      <c r="G202" s="70" t="s">
        <v>7210</v>
      </c>
      <c r="H202" s="70" t="s">
        <v>7211</v>
      </c>
      <c r="I202" s="70" t="s">
        <v>6384</v>
      </c>
      <c r="J202" s="70" t="s">
        <v>7212</v>
      </c>
      <c r="K202" s="70" t="s">
        <v>7213</v>
      </c>
    </row>
    <row r="203" spans="1:11" ht="58" customHeight="1" x14ac:dyDescent="0.2">
      <c r="A203" s="71" t="s">
        <v>7214</v>
      </c>
      <c r="B203" s="71" t="s">
        <v>159</v>
      </c>
      <c r="C203" s="71" t="s">
        <v>6381</v>
      </c>
      <c r="D203" s="71"/>
      <c r="E203" s="71" t="s">
        <v>2703</v>
      </c>
      <c r="F203" s="71">
        <v>1309408</v>
      </c>
      <c r="G203" s="71" t="s">
        <v>7215</v>
      </c>
      <c r="H203" s="71" t="s">
        <v>7216</v>
      </c>
      <c r="I203" s="71" t="s">
        <v>6384</v>
      </c>
      <c r="J203" s="71" t="s">
        <v>7217</v>
      </c>
      <c r="K203" s="71" t="s">
        <v>7218</v>
      </c>
    </row>
    <row r="204" spans="1:11" ht="58" customHeight="1" x14ac:dyDescent="0.2">
      <c r="A204" s="70" t="s">
        <v>7219</v>
      </c>
      <c r="B204" s="70" t="s">
        <v>159</v>
      </c>
      <c r="C204" s="70" t="s">
        <v>6381</v>
      </c>
      <c r="D204" s="70"/>
      <c r="E204" s="70" t="s">
        <v>2703</v>
      </c>
      <c r="F204" s="70">
        <v>1320931</v>
      </c>
      <c r="G204" s="70" t="s">
        <v>7220</v>
      </c>
      <c r="H204" s="70" t="s">
        <v>1359</v>
      </c>
      <c r="I204" s="70" t="s">
        <v>6460</v>
      </c>
      <c r="J204" s="70" t="s">
        <v>7221</v>
      </c>
      <c r="K204" s="70" t="s">
        <v>7222</v>
      </c>
    </row>
    <row r="205" spans="1:11" ht="58" customHeight="1" x14ac:dyDescent="0.2">
      <c r="A205" s="71" t="s">
        <v>7223</v>
      </c>
      <c r="B205" s="71" t="s">
        <v>159</v>
      </c>
      <c r="C205" s="71" t="s">
        <v>6381</v>
      </c>
      <c r="D205" s="71"/>
      <c r="E205" s="71" t="s">
        <v>2703</v>
      </c>
      <c r="F205" s="71">
        <v>1387666</v>
      </c>
      <c r="G205" s="71" t="s">
        <v>7224</v>
      </c>
      <c r="H205" s="71" t="s">
        <v>7225</v>
      </c>
      <c r="I205" s="71" t="s">
        <v>6384</v>
      </c>
      <c r="J205" s="71" t="s">
        <v>7226</v>
      </c>
      <c r="K205" s="71" t="s">
        <v>7227</v>
      </c>
    </row>
    <row r="206" spans="1:11" ht="58" customHeight="1" x14ac:dyDescent="0.2">
      <c r="A206" s="70" t="s">
        <v>7228</v>
      </c>
      <c r="B206" s="70" t="s">
        <v>159</v>
      </c>
      <c r="C206" s="70" t="s">
        <v>6381</v>
      </c>
      <c r="D206" s="70"/>
      <c r="E206" s="70" t="s">
        <v>2726</v>
      </c>
      <c r="F206" s="70">
        <v>1388381</v>
      </c>
      <c r="G206" s="70" t="s">
        <v>7229</v>
      </c>
      <c r="H206" s="70" t="s">
        <v>7230</v>
      </c>
      <c r="I206" s="70" t="s">
        <v>6384</v>
      </c>
      <c r="J206" s="70" t="s">
        <v>7231</v>
      </c>
      <c r="K206" s="70" t="s">
        <v>7232</v>
      </c>
    </row>
    <row r="207" spans="1:11" ht="58" customHeight="1" x14ac:dyDescent="0.2">
      <c r="A207" s="71" t="s">
        <v>7233</v>
      </c>
      <c r="B207" s="71" t="s">
        <v>159</v>
      </c>
      <c r="C207" s="71" t="s">
        <v>6381</v>
      </c>
      <c r="D207" s="71"/>
      <c r="E207" s="71" t="s">
        <v>2726</v>
      </c>
      <c r="F207" s="71">
        <v>1389745</v>
      </c>
      <c r="G207" s="71" t="s">
        <v>7234</v>
      </c>
      <c r="H207" s="71" t="s">
        <v>7235</v>
      </c>
      <c r="I207" s="71" t="s">
        <v>6384</v>
      </c>
      <c r="J207" s="71" t="s">
        <v>7236</v>
      </c>
      <c r="K207" s="71" t="s">
        <v>7237</v>
      </c>
    </row>
    <row r="208" spans="1:11" ht="58" customHeight="1" x14ac:dyDescent="0.2">
      <c r="A208" s="70" t="s">
        <v>7238</v>
      </c>
      <c r="B208" s="70" t="s">
        <v>159</v>
      </c>
      <c r="C208" s="70" t="s">
        <v>6381</v>
      </c>
      <c r="D208" s="70"/>
      <c r="E208" s="70" t="s">
        <v>2726</v>
      </c>
      <c r="F208" s="70">
        <v>1403080</v>
      </c>
      <c r="G208" s="70" t="s">
        <v>7239</v>
      </c>
      <c r="H208" s="70" t="s">
        <v>7240</v>
      </c>
      <c r="I208" s="70" t="s">
        <v>6384</v>
      </c>
      <c r="J208" s="70" t="s">
        <v>7241</v>
      </c>
      <c r="K208" s="70" t="s">
        <v>7242</v>
      </c>
    </row>
    <row r="209" spans="1:11" ht="58" customHeight="1" x14ac:dyDescent="0.2">
      <c r="A209" s="71" t="s">
        <v>7243</v>
      </c>
      <c r="B209" s="71" t="s">
        <v>162</v>
      </c>
      <c r="C209" s="71" t="s">
        <v>6381</v>
      </c>
      <c r="D209" s="71"/>
      <c r="E209" s="71" t="s">
        <v>6469</v>
      </c>
      <c r="F209" s="71">
        <v>899109</v>
      </c>
      <c r="G209" s="71" t="s">
        <v>7244</v>
      </c>
      <c r="H209" s="71" t="s">
        <v>7245</v>
      </c>
      <c r="I209" s="71" t="s">
        <v>6384</v>
      </c>
      <c r="J209" s="71" t="s">
        <v>7246</v>
      </c>
      <c r="K209" s="71" t="s">
        <v>7247</v>
      </c>
    </row>
    <row r="210" spans="1:11" ht="58" customHeight="1" x14ac:dyDescent="0.2">
      <c r="A210" s="70" t="s">
        <v>7248</v>
      </c>
      <c r="B210" s="70" t="s">
        <v>162</v>
      </c>
      <c r="C210" s="70" t="s">
        <v>6381</v>
      </c>
      <c r="D210" s="70"/>
      <c r="E210" s="70" t="s">
        <v>2703</v>
      </c>
      <c r="F210" s="70">
        <v>947535</v>
      </c>
      <c r="G210" s="70" t="s">
        <v>7249</v>
      </c>
      <c r="H210" s="70" t="s">
        <v>7250</v>
      </c>
      <c r="I210" s="70" t="s">
        <v>6384</v>
      </c>
      <c r="J210" s="70" t="s">
        <v>7251</v>
      </c>
      <c r="K210" s="70" t="s">
        <v>7252</v>
      </c>
    </row>
    <row r="211" spans="1:11" ht="58" customHeight="1" x14ac:dyDescent="0.2">
      <c r="A211" s="71" t="s">
        <v>7253</v>
      </c>
      <c r="B211" s="71" t="s">
        <v>162</v>
      </c>
      <c r="C211" s="71" t="s">
        <v>6381</v>
      </c>
      <c r="D211" s="71"/>
      <c r="E211" s="71" t="s">
        <v>2703</v>
      </c>
      <c r="F211" s="71">
        <v>1088327</v>
      </c>
      <c r="G211" s="71" t="s">
        <v>7254</v>
      </c>
      <c r="H211" s="71" t="s">
        <v>7255</v>
      </c>
      <c r="I211" s="71" t="s">
        <v>6384</v>
      </c>
      <c r="J211" s="71" t="s">
        <v>7256</v>
      </c>
      <c r="K211" s="71" t="s">
        <v>7257</v>
      </c>
    </row>
    <row r="212" spans="1:11" ht="58" customHeight="1" x14ac:dyDescent="0.2">
      <c r="A212" s="70" t="s">
        <v>7258</v>
      </c>
      <c r="B212" s="70" t="s">
        <v>162</v>
      </c>
      <c r="C212" s="70" t="s">
        <v>6381</v>
      </c>
      <c r="D212" s="70"/>
      <c r="E212" s="70" t="s">
        <v>2703</v>
      </c>
      <c r="F212" s="70">
        <v>1097523</v>
      </c>
      <c r="G212" s="70" t="s">
        <v>7259</v>
      </c>
      <c r="H212" s="70" t="s">
        <v>7260</v>
      </c>
      <c r="I212" s="70" t="s">
        <v>6384</v>
      </c>
      <c r="J212" s="70" t="s">
        <v>7261</v>
      </c>
      <c r="K212" s="70" t="s">
        <v>7262</v>
      </c>
    </row>
    <row r="213" spans="1:11" ht="58" customHeight="1" x14ac:dyDescent="0.2">
      <c r="A213" s="71" t="s">
        <v>7263</v>
      </c>
      <c r="B213" s="71" t="s">
        <v>162</v>
      </c>
      <c r="C213" s="71" t="s">
        <v>6381</v>
      </c>
      <c r="D213" s="71"/>
      <c r="E213" s="71" t="s">
        <v>2703</v>
      </c>
      <c r="F213" s="71">
        <v>1100681</v>
      </c>
      <c r="G213" s="71" t="s">
        <v>7264</v>
      </c>
      <c r="H213" s="71" t="s">
        <v>7265</v>
      </c>
      <c r="I213" s="71" t="s">
        <v>6384</v>
      </c>
      <c r="J213" s="71" t="s">
        <v>7266</v>
      </c>
      <c r="K213" s="71" t="s">
        <v>7267</v>
      </c>
    </row>
    <row r="214" spans="1:11" ht="58" customHeight="1" x14ac:dyDescent="0.2">
      <c r="A214" s="70" t="s">
        <v>7268</v>
      </c>
      <c r="B214" s="70" t="s">
        <v>162</v>
      </c>
      <c r="C214" s="70" t="s">
        <v>6381</v>
      </c>
      <c r="D214" s="70"/>
      <c r="E214" s="70" t="s">
        <v>2726</v>
      </c>
      <c r="F214" s="70">
        <v>1100948</v>
      </c>
      <c r="G214" s="70" t="s">
        <v>7269</v>
      </c>
      <c r="H214" s="70" t="s">
        <v>7270</v>
      </c>
      <c r="I214" s="70" t="s">
        <v>6384</v>
      </c>
      <c r="J214" s="70" t="s">
        <v>7271</v>
      </c>
      <c r="K214" s="70" t="s">
        <v>7272</v>
      </c>
    </row>
    <row r="215" spans="1:11" ht="58" customHeight="1" x14ac:dyDescent="0.2">
      <c r="A215" s="71" t="s">
        <v>7273</v>
      </c>
      <c r="B215" s="71" t="s">
        <v>162</v>
      </c>
      <c r="C215" s="71" t="s">
        <v>6381</v>
      </c>
      <c r="D215" s="71"/>
      <c r="E215" s="71" t="s">
        <v>2703</v>
      </c>
      <c r="F215" s="71">
        <v>1241448</v>
      </c>
      <c r="G215" s="71" t="s">
        <v>7274</v>
      </c>
      <c r="H215" s="71" t="s">
        <v>7275</v>
      </c>
      <c r="I215" s="71" t="s">
        <v>6384</v>
      </c>
      <c r="J215" s="71" t="s">
        <v>7276</v>
      </c>
      <c r="K215" s="71" t="s">
        <v>7277</v>
      </c>
    </row>
    <row r="216" spans="1:11" ht="58" customHeight="1" x14ac:dyDescent="0.2">
      <c r="A216" s="70" t="s">
        <v>7278</v>
      </c>
      <c r="B216" s="70" t="s">
        <v>162</v>
      </c>
      <c r="C216" s="70" t="s">
        <v>6381</v>
      </c>
      <c r="D216" s="70"/>
      <c r="E216" s="70" t="s">
        <v>2703</v>
      </c>
      <c r="F216" s="70">
        <v>1247727</v>
      </c>
      <c r="G216" s="70" t="s">
        <v>7279</v>
      </c>
      <c r="H216" s="70" t="s">
        <v>7280</v>
      </c>
      <c r="I216" s="70" t="s">
        <v>6384</v>
      </c>
      <c r="J216" s="70" t="s">
        <v>7281</v>
      </c>
      <c r="K216" s="70" t="s">
        <v>7282</v>
      </c>
    </row>
    <row r="217" spans="1:11" ht="58" customHeight="1" x14ac:dyDescent="0.2">
      <c r="A217" s="71" t="s">
        <v>7283</v>
      </c>
      <c r="B217" s="71" t="s">
        <v>162</v>
      </c>
      <c r="C217" s="71" t="s">
        <v>6381</v>
      </c>
      <c r="D217" s="71"/>
      <c r="E217" s="71" t="s">
        <v>2703</v>
      </c>
      <c r="F217" s="71">
        <v>1282139</v>
      </c>
      <c r="G217" s="71" t="s">
        <v>7284</v>
      </c>
      <c r="H217" s="71" t="s">
        <v>7285</v>
      </c>
      <c r="I217" s="71" t="s">
        <v>6384</v>
      </c>
      <c r="J217" s="71" t="s">
        <v>7286</v>
      </c>
      <c r="K217" s="71" t="s">
        <v>7287</v>
      </c>
    </row>
    <row r="218" spans="1:11" ht="58" customHeight="1" x14ac:dyDescent="0.2">
      <c r="A218" s="70" t="s">
        <v>7288</v>
      </c>
      <c r="B218" s="70" t="s">
        <v>162</v>
      </c>
      <c r="C218" s="70" t="s">
        <v>6381</v>
      </c>
      <c r="D218" s="70"/>
      <c r="E218" s="70" t="s">
        <v>2703</v>
      </c>
      <c r="F218" s="70">
        <v>1294677</v>
      </c>
      <c r="G218" s="70" t="s">
        <v>7289</v>
      </c>
      <c r="H218" s="70" t="s">
        <v>1362</v>
      </c>
      <c r="I218" s="70" t="s">
        <v>6384</v>
      </c>
      <c r="J218" s="70" t="s">
        <v>7290</v>
      </c>
      <c r="K218" s="70" t="s">
        <v>7291</v>
      </c>
    </row>
    <row r="219" spans="1:11" ht="58" customHeight="1" x14ac:dyDescent="0.2">
      <c r="A219" s="71" t="s">
        <v>7292</v>
      </c>
      <c r="B219" s="71" t="s">
        <v>162</v>
      </c>
      <c r="C219" s="71" t="s">
        <v>6381</v>
      </c>
      <c r="D219" s="71"/>
      <c r="E219" s="71" t="s">
        <v>2703</v>
      </c>
      <c r="F219" s="71">
        <v>1334378</v>
      </c>
      <c r="G219" s="71" t="s">
        <v>7293</v>
      </c>
      <c r="H219" s="71" t="s">
        <v>7294</v>
      </c>
      <c r="I219" s="71" t="s">
        <v>6384</v>
      </c>
      <c r="J219" s="71" t="s">
        <v>7295</v>
      </c>
      <c r="K219" s="71" t="s">
        <v>7296</v>
      </c>
    </row>
    <row r="220" spans="1:11" ht="58" customHeight="1" x14ac:dyDescent="0.2">
      <c r="A220" s="70" t="s">
        <v>7297</v>
      </c>
      <c r="B220" s="70" t="s">
        <v>162</v>
      </c>
      <c r="C220" s="70" t="s">
        <v>6381</v>
      </c>
      <c r="D220" s="70"/>
      <c r="E220" s="70" t="s">
        <v>2703</v>
      </c>
      <c r="F220" s="70">
        <v>1428503</v>
      </c>
      <c r="G220" s="70" t="s">
        <v>7298</v>
      </c>
      <c r="H220" s="70" t="s">
        <v>1365</v>
      </c>
      <c r="I220" s="70" t="s">
        <v>6460</v>
      </c>
      <c r="J220" s="70" t="s">
        <v>7299</v>
      </c>
      <c r="K220" s="70" t="s">
        <v>7300</v>
      </c>
    </row>
    <row r="221" spans="1:11" ht="58" customHeight="1" x14ac:dyDescent="0.2">
      <c r="A221" s="71" t="s">
        <v>7301</v>
      </c>
      <c r="B221" s="71" t="s">
        <v>162</v>
      </c>
      <c r="C221" s="71" t="s">
        <v>6381</v>
      </c>
      <c r="D221" s="71"/>
      <c r="E221" s="71" t="s">
        <v>2703</v>
      </c>
      <c r="F221" s="71">
        <v>1511575</v>
      </c>
      <c r="G221" s="71" t="s">
        <v>7302</v>
      </c>
      <c r="H221" s="71" t="s">
        <v>7303</v>
      </c>
      <c r="I221" s="71" t="s">
        <v>6384</v>
      </c>
      <c r="J221" s="71" t="s">
        <v>7304</v>
      </c>
      <c r="K221" s="71" t="s">
        <v>7305</v>
      </c>
    </row>
    <row r="222" spans="1:11" ht="58" customHeight="1" x14ac:dyDescent="0.2">
      <c r="A222" s="70" t="s">
        <v>7306</v>
      </c>
      <c r="B222" s="70" t="s">
        <v>162</v>
      </c>
      <c r="C222" s="70" t="s">
        <v>6381</v>
      </c>
      <c r="D222" s="70"/>
      <c r="E222" s="70" t="s">
        <v>2726</v>
      </c>
      <c r="F222" s="70">
        <v>1511644</v>
      </c>
      <c r="G222" s="70" t="s">
        <v>7307</v>
      </c>
      <c r="H222" s="70" t="s">
        <v>7308</v>
      </c>
      <c r="I222" s="70" t="s">
        <v>6384</v>
      </c>
      <c r="J222" s="70" t="s">
        <v>7309</v>
      </c>
      <c r="K222" s="70" t="s">
        <v>7310</v>
      </c>
    </row>
    <row r="223" spans="1:11" ht="58" customHeight="1" x14ac:dyDescent="0.2">
      <c r="A223" s="71" t="s">
        <v>7311</v>
      </c>
      <c r="B223" s="71" t="s">
        <v>162</v>
      </c>
      <c r="C223" s="71" t="s">
        <v>6381</v>
      </c>
      <c r="D223" s="71"/>
      <c r="E223" s="71" t="s">
        <v>2726</v>
      </c>
      <c r="F223" s="71">
        <v>1512078</v>
      </c>
      <c r="G223" s="71" t="s">
        <v>7312</v>
      </c>
      <c r="H223" s="71" t="s">
        <v>7313</v>
      </c>
      <c r="I223" s="71" t="s">
        <v>6384</v>
      </c>
      <c r="J223" s="71" t="s">
        <v>7314</v>
      </c>
      <c r="K223" s="71" t="s">
        <v>7315</v>
      </c>
    </row>
    <row r="224" spans="1:11" ht="58" customHeight="1" x14ac:dyDescent="0.2">
      <c r="A224" s="70" t="s">
        <v>7316</v>
      </c>
      <c r="B224" s="70" t="s">
        <v>162</v>
      </c>
      <c r="C224" s="70" t="s">
        <v>6381</v>
      </c>
      <c r="D224" s="70"/>
      <c r="E224" s="70" t="s">
        <v>2703</v>
      </c>
      <c r="F224" s="70">
        <v>1525877</v>
      </c>
      <c r="G224" s="70" t="s">
        <v>7317</v>
      </c>
      <c r="H224" s="70" t="s">
        <v>7318</v>
      </c>
      <c r="I224" s="70" t="s">
        <v>6384</v>
      </c>
      <c r="J224" s="70" t="s">
        <v>7319</v>
      </c>
      <c r="K224" s="70" t="s">
        <v>7320</v>
      </c>
    </row>
    <row r="225" spans="1:11" ht="58" customHeight="1" x14ac:dyDescent="0.2">
      <c r="A225" s="71" t="s">
        <v>7321</v>
      </c>
      <c r="B225" s="71" t="s">
        <v>162</v>
      </c>
      <c r="C225" s="71" t="s">
        <v>6381</v>
      </c>
      <c r="D225" s="71"/>
      <c r="E225" s="71" t="s">
        <v>2703</v>
      </c>
      <c r="F225" s="71">
        <v>1581428</v>
      </c>
      <c r="G225" s="71" t="s">
        <v>7322</v>
      </c>
      <c r="H225" s="71" t="s">
        <v>7323</v>
      </c>
      <c r="I225" s="71" t="s">
        <v>6384</v>
      </c>
      <c r="J225" s="71" t="s">
        <v>7324</v>
      </c>
      <c r="K225" s="71" t="s">
        <v>7325</v>
      </c>
    </row>
    <row r="226" spans="1:11" ht="58" customHeight="1" x14ac:dyDescent="0.2">
      <c r="A226" s="70" t="s">
        <v>7326</v>
      </c>
      <c r="B226" s="70" t="s">
        <v>165</v>
      </c>
      <c r="C226" s="70" t="s">
        <v>6381</v>
      </c>
      <c r="D226" s="70"/>
      <c r="E226" s="70" t="s">
        <v>6469</v>
      </c>
      <c r="F226" s="70">
        <v>916997</v>
      </c>
      <c r="G226" s="70" t="s">
        <v>7327</v>
      </c>
      <c r="H226" s="70" t="s">
        <v>7328</v>
      </c>
      <c r="I226" s="70" t="s">
        <v>6384</v>
      </c>
      <c r="J226" s="70" t="s">
        <v>7329</v>
      </c>
      <c r="K226" s="70" t="s">
        <v>7330</v>
      </c>
    </row>
    <row r="227" spans="1:11" ht="58" customHeight="1" x14ac:dyDescent="0.2">
      <c r="A227" s="71" t="s">
        <v>7331</v>
      </c>
      <c r="B227" s="71" t="s">
        <v>165</v>
      </c>
      <c r="C227" s="71" t="s">
        <v>6381</v>
      </c>
      <c r="D227" s="71"/>
      <c r="E227" s="71" t="s">
        <v>6469</v>
      </c>
      <c r="F227" s="71">
        <v>920860</v>
      </c>
      <c r="G227" s="71" t="s">
        <v>7332</v>
      </c>
      <c r="H227" s="71" t="s">
        <v>7333</v>
      </c>
      <c r="I227" s="71" t="s">
        <v>6384</v>
      </c>
      <c r="J227" s="71" t="s">
        <v>7334</v>
      </c>
      <c r="K227" s="71" t="s">
        <v>7335</v>
      </c>
    </row>
    <row r="228" spans="1:11" ht="58" customHeight="1" x14ac:dyDescent="0.2">
      <c r="A228" s="70" t="s">
        <v>7336</v>
      </c>
      <c r="B228" s="70" t="s">
        <v>165</v>
      </c>
      <c r="C228" s="70" t="s">
        <v>6381</v>
      </c>
      <c r="D228" s="70"/>
      <c r="E228" s="70" t="s">
        <v>2703</v>
      </c>
      <c r="F228" s="70">
        <v>958704</v>
      </c>
      <c r="G228" s="70" t="s">
        <v>7337</v>
      </c>
      <c r="H228" s="70" t="s">
        <v>7338</v>
      </c>
      <c r="I228" s="70" t="s">
        <v>6384</v>
      </c>
      <c r="J228" s="70" t="s">
        <v>7339</v>
      </c>
      <c r="K228" s="70" t="s">
        <v>7340</v>
      </c>
    </row>
    <row r="229" spans="1:11" ht="58" customHeight="1" x14ac:dyDescent="0.2">
      <c r="A229" s="71" t="s">
        <v>7341</v>
      </c>
      <c r="B229" s="71" t="s">
        <v>165</v>
      </c>
      <c r="C229" s="71" t="s">
        <v>6381</v>
      </c>
      <c r="D229" s="71"/>
      <c r="E229" s="71" t="s">
        <v>2726</v>
      </c>
      <c r="F229" s="71">
        <v>1012764</v>
      </c>
      <c r="G229" s="71" t="s">
        <v>7342</v>
      </c>
      <c r="H229" s="71" t="s">
        <v>7343</v>
      </c>
      <c r="I229" s="71" t="s">
        <v>6384</v>
      </c>
      <c r="J229" s="71" t="s">
        <v>7344</v>
      </c>
      <c r="K229" s="71" t="s">
        <v>7345</v>
      </c>
    </row>
    <row r="230" spans="1:11" ht="58" customHeight="1" x14ac:dyDescent="0.2">
      <c r="A230" s="70" t="s">
        <v>7346</v>
      </c>
      <c r="B230" s="70" t="s">
        <v>165</v>
      </c>
      <c r="C230" s="70" t="s">
        <v>6381</v>
      </c>
      <c r="D230" s="70"/>
      <c r="E230" s="70" t="s">
        <v>2703</v>
      </c>
      <c r="F230" s="70">
        <v>1040188</v>
      </c>
      <c r="G230" s="70" t="s">
        <v>7347</v>
      </c>
      <c r="H230" s="70" t="s">
        <v>7348</v>
      </c>
      <c r="I230" s="70" t="s">
        <v>6384</v>
      </c>
      <c r="J230" s="70" t="s">
        <v>7349</v>
      </c>
      <c r="K230" s="70" t="s">
        <v>7350</v>
      </c>
    </row>
    <row r="231" spans="1:11" ht="58" customHeight="1" x14ac:dyDescent="0.2">
      <c r="A231" s="71" t="s">
        <v>7351</v>
      </c>
      <c r="B231" s="71" t="s">
        <v>165</v>
      </c>
      <c r="C231" s="71" t="s">
        <v>6381</v>
      </c>
      <c r="D231" s="71"/>
      <c r="E231" s="71" t="s">
        <v>2703</v>
      </c>
      <c r="F231" s="71">
        <v>1082295</v>
      </c>
      <c r="G231" s="71" t="s">
        <v>7352</v>
      </c>
      <c r="H231" s="71" t="s">
        <v>7353</v>
      </c>
      <c r="I231" s="71" t="s">
        <v>6384</v>
      </c>
      <c r="J231" s="71" t="s">
        <v>7354</v>
      </c>
      <c r="K231" s="71" t="s">
        <v>7355</v>
      </c>
    </row>
    <row r="232" spans="1:11" ht="58" customHeight="1" x14ac:dyDescent="0.2">
      <c r="A232" s="70" t="s">
        <v>7356</v>
      </c>
      <c r="B232" s="70" t="s">
        <v>165</v>
      </c>
      <c r="C232" s="70" t="s">
        <v>6381</v>
      </c>
      <c r="D232" s="70"/>
      <c r="E232" s="70" t="s">
        <v>2726</v>
      </c>
      <c r="F232" s="70">
        <v>1087868</v>
      </c>
      <c r="G232" s="70" t="s">
        <v>7357</v>
      </c>
      <c r="H232" s="70" t="s">
        <v>7358</v>
      </c>
      <c r="I232" s="70" t="s">
        <v>6384</v>
      </c>
      <c r="J232" s="70" t="s">
        <v>7359</v>
      </c>
      <c r="K232" s="70" t="s">
        <v>7360</v>
      </c>
    </row>
    <row r="233" spans="1:11" ht="58" customHeight="1" x14ac:dyDescent="0.2">
      <c r="A233" s="71" t="s">
        <v>7361</v>
      </c>
      <c r="B233" s="71" t="s">
        <v>165</v>
      </c>
      <c r="C233" s="71" t="s">
        <v>6381</v>
      </c>
      <c r="D233" s="71"/>
      <c r="E233" s="71" t="s">
        <v>2703</v>
      </c>
      <c r="F233" s="71">
        <v>1093115</v>
      </c>
      <c r="G233" s="71" t="s">
        <v>7362</v>
      </c>
      <c r="H233" s="71" t="s">
        <v>7363</v>
      </c>
      <c r="I233" s="71" t="s">
        <v>6384</v>
      </c>
      <c r="J233" s="71" t="s">
        <v>7364</v>
      </c>
      <c r="K233" s="71" t="s">
        <v>7365</v>
      </c>
    </row>
    <row r="234" spans="1:11" ht="58" customHeight="1" x14ac:dyDescent="0.2">
      <c r="A234" s="70" t="s">
        <v>7366</v>
      </c>
      <c r="B234" s="70" t="s">
        <v>165</v>
      </c>
      <c r="C234" s="70" t="s">
        <v>6381</v>
      </c>
      <c r="D234" s="70"/>
      <c r="E234" s="70" t="s">
        <v>2726</v>
      </c>
      <c r="F234" s="70">
        <v>1135448</v>
      </c>
      <c r="G234" s="70" t="s">
        <v>7367</v>
      </c>
      <c r="H234" s="70" t="s">
        <v>7368</v>
      </c>
      <c r="I234" s="70" t="s">
        <v>6384</v>
      </c>
      <c r="J234" s="70" t="s">
        <v>7369</v>
      </c>
      <c r="K234" s="70" t="s">
        <v>7370</v>
      </c>
    </row>
    <row r="235" spans="1:11" ht="58" customHeight="1" x14ac:dyDescent="0.2">
      <c r="A235" s="71" t="s">
        <v>7371</v>
      </c>
      <c r="B235" s="71" t="s">
        <v>165</v>
      </c>
      <c r="C235" s="71" t="s">
        <v>6381</v>
      </c>
      <c r="D235" s="71"/>
      <c r="E235" s="71" t="s">
        <v>2726</v>
      </c>
      <c r="F235" s="71">
        <v>1167863</v>
      </c>
      <c r="G235" s="71" t="s">
        <v>7372</v>
      </c>
      <c r="H235" s="71" t="s">
        <v>7373</v>
      </c>
      <c r="I235" s="71" t="s">
        <v>6384</v>
      </c>
      <c r="J235" s="71" t="s">
        <v>7374</v>
      </c>
      <c r="K235" s="71" t="s">
        <v>7375</v>
      </c>
    </row>
    <row r="236" spans="1:11" ht="58" customHeight="1" x14ac:dyDescent="0.2">
      <c r="A236" s="70" t="s">
        <v>7376</v>
      </c>
      <c r="B236" s="70" t="s">
        <v>165</v>
      </c>
      <c r="C236" s="70" t="s">
        <v>6381</v>
      </c>
      <c r="D236" s="70"/>
      <c r="E236" s="70" t="s">
        <v>2726</v>
      </c>
      <c r="F236" s="70">
        <v>1188660</v>
      </c>
      <c r="G236" s="70" t="s">
        <v>7377</v>
      </c>
      <c r="H236" s="70" t="s">
        <v>7378</v>
      </c>
      <c r="I236" s="70" t="s">
        <v>6384</v>
      </c>
      <c r="J236" s="70" t="s">
        <v>7379</v>
      </c>
      <c r="K236" s="70" t="s">
        <v>7380</v>
      </c>
    </row>
    <row r="237" spans="1:11" ht="58" customHeight="1" x14ac:dyDescent="0.2">
      <c r="A237" s="71" t="s">
        <v>7381</v>
      </c>
      <c r="B237" s="71" t="s">
        <v>165</v>
      </c>
      <c r="C237" s="71" t="s">
        <v>6381</v>
      </c>
      <c r="D237" s="71"/>
      <c r="E237" s="71" t="s">
        <v>2703</v>
      </c>
      <c r="F237" s="71">
        <v>1189918</v>
      </c>
      <c r="G237" s="71" t="s">
        <v>7382</v>
      </c>
      <c r="H237" s="71" t="s">
        <v>7383</v>
      </c>
      <c r="I237" s="71" t="s">
        <v>6384</v>
      </c>
      <c r="J237" s="71" t="s">
        <v>7384</v>
      </c>
      <c r="K237" s="71" t="s">
        <v>7385</v>
      </c>
    </row>
    <row r="238" spans="1:11" ht="58" customHeight="1" x14ac:dyDescent="0.2">
      <c r="A238" s="70" t="s">
        <v>7386</v>
      </c>
      <c r="B238" s="70" t="s">
        <v>165</v>
      </c>
      <c r="C238" s="70" t="s">
        <v>6381</v>
      </c>
      <c r="D238" s="70"/>
      <c r="E238" s="70" t="s">
        <v>2703</v>
      </c>
      <c r="F238" s="70">
        <v>1250216</v>
      </c>
      <c r="G238" s="70" t="s">
        <v>7387</v>
      </c>
      <c r="H238" s="70" t="s">
        <v>7388</v>
      </c>
      <c r="I238" s="70" t="s">
        <v>6384</v>
      </c>
      <c r="J238" s="70" t="s">
        <v>7389</v>
      </c>
      <c r="K238" s="70" t="s">
        <v>7390</v>
      </c>
    </row>
    <row r="239" spans="1:11" ht="58" customHeight="1" x14ac:dyDescent="0.2">
      <c r="A239" s="71" t="s">
        <v>7391</v>
      </c>
      <c r="B239" s="71" t="s">
        <v>165</v>
      </c>
      <c r="C239" s="71" t="s">
        <v>6381</v>
      </c>
      <c r="D239" s="71"/>
      <c r="E239" s="71" t="s">
        <v>2703</v>
      </c>
      <c r="F239" s="71">
        <v>1250780</v>
      </c>
      <c r="G239" s="71" t="s">
        <v>7392</v>
      </c>
      <c r="H239" s="71" t="s">
        <v>7393</v>
      </c>
      <c r="I239" s="71" t="s">
        <v>6384</v>
      </c>
      <c r="J239" s="71" t="s">
        <v>7394</v>
      </c>
      <c r="K239" s="71" t="s">
        <v>7395</v>
      </c>
    </row>
    <row r="240" spans="1:11" ht="58" customHeight="1" x14ac:dyDescent="0.2">
      <c r="A240" s="70" t="s">
        <v>7396</v>
      </c>
      <c r="B240" s="70" t="s">
        <v>165</v>
      </c>
      <c r="C240" s="70" t="s">
        <v>6381</v>
      </c>
      <c r="D240" s="70"/>
      <c r="E240" s="70" t="s">
        <v>2703</v>
      </c>
      <c r="F240" s="70">
        <v>1259192</v>
      </c>
      <c r="G240" s="70" t="s">
        <v>7397</v>
      </c>
      <c r="H240" s="70" t="s">
        <v>7398</v>
      </c>
      <c r="I240" s="70" t="s">
        <v>6384</v>
      </c>
      <c r="J240" s="70" t="s">
        <v>7399</v>
      </c>
      <c r="K240" s="70" t="s">
        <v>7400</v>
      </c>
    </row>
    <row r="241" spans="1:11" ht="58" customHeight="1" x14ac:dyDescent="0.2">
      <c r="A241" s="71" t="s">
        <v>7401</v>
      </c>
      <c r="B241" s="71" t="s">
        <v>165</v>
      </c>
      <c r="C241" s="71" t="s">
        <v>6381</v>
      </c>
      <c r="D241" s="71"/>
      <c r="E241" s="71" t="s">
        <v>2703</v>
      </c>
      <c r="F241" s="71">
        <v>1271772</v>
      </c>
      <c r="G241" s="71" t="s">
        <v>7402</v>
      </c>
      <c r="H241" s="71" t="s">
        <v>7403</v>
      </c>
      <c r="I241" s="71" t="s">
        <v>6384</v>
      </c>
      <c r="J241" s="71" t="s">
        <v>7404</v>
      </c>
      <c r="K241" s="71" t="s">
        <v>7405</v>
      </c>
    </row>
    <row r="242" spans="1:11" ht="58" customHeight="1" x14ac:dyDescent="0.2">
      <c r="A242" s="70" t="s">
        <v>7406</v>
      </c>
      <c r="B242" s="70" t="s">
        <v>165</v>
      </c>
      <c r="C242" s="70" t="s">
        <v>6381</v>
      </c>
      <c r="D242" s="70"/>
      <c r="E242" s="70" t="s">
        <v>2703</v>
      </c>
      <c r="F242" s="70">
        <v>1283385</v>
      </c>
      <c r="G242" s="70" t="s">
        <v>7407</v>
      </c>
      <c r="H242" s="70" t="s">
        <v>1367</v>
      </c>
      <c r="I242" s="70" t="s">
        <v>6384</v>
      </c>
      <c r="J242" s="70" t="s">
        <v>7408</v>
      </c>
      <c r="K242" s="70" t="s">
        <v>7409</v>
      </c>
    </row>
    <row r="243" spans="1:11" ht="58" customHeight="1" x14ac:dyDescent="0.2">
      <c r="A243" s="71" t="s">
        <v>7410</v>
      </c>
      <c r="B243" s="71" t="s">
        <v>165</v>
      </c>
      <c r="C243" s="71" t="s">
        <v>6381</v>
      </c>
      <c r="D243" s="71"/>
      <c r="E243" s="71" t="s">
        <v>2703</v>
      </c>
      <c r="F243" s="71">
        <v>1307841</v>
      </c>
      <c r="G243" s="71" t="s">
        <v>7411</v>
      </c>
      <c r="H243" s="71" t="s">
        <v>7412</v>
      </c>
      <c r="I243" s="71" t="s">
        <v>6384</v>
      </c>
      <c r="J243" s="71" t="s">
        <v>7413</v>
      </c>
      <c r="K243" s="71" t="s">
        <v>7414</v>
      </c>
    </row>
    <row r="244" spans="1:11" ht="58" customHeight="1" x14ac:dyDescent="0.2">
      <c r="A244" s="70" t="s">
        <v>7415</v>
      </c>
      <c r="B244" s="70" t="s">
        <v>165</v>
      </c>
      <c r="C244" s="70" t="s">
        <v>6381</v>
      </c>
      <c r="D244" s="70"/>
      <c r="E244" s="70" t="s">
        <v>2703</v>
      </c>
      <c r="F244" s="70">
        <v>1331046</v>
      </c>
      <c r="G244" s="70" t="s">
        <v>7416</v>
      </c>
      <c r="H244" s="70" t="s">
        <v>7417</v>
      </c>
      <c r="I244" s="70" t="s">
        <v>6384</v>
      </c>
      <c r="J244" s="70" t="s">
        <v>7418</v>
      </c>
      <c r="K244" s="70" t="s">
        <v>7419</v>
      </c>
    </row>
    <row r="245" spans="1:11" ht="58" customHeight="1" x14ac:dyDescent="0.2">
      <c r="A245" s="71" t="s">
        <v>7420</v>
      </c>
      <c r="B245" s="71" t="s">
        <v>165</v>
      </c>
      <c r="C245" s="71" t="s">
        <v>6381</v>
      </c>
      <c r="D245" s="71"/>
      <c r="E245" s="71" t="s">
        <v>2703</v>
      </c>
      <c r="F245" s="71">
        <v>1368801</v>
      </c>
      <c r="G245" s="71" t="s">
        <v>7421</v>
      </c>
      <c r="H245" s="71" t="s">
        <v>7422</v>
      </c>
      <c r="I245" s="71" t="s">
        <v>6384</v>
      </c>
      <c r="J245" s="71" t="s">
        <v>7423</v>
      </c>
      <c r="K245" s="71" t="s">
        <v>7424</v>
      </c>
    </row>
    <row r="246" spans="1:11" ht="58" customHeight="1" x14ac:dyDescent="0.2">
      <c r="A246" s="70" t="s">
        <v>7425</v>
      </c>
      <c r="B246" s="70" t="s">
        <v>165</v>
      </c>
      <c r="C246" s="70" t="s">
        <v>6381</v>
      </c>
      <c r="D246" s="70"/>
      <c r="E246" s="70" t="s">
        <v>2703</v>
      </c>
      <c r="F246" s="70">
        <v>1405584</v>
      </c>
      <c r="G246" s="70" t="s">
        <v>7426</v>
      </c>
      <c r="H246" s="70" t="s">
        <v>1369</v>
      </c>
      <c r="I246" s="70" t="s">
        <v>6460</v>
      </c>
      <c r="J246" s="70" t="s">
        <v>7427</v>
      </c>
      <c r="K246" s="70" t="s">
        <v>7428</v>
      </c>
    </row>
    <row r="247" spans="1:11" ht="58" customHeight="1" x14ac:dyDescent="0.2">
      <c r="A247" s="71" t="s">
        <v>7429</v>
      </c>
      <c r="B247" s="71" t="s">
        <v>165</v>
      </c>
      <c r="C247" s="71" t="s">
        <v>6381</v>
      </c>
      <c r="D247" s="71"/>
      <c r="E247" s="71" t="s">
        <v>2703</v>
      </c>
      <c r="F247" s="71">
        <v>1602959</v>
      </c>
      <c r="G247" s="71" t="s">
        <v>7430</v>
      </c>
      <c r="H247" s="71" t="s">
        <v>7431</v>
      </c>
      <c r="I247" s="71" t="s">
        <v>6384</v>
      </c>
      <c r="J247" s="71" t="s">
        <v>7432</v>
      </c>
      <c r="K247" s="71" t="s">
        <v>7433</v>
      </c>
    </row>
    <row r="248" spans="1:11" ht="58" customHeight="1" x14ac:dyDescent="0.2">
      <c r="A248" s="70" t="s">
        <v>7434</v>
      </c>
      <c r="B248" s="70" t="s">
        <v>168</v>
      </c>
      <c r="C248" s="70" t="s">
        <v>6381</v>
      </c>
      <c r="D248" s="70"/>
      <c r="E248" s="70" t="s">
        <v>6469</v>
      </c>
      <c r="F248" s="70">
        <v>892353</v>
      </c>
      <c r="G248" s="70" t="s">
        <v>7435</v>
      </c>
      <c r="H248" s="70" t="s">
        <v>7436</v>
      </c>
      <c r="I248" s="70" t="s">
        <v>6384</v>
      </c>
      <c r="J248" s="70" t="s">
        <v>7437</v>
      </c>
      <c r="K248" s="70" t="s">
        <v>7438</v>
      </c>
    </row>
    <row r="249" spans="1:11" ht="58" customHeight="1" x14ac:dyDescent="0.2">
      <c r="A249" s="71" t="s">
        <v>7439</v>
      </c>
      <c r="B249" s="71" t="s">
        <v>168</v>
      </c>
      <c r="C249" s="71" t="s">
        <v>6381</v>
      </c>
      <c r="D249" s="71"/>
      <c r="E249" s="71" t="s">
        <v>6469</v>
      </c>
      <c r="F249" s="71">
        <v>898779</v>
      </c>
      <c r="G249" s="71" t="s">
        <v>7440</v>
      </c>
      <c r="H249" s="71" t="s">
        <v>7441</v>
      </c>
      <c r="I249" s="71" t="s">
        <v>6384</v>
      </c>
      <c r="J249" s="71" t="s">
        <v>7442</v>
      </c>
      <c r="K249" s="71" t="s">
        <v>7443</v>
      </c>
    </row>
    <row r="250" spans="1:11" ht="58" customHeight="1" x14ac:dyDescent="0.2">
      <c r="A250" s="70" t="s">
        <v>7444</v>
      </c>
      <c r="B250" s="70" t="s">
        <v>168</v>
      </c>
      <c r="C250" s="70" t="s">
        <v>6381</v>
      </c>
      <c r="D250" s="70"/>
      <c r="E250" s="70" t="s">
        <v>2703</v>
      </c>
      <c r="F250" s="70">
        <v>1161814</v>
      </c>
      <c r="G250" s="70" t="s">
        <v>7445</v>
      </c>
      <c r="H250" s="70" t="s">
        <v>7446</v>
      </c>
      <c r="I250" s="70" t="s">
        <v>6384</v>
      </c>
      <c r="J250" s="70" t="s">
        <v>7447</v>
      </c>
      <c r="K250" s="70" t="s">
        <v>7448</v>
      </c>
    </row>
    <row r="251" spans="1:11" ht="58" customHeight="1" x14ac:dyDescent="0.2">
      <c r="A251" s="71" t="s">
        <v>7449</v>
      </c>
      <c r="B251" s="71" t="s">
        <v>168</v>
      </c>
      <c r="C251" s="71" t="s">
        <v>6381</v>
      </c>
      <c r="D251" s="71"/>
      <c r="E251" s="71" t="s">
        <v>2703</v>
      </c>
      <c r="F251" s="71">
        <v>1184137</v>
      </c>
      <c r="G251" s="71" t="s">
        <v>7450</v>
      </c>
      <c r="H251" s="71" t="s">
        <v>7451</v>
      </c>
      <c r="I251" s="71" t="s">
        <v>6384</v>
      </c>
      <c r="J251" s="71" t="s">
        <v>7452</v>
      </c>
      <c r="K251" s="71" t="s">
        <v>7453</v>
      </c>
    </row>
    <row r="252" spans="1:11" ht="58" customHeight="1" x14ac:dyDescent="0.2">
      <c r="A252" s="70" t="s">
        <v>7454</v>
      </c>
      <c r="B252" s="70" t="s">
        <v>168</v>
      </c>
      <c r="C252" s="70" t="s">
        <v>6381</v>
      </c>
      <c r="D252" s="70"/>
      <c r="E252" s="70" t="s">
        <v>2703</v>
      </c>
      <c r="F252" s="70">
        <v>1270763</v>
      </c>
      <c r="G252" s="70" t="s">
        <v>7455</v>
      </c>
      <c r="H252" s="70" t="s">
        <v>7456</v>
      </c>
      <c r="I252" s="70" t="s">
        <v>6384</v>
      </c>
      <c r="J252" s="70" t="s">
        <v>7457</v>
      </c>
      <c r="K252" s="70" t="s">
        <v>7458</v>
      </c>
    </row>
    <row r="253" spans="1:11" ht="58" customHeight="1" x14ac:dyDescent="0.2">
      <c r="A253" s="71" t="s">
        <v>7459</v>
      </c>
      <c r="B253" s="71" t="s">
        <v>168</v>
      </c>
      <c r="C253" s="71" t="s">
        <v>6381</v>
      </c>
      <c r="D253" s="71"/>
      <c r="E253" s="71" t="s">
        <v>2703</v>
      </c>
      <c r="F253" s="71">
        <v>1289625</v>
      </c>
      <c r="G253" s="71" t="s">
        <v>7460</v>
      </c>
      <c r="H253" s="71" t="s">
        <v>7461</v>
      </c>
      <c r="I253" s="71" t="s">
        <v>6384</v>
      </c>
      <c r="J253" s="71" t="s">
        <v>7462</v>
      </c>
      <c r="K253" s="71" t="s">
        <v>7463</v>
      </c>
    </row>
    <row r="254" spans="1:11" ht="58" customHeight="1" x14ac:dyDescent="0.2">
      <c r="A254" s="70" t="s">
        <v>7464</v>
      </c>
      <c r="B254" s="70" t="s">
        <v>168</v>
      </c>
      <c r="C254" s="70" t="s">
        <v>6381</v>
      </c>
      <c r="D254" s="70"/>
      <c r="E254" s="70" t="s">
        <v>2726</v>
      </c>
      <c r="F254" s="70">
        <v>1289837</v>
      </c>
      <c r="G254" s="70" t="s">
        <v>7465</v>
      </c>
      <c r="H254" s="70" t="s">
        <v>7466</v>
      </c>
      <c r="I254" s="70" t="s">
        <v>6384</v>
      </c>
      <c r="J254" s="70" t="s">
        <v>7467</v>
      </c>
      <c r="K254" s="70" t="s">
        <v>7468</v>
      </c>
    </row>
    <row r="255" spans="1:11" ht="58" customHeight="1" x14ac:dyDescent="0.2">
      <c r="A255" s="71" t="s">
        <v>7469</v>
      </c>
      <c r="B255" s="71" t="s">
        <v>168</v>
      </c>
      <c r="C255" s="71" t="s">
        <v>6381</v>
      </c>
      <c r="D255" s="71"/>
      <c r="E255" s="71" t="s">
        <v>2703</v>
      </c>
      <c r="F255" s="71">
        <v>1368288</v>
      </c>
      <c r="G255" s="71" t="s">
        <v>7470</v>
      </c>
      <c r="H255" s="71" t="s">
        <v>7471</v>
      </c>
      <c r="I255" s="71" t="s">
        <v>6384</v>
      </c>
      <c r="J255" s="71" t="s">
        <v>7472</v>
      </c>
      <c r="K255" s="71" t="s">
        <v>7473</v>
      </c>
    </row>
    <row r="256" spans="1:11" ht="58" customHeight="1" x14ac:dyDescent="0.2">
      <c r="A256" s="70" t="s">
        <v>7474</v>
      </c>
      <c r="B256" s="70" t="s">
        <v>168</v>
      </c>
      <c r="C256" s="70" t="s">
        <v>6381</v>
      </c>
      <c r="D256" s="70"/>
      <c r="E256" s="70" t="s">
        <v>2703</v>
      </c>
      <c r="F256" s="70">
        <v>1393593</v>
      </c>
      <c r="G256" s="70" t="s">
        <v>7475</v>
      </c>
      <c r="H256" s="70" t="s">
        <v>7476</v>
      </c>
      <c r="I256" s="70" t="s">
        <v>6384</v>
      </c>
      <c r="J256" s="70" t="s">
        <v>7477</v>
      </c>
      <c r="K256" s="70" t="s">
        <v>7478</v>
      </c>
    </row>
    <row r="257" spans="1:11" ht="58" customHeight="1" x14ac:dyDescent="0.2">
      <c r="A257" s="71" t="s">
        <v>7479</v>
      </c>
      <c r="B257" s="71" t="s">
        <v>168</v>
      </c>
      <c r="C257" s="71" t="s">
        <v>6381</v>
      </c>
      <c r="D257" s="71"/>
      <c r="E257" s="71" t="s">
        <v>2703</v>
      </c>
      <c r="F257" s="71">
        <v>1407882</v>
      </c>
      <c r="G257" s="71" t="s">
        <v>7480</v>
      </c>
      <c r="H257" s="71" t="s">
        <v>7481</v>
      </c>
      <c r="I257" s="71" t="s">
        <v>6384</v>
      </c>
      <c r="J257" s="71" t="s">
        <v>7482</v>
      </c>
      <c r="K257" s="71" t="s">
        <v>7483</v>
      </c>
    </row>
    <row r="258" spans="1:11" ht="58" customHeight="1" x14ac:dyDescent="0.2">
      <c r="A258" s="70" t="s">
        <v>7484</v>
      </c>
      <c r="B258" s="70" t="s">
        <v>168</v>
      </c>
      <c r="C258" s="70" t="s">
        <v>6381</v>
      </c>
      <c r="D258" s="70"/>
      <c r="E258" s="70" t="s">
        <v>2703</v>
      </c>
      <c r="F258" s="70">
        <v>1437791</v>
      </c>
      <c r="G258" s="70" t="s">
        <v>7485</v>
      </c>
      <c r="H258" s="70" t="s">
        <v>7486</v>
      </c>
      <c r="I258" s="70" t="s">
        <v>6384</v>
      </c>
      <c r="J258" s="70" t="s">
        <v>7487</v>
      </c>
      <c r="K258" s="70" t="s">
        <v>7488</v>
      </c>
    </row>
    <row r="259" spans="1:11" ht="58" customHeight="1" x14ac:dyDescent="0.2">
      <c r="A259" s="71" t="s">
        <v>7489</v>
      </c>
      <c r="B259" s="71" t="s">
        <v>168</v>
      </c>
      <c r="C259" s="71" t="s">
        <v>6381</v>
      </c>
      <c r="D259" s="71"/>
      <c r="E259" s="71" t="s">
        <v>2703</v>
      </c>
      <c r="F259" s="71">
        <v>1494047</v>
      </c>
      <c r="G259" s="71" t="s">
        <v>7490</v>
      </c>
      <c r="H259" s="71" t="s">
        <v>7491</v>
      </c>
      <c r="I259" s="71" t="s">
        <v>6384</v>
      </c>
      <c r="J259" s="71" t="s">
        <v>7492</v>
      </c>
      <c r="K259" s="71" t="s">
        <v>7493</v>
      </c>
    </row>
    <row r="260" spans="1:11" ht="58" customHeight="1" x14ac:dyDescent="0.2">
      <c r="A260" s="70" t="s">
        <v>7494</v>
      </c>
      <c r="B260" s="70" t="s">
        <v>168</v>
      </c>
      <c r="C260" s="70" t="s">
        <v>6381</v>
      </c>
      <c r="D260" s="70"/>
      <c r="E260" s="70" t="s">
        <v>2726</v>
      </c>
      <c r="F260" s="70">
        <v>1494196</v>
      </c>
      <c r="G260" s="70" t="s">
        <v>7495</v>
      </c>
      <c r="H260" s="70" t="s">
        <v>7496</v>
      </c>
      <c r="I260" s="70" t="s">
        <v>6384</v>
      </c>
      <c r="J260" s="70" t="s">
        <v>7497</v>
      </c>
      <c r="K260" s="70" t="s">
        <v>7498</v>
      </c>
    </row>
    <row r="261" spans="1:11" ht="58" customHeight="1" x14ac:dyDescent="0.2">
      <c r="A261" s="71" t="s">
        <v>7499</v>
      </c>
      <c r="B261" s="71" t="s">
        <v>168</v>
      </c>
      <c r="C261" s="71" t="s">
        <v>6381</v>
      </c>
      <c r="D261" s="71"/>
      <c r="E261" s="71" t="s">
        <v>2726</v>
      </c>
      <c r="F261" s="71">
        <v>1582361</v>
      </c>
      <c r="G261" s="71" t="s">
        <v>7500</v>
      </c>
      <c r="H261" s="71" t="s">
        <v>7501</v>
      </c>
      <c r="I261" s="71" t="s">
        <v>6460</v>
      </c>
      <c r="J261" s="71" t="s">
        <v>7502</v>
      </c>
      <c r="K261" s="71" t="s">
        <v>7503</v>
      </c>
    </row>
    <row r="262" spans="1:11" ht="58" customHeight="1" x14ac:dyDescent="0.2">
      <c r="A262" s="70" t="s">
        <v>7504</v>
      </c>
      <c r="B262" s="70" t="s">
        <v>171</v>
      </c>
      <c r="C262" s="70" t="s">
        <v>6381</v>
      </c>
      <c r="D262" s="70"/>
      <c r="E262" s="70" t="s">
        <v>6469</v>
      </c>
      <c r="F262" s="70">
        <v>898514</v>
      </c>
      <c r="G262" s="70" t="s">
        <v>7505</v>
      </c>
      <c r="H262" s="70" t="s">
        <v>7506</v>
      </c>
      <c r="I262" s="70" t="s">
        <v>6384</v>
      </c>
      <c r="J262" s="70" t="s">
        <v>7507</v>
      </c>
      <c r="K262" s="70" t="s">
        <v>7508</v>
      </c>
    </row>
    <row r="263" spans="1:11" ht="58" customHeight="1" x14ac:dyDescent="0.2">
      <c r="A263" s="71" t="s">
        <v>7509</v>
      </c>
      <c r="B263" s="71" t="s">
        <v>171</v>
      </c>
      <c r="C263" s="71" t="s">
        <v>6381</v>
      </c>
      <c r="D263" s="71"/>
      <c r="E263" s="71" t="s">
        <v>2703</v>
      </c>
      <c r="F263" s="71">
        <v>976110</v>
      </c>
      <c r="G263" s="71" t="s">
        <v>7510</v>
      </c>
      <c r="H263" s="71" t="s">
        <v>7511</v>
      </c>
      <c r="I263" s="71" t="s">
        <v>6384</v>
      </c>
      <c r="J263" s="71" t="s">
        <v>7512</v>
      </c>
      <c r="K263" s="71" t="s">
        <v>7513</v>
      </c>
    </row>
    <row r="264" spans="1:11" ht="58" customHeight="1" x14ac:dyDescent="0.2">
      <c r="A264" s="70" t="s">
        <v>7514</v>
      </c>
      <c r="B264" s="70" t="s">
        <v>171</v>
      </c>
      <c r="C264" s="70" t="s">
        <v>6381</v>
      </c>
      <c r="D264" s="70"/>
      <c r="E264" s="70" t="s">
        <v>2703</v>
      </c>
      <c r="F264" s="70">
        <v>1019932</v>
      </c>
      <c r="G264" s="70" t="s">
        <v>7515</v>
      </c>
      <c r="H264" s="70" t="s">
        <v>7516</v>
      </c>
      <c r="I264" s="70" t="s">
        <v>6384</v>
      </c>
      <c r="J264" s="70" t="s">
        <v>7517</v>
      </c>
      <c r="K264" s="70" t="s">
        <v>7518</v>
      </c>
    </row>
    <row r="265" spans="1:11" ht="58" customHeight="1" x14ac:dyDescent="0.2">
      <c r="A265" s="71" t="s">
        <v>7519</v>
      </c>
      <c r="B265" s="71" t="s">
        <v>171</v>
      </c>
      <c r="C265" s="71" t="s">
        <v>6381</v>
      </c>
      <c r="D265" s="71"/>
      <c r="E265" s="71" t="s">
        <v>2703</v>
      </c>
      <c r="F265" s="71">
        <v>1068167</v>
      </c>
      <c r="G265" s="71" t="s">
        <v>7520</v>
      </c>
      <c r="H265" s="71" t="s">
        <v>7521</v>
      </c>
      <c r="I265" s="71" t="s">
        <v>6384</v>
      </c>
      <c r="J265" s="71" t="s">
        <v>7522</v>
      </c>
      <c r="K265" s="71" t="s">
        <v>7523</v>
      </c>
    </row>
    <row r="266" spans="1:11" ht="58" customHeight="1" x14ac:dyDescent="0.2">
      <c r="A266" s="70" t="s">
        <v>7524</v>
      </c>
      <c r="B266" s="70" t="s">
        <v>171</v>
      </c>
      <c r="C266" s="70" t="s">
        <v>6381</v>
      </c>
      <c r="D266" s="70"/>
      <c r="E266" s="70" t="s">
        <v>2703</v>
      </c>
      <c r="F266" s="70">
        <v>1073439</v>
      </c>
      <c r="G266" s="70" t="s">
        <v>7525</v>
      </c>
      <c r="H266" s="70" t="s">
        <v>7526</v>
      </c>
      <c r="I266" s="70" t="s">
        <v>6384</v>
      </c>
      <c r="J266" s="70" t="s">
        <v>7527</v>
      </c>
      <c r="K266" s="70" t="s">
        <v>7528</v>
      </c>
    </row>
    <row r="267" spans="1:11" ht="58" customHeight="1" x14ac:dyDescent="0.2">
      <c r="A267" s="71" t="s">
        <v>7529</v>
      </c>
      <c r="B267" s="71" t="s">
        <v>171</v>
      </c>
      <c r="C267" s="71" t="s">
        <v>6381</v>
      </c>
      <c r="D267" s="71"/>
      <c r="E267" s="71" t="s">
        <v>2703</v>
      </c>
      <c r="F267" s="71">
        <v>1092752</v>
      </c>
      <c r="G267" s="71" t="s">
        <v>7530</v>
      </c>
      <c r="H267" s="71" t="s">
        <v>7531</v>
      </c>
      <c r="I267" s="71" t="s">
        <v>6384</v>
      </c>
      <c r="J267" s="71" t="s">
        <v>7532</v>
      </c>
      <c r="K267" s="71" t="s">
        <v>7533</v>
      </c>
    </row>
    <row r="268" spans="1:11" ht="58" customHeight="1" x14ac:dyDescent="0.2">
      <c r="A268" s="70" t="s">
        <v>7534</v>
      </c>
      <c r="B268" s="70" t="s">
        <v>171</v>
      </c>
      <c r="C268" s="70" t="s">
        <v>6381</v>
      </c>
      <c r="D268" s="70"/>
      <c r="E268" s="70" t="s">
        <v>2703</v>
      </c>
      <c r="F268" s="70">
        <v>1150872</v>
      </c>
      <c r="G268" s="70" t="s">
        <v>7535</v>
      </c>
      <c r="H268" s="70" t="s">
        <v>7536</v>
      </c>
      <c r="I268" s="70" t="s">
        <v>6384</v>
      </c>
      <c r="J268" s="70" t="s">
        <v>7537</v>
      </c>
      <c r="K268" s="70" t="s">
        <v>7538</v>
      </c>
    </row>
    <row r="269" spans="1:11" ht="58" customHeight="1" x14ac:dyDescent="0.2">
      <c r="A269" s="71" t="s">
        <v>7539</v>
      </c>
      <c r="B269" s="71" t="s">
        <v>171</v>
      </c>
      <c r="C269" s="71" t="s">
        <v>6381</v>
      </c>
      <c r="D269" s="71"/>
      <c r="E269" s="71" t="s">
        <v>2726</v>
      </c>
      <c r="F269" s="71">
        <v>1150914</v>
      </c>
      <c r="G269" s="71" t="s">
        <v>7540</v>
      </c>
      <c r="H269" s="71" t="s">
        <v>7541</v>
      </c>
      <c r="I269" s="71" t="s">
        <v>6384</v>
      </c>
      <c r="J269" s="71" t="s">
        <v>7542</v>
      </c>
      <c r="K269" s="71" t="s">
        <v>7543</v>
      </c>
    </row>
    <row r="270" spans="1:11" ht="58" customHeight="1" x14ac:dyDescent="0.2">
      <c r="A270" s="70" t="s">
        <v>7544</v>
      </c>
      <c r="B270" s="70" t="s">
        <v>171</v>
      </c>
      <c r="C270" s="70" t="s">
        <v>6381</v>
      </c>
      <c r="D270" s="70"/>
      <c r="E270" s="70" t="s">
        <v>2703</v>
      </c>
      <c r="F270" s="70">
        <v>1310030</v>
      </c>
      <c r="G270" s="70" t="s">
        <v>7545</v>
      </c>
      <c r="H270" s="70" t="s">
        <v>7546</v>
      </c>
      <c r="I270" s="70" t="s">
        <v>6384</v>
      </c>
      <c r="J270" s="70" t="s">
        <v>7547</v>
      </c>
      <c r="K270" s="70" t="s">
        <v>7548</v>
      </c>
    </row>
    <row r="271" spans="1:11" ht="58" customHeight="1" x14ac:dyDescent="0.2">
      <c r="A271" s="71" t="s">
        <v>7549</v>
      </c>
      <c r="B271" s="71" t="s">
        <v>171</v>
      </c>
      <c r="C271" s="71" t="s">
        <v>6381</v>
      </c>
      <c r="D271" s="71"/>
      <c r="E271" s="71" t="s">
        <v>2726</v>
      </c>
      <c r="F271" s="71">
        <v>1338443</v>
      </c>
      <c r="G271" s="71" t="s">
        <v>7550</v>
      </c>
      <c r="H271" s="71" t="s">
        <v>7551</v>
      </c>
      <c r="I271" s="71" t="s">
        <v>6384</v>
      </c>
      <c r="J271" s="71" t="s">
        <v>7552</v>
      </c>
      <c r="K271" s="71" t="s">
        <v>7553</v>
      </c>
    </row>
    <row r="272" spans="1:11" ht="58" customHeight="1" x14ac:dyDescent="0.2">
      <c r="A272" s="70" t="s">
        <v>7554</v>
      </c>
      <c r="B272" s="70" t="s">
        <v>171</v>
      </c>
      <c r="C272" s="70" t="s">
        <v>6381</v>
      </c>
      <c r="D272" s="70"/>
      <c r="E272" s="70" t="s">
        <v>2726</v>
      </c>
      <c r="F272" s="70">
        <v>1387200</v>
      </c>
      <c r="G272" s="70" t="s">
        <v>7555</v>
      </c>
      <c r="H272" s="70" t="s">
        <v>7556</v>
      </c>
      <c r="I272" s="70" t="s">
        <v>6384</v>
      </c>
      <c r="J272" s="70" t="s">
        <v>7557</v>
      </c>
      <c r="K272" s="70" t="s">
        <v>7558</v>
      </c>
    </row>
    <row r="273" spans="1:11" ht="58" customHeight="1" x14ac:dyDescent="0.2">
      <c r="A273" s="71" t="s">
        <v>7559</v>
      </c>
      <c r="B273" s="71" t="s">
        <v>171</v>
      </c>
      <c r="C273" s="71" t="s">
        <v>6381</v>
      </c>
      <c r="D273" s="71"/>
      <c r="E273" s="71" t="s">
        <v>2703</v>
      </c>
      <c r="F273" s="71">
        <v>1428558</v>
      </c>
      <c r="G273" s="71" t="s">
        <v>7560</v>
      </c>
      <c r="H273" s="71" t="s">
        <v>7561</v>
      </c>
      <c r="I273" s="71" t="s">
        <v>6384</v>
      </c>
      <c r="J273" s="71" t="s">
        <v>7562</v>
      </c>
      <c r="K273" s="71" t="s">
        <v>7563</v>
      </c>
    </row>
    <row r="274" spans="1:11" ht="58" customHeight="1" x14ac:dyDescent="0.2">
      <c r="A274" s="70" t="s">
        <v>7564</v>
      </c>
      <c r="B274" s="70" t="s">
        <v>171</v>
      </c>
      <c r="C274" s="70" t="s">
        <v>6381</v>
      </c>
      <c r="D274" s="70"/>
      <c r="E274" s="70" t="s">
        <v>2726</v>
      </c>
      <c r="F274" s="70">
        <v>1429644</v>
      </c>
      <c r="G274" s="70" t="s">
        <v>7565</v>
      </c>
      <c r="H274" s="70" t="s">
        <v>7566</v>
      </c>
      <c r="I274" s="70" t="s">
        <v>6384</v>
      </c>
      <c r="J274" s="70" t="s">
        <v>7567</v>
      </c>
      <c r="K274" s="70" t="s">
        <v>7568</v>
      </c>
    </row>
    <row r="275" spans="1:11" ht="58" customHeight="1" x14ac:dyDescent="0.2">
      <c r="A275" s="71" t="s">
        <v>7569</v>
      </c>
      <c r="B275" s="71" t="s">
        <v>171</v>
      </c>
      <c r="C275" s="71" t="s">
        <v>6381</v>
      </c>
      <c r="D275" s="71"/>
      <c r="E275" s="71" t="s">
        <v>2703</v>
      </c>
      <c r="F275" s="71">
        <v>1464295</v>
      </c>
      <c r="G275" s="71" t="s">
        <v>7570</v>
      </c>
      <c r="H275" s="71" t="s">
        <v>7571</v>
      </c>
      <c r="I275" s="71" t="s">
        <v>6460</v>
      </c>
      <c r="J275" s="71" t="s">
        <v>7572</v>
      </c>
      <c r="K275" s="71" t="s">
        <v>7573</v>
      </c>
    </row>
    <row r="276" spans="1:11" ht="58" customHeight="1" x14ac:dyDescent="0.2">
      <c r="A276" s="70" t="s">
        <v>7574</v>
      </c>
      <c r="B276" s="70" t="s">
        <v>174</v>
      </c>
      <c r="C276" s="70" t="s">
        <v>6381</v>
      </c>
      <c r="D276" s="70"/>
      <c r="E276" s="70" t="s">
        <v>6469</v>
      </c>
      <c r="F276" s="70">
        <v>857425</v>
      </c>
      <c r="G276" s="70" t="s">
        <v>7575</v>
      </c>
      <c r="H276" s="70" t="s">
        <v>7576</v>
      </c>
      <c r="I276" s="70" t="s">
        <v>6384</v>
      </c>
      <c r="J276" s="70" t="s">
        <v>7577</v>
      </c>
      <c r="K276" s="70" t="s">
        <v>7578</v>
      </c>
    </row>
    <row r="277" spans="1:11" ht="58" customHeight="1" x14ac:dyDescent="0.2">
      <c r="A277" s="71" t="s">
        <v>7579</v>
      </c>
      <c r="B277" s="71" t="s">
        <v>174</v>
      </c>
      <c r="C277" s="71" t="s">
        <v>6381</v>
      </c>
      <c r="D277" s="71"/>
      <c r="E277" s="71" t="s">
        <v>6469</v>
      </c>
      <c r="F277" s="71">
        <v>899673</v>
      </c>
      <c r="G277" s="71" t="s">
        <v>7580</v>
      </c>
      <c r="H277" s="71" t="s">
        <v>7581</v>
      </c>
      <c r="I277" s="71" t="s">
        <v>6384</v>
      </c>
      <c r="J277" s="71" t="s">
        <v>7582</v>
      </c>
      <c r="K277" s="71" t="s">
        <v>7583</v>
      </c>
    </row>
    <row r="278" spans="1:11" ht="58" customHeight="1" x14ac:dyDescent="0.2">
      <c r="A278" s="70" t="s">
        <v>7584</v>
      </c>
      <c r="B278" s="70" t="s">
        <v>174</v>
      </c>
      <c r="C278" s="70" t="s">
        <v>6381</v>
      </c>
      <c r="D278" s="70"/>
      <c r="E278" s="70" t="s">
        <v>6469</v>
      </c>
      <c r="F278" s="70">
        <v>900233</v>
      </c>
      <c r="G278" s="70" t="s">
        <v>7585</v>
      </c>
      <c r="H278" s="70" t="s">
        <v>7586</v>
      </c>
      <c r="I278" s="70" t="s">
        <v>6384</v>
      </c>
      <c r="J278" s="70" t="s">
        <v>7587</v>
      </c>
      <c r="K278" s="70" t="s">
        <v>7588</v>
      </c>
    </row>
    <row r="279" spans="1:11" ht="58" customHeight="1" x14ac:dyDescent="0.2">
      <c r="A279" s="71" t="s">
        <v>7589</v>
      </c>
      <c r="B279" s="71" t="s">
        <v>174</v>
      </c>
      <c r="C279" s="71" t="s">
        <v>6381</v>
      </c>
      <c r="D279" s="71"/>
      <c r="E279" s="71" t="s">
        <v>6469</v>
      </c>
      <c r="F279" s="71">
        <v>918924</v>
      </c>
      <c r="G279" s="71" t="s">
        <v>7590</v>
      </c>
      <c r="H279" s="71" t="s">
        <v>7591</v>
      </c>
      <c r="I279" s="71" t="s">
        <v>6384</v>
      </c>
      <c r="J279" s="71" t="s">
        <v>7592</v>
      </c>
      <c r="K279" s="71" t="s">
        <v>7593</v>
      </c>
    </row>
    <row r="280" spans="1:11" ht="58" customHeight="1" x14ac:dyDescent="0.2">
      <c r="A280" s="70" t="s">
        <v>7594</v>
      </c>
      <c r="B280" s="70" t="s">
        <v>174</v>
      </c>
      <c r="C280" s="70" t="s">
        <v>6381</v>
      </c>
      <c r="D280" s="70"/>
      <c r="E280" s="70" t="s">
        <v>2703</v>
      </c>
      <c r="F280" s="70">
        <v>1062331</v>
      </c>
      <c r="G280" s="70" t="s">
        <v>7595</v>
      </c>
      <c r="H280" s="70" t="s">
        <v>7596</v>
      </c>
      <c r="I280" s="70" t="s">
        <v>6384</v>
      </c>
      <c r="J280" s="70" t="s">
        <v>7597</v>
      </c>
      <c r="K280" s="70" t="s">
        <v>7598</v>
      </c>
    </row>
    <row r="281" spans="1:11" ht="58" customHeight="1" x14ac:dyDescent="0.2">
      <c r="A281" s="71" t="s">
        <v>7599</v>
      </c>
      <c r="B281" s="71" t="s">
        <v>174</v>
      </c>
      <c r="C281" s="71" t="s">
        <v>6381</v>
      </c>
      <c r="D281" s="71"/>
      <c r="E281" s="71" t="s">
        <v>2703</v>
      </c>
      <c r="F281" s="71">
        <v>1085698</v>
      </c>
      <c r="G281" s="71" t="s">
        <v>7600</v>
      </c>
      <c r="H281" s="71" t="s">
        <v>7601</v>
      </c>
      <c r="I281" s="71" t="s">
        <v>6384</v>
      </c>
      <c r="J281" s="71" t="s">
        <v>7602</v>
      </c>
      <c r="K281" s="71" t="s">
        <v>7603</v>
      </c>
    </row>
    <row r="282" spans="1:11" ht="58" customHeight="1" x14ac:dyDescent="0.2">
      <c r="A282" s="70" t="s">
        <v>7604</v>
      </c>
      <c r="B282" s="70" t="s">
        <v>174</v>
      </c>
      <c r="C282" s="70" t="s">
        <v>6381</v>
      </c>
      <c r="D282" s="70"/>
      <c r="E282" s="70" t="s">
        <v>2703</v>
      </c>
      <c r="F282" s="70">
        <v>1096175</v>
      </c>
      <c r="G282" s="70" t="s">
        <v>7605</v>
      </c>
      <c r="H282" s="70" t="s">
        <v>7606</v>
      </c>
      <c r="I282" s="70" t="s">
        <v>6384</v>
      </c>
      <c r="J282" s="70" t="s">
        <v>7607</v>
      </c>
      <c r="K282" s="70" t="s">
        <v>7608</v>
      </c>
    </row>
    <row r="283" spans="1:11" ht="58" customHeight="1" x14ac:dyDescent="0.2">
      <c r="A283" s="71" t="s">
        <v>7609</v>
      </c>
      <c r="B283" s="71" t="s">
        <v>174</v>
      </c>
      <c r="C283" s="71" t="s">
        <v>6381</v>
      </c>
      <c r="D283" s="71"/>
      <c r="E283" s="71" t="s">
        <v>2703</v>
      </c>
      <c r="F283" s="71">
        <v>1274810</v>
      </c>
      <c r="G283" s="71" t="s">
        <v>7610</v>
      </c>
      <c r="H283" s="71" t="s">
        <v>7611</v>
      </c>
      <c r="I283" s="71" t="s">
        <v>6384</v>
      </c>
      <c r="J283" s="71" t="s">
        <v>7612</v>
      </c>
      <c r="K283" s="71" t="s">
        <v>7613</v>
      </c>
    </row>
    <row r="284" spans="1:11" ht="58" customHeight="1" x14ac:dyDescent="0.2">
      <c r="A284" s="70" t="s">
        <v>7614</v>
      </c>
      <c r="B284" s="70" t="s">
        <v>174</v>
      </c>
      <c r="C284" s="70" t="s">
        <v>6381</v>
      </c>
      <c r="D284" s="70"/>
      <c r="E284" s="70" t="s">
        <v>2726</v>
      </c>
      <c r="F284" s="70">
        <v>1275234</v>
      </c>
      <c r="G284" s="70" t="s">
        <v>7615</v>
      </c>
      <c r="H284" s="70" t="s">
        <v>7616</v>
      </c>
      <c r="I284" s="70" t="s">
        <v>6384</v>
      </c>
      <c r="J284" s="70" t="s">
        <v>7617</v>
      </c>
      <c r="K284" s="70" t="s">
        <v>7618</v>
      </c>
    </row>
    <row r="285" spans="1:11" ht="58" customHeight="1" x14ac:dyDescent="0.2">
      <c r="A285" s="71" t="s">
        <v>7619</v>
      </c>
      <c r="B285" s="71" t="s">
        <v>174</v>
      </c>
      <c r="C285" s="71" t="s">
        <v>6381</v>
      </c>
      <c r="D285" s="71"/>
      <c r="E285" s="71" t="s">
        <v>2703</v>
      </c>
      <c r="F285" s="71">
        <v>1287746</v>
      </c>
      <c r="G285" s="71" t="s">
        <v>7620</v>
      </c>
      <c r="H285" s="71" t="s">
        <v>3070</v>
      </c>
      <c r="I285" s="71" t="s">
        <v>6384</v>
      </c>
      <c r="J285" s="71" t="s">
        <v>7621</v>
      </c>
      <c r="K285" s="71" t="s">
        <v>7622</v>
      </c>
    </row>
    <row r="286" spans="1:11" ht="58" customHeight="1" x14ac:dyDescent="0.2">
      <c r="A286" s="70" t="s">
        <v>7623</v>
      </c>
      <c r="B286" s="70" t="s">
        <v>174</v>
      </c>
      <c r="C286" s="70" t="s">
        <v>6381</v>
      </c>
      <c r="D286" s="70"/>
      <c r="E286" s="70" t="s">
        <v>2703</v>
      </c>
      <c r="F286" s="70">
        <v>1343237</v>
      </c>
      <c r="G286" s="70" t="s">
        <v>7624</v>
      </c>
      <c r="H286" s="70" t="s">
        <v>2755</v>
      </c>
      <c r="I286" s="70" t="s">
        <v>6384</v>
      </c>
      <c r="J286" s="70" t="s">
        <v>7625</v>
      </c>
      <c r="K286" s="70" t="s">
        <v>7626</v>
      </c>
    </row>
    <row r="287" spans="1:11" ht="58" customHeight="1" x14ac:dyDescent="0.2">
      <c r="A287" s="71" t="s">
        <v>7627</v>
      </c>
      <c r="B287" s="71" t="s">
        <v>174</v>
      </c>
      <c r="C287" s="71" t="s">
        <v>6381</v>
      </c>
      <c r="D287" s="71"/>
      <c r="E287" s="71" t="s">
        <v>2726</v>
      </c>
      <c r="F287" s="71">
        <v>1345798</v>
      </c>
      <c r="G287" s="71" t="s">
        <v>7628</v>
      </c>
      <c r="H287" s="71" t="s">
        <v>7629</v>
      </c>
      <c r="I287" s="71" t="s">
        <v>6384</v>
      </c>
      <c r="J287" s="71" t="s">
        <v>7630</v>
      </c>
      <c r="K287" s="71" t="s">
        <v>7631</v>
      </c>
    </row>
    <row r="288" spans="1:11" ht="58" customHeight="1" x14ac:dyDescent="0.2">
      <c r="A288" s="70" t="s">
        <v>7632</v>
      </c>
      <c r="B288" s="70" t="s">
        <v>174</v>
      </c>
      <c r="C288" s="70" t="s">
        <v>6381</v>
      </c>
      <c r="D288" s="70"/>
      <c r="E288" s="70" t="s">
        <v>2703</v>
      </c>
      <c r="F288" s="70">
        <v>1391765</v>
      </c>
      <c r="G288" s="70" t="s">
        <v>7633</v>
      </c>
      <c r="H288" s="70" t="s">
        <v>2780</v>
      </c>
      <c r="I288" s="70" t="s">
        <v>6460</v>
      </c>
      <c r="J288" s="70" t="s">
        <v>7634</v>
      </c>
      <c r="K288" s="70" t="s">
        <v>7635</v>
      </c>
    </row>
    <row r="289" spans="1:11" ht="58" customHeight="1" x14ac:dyDescent="0.2">
      <c r="A289" s="71" t="s">
        <v>7636</v>
      </c>
      <c r="B289" s="71" t="s">
        <v>174</v>
      </c>
      <c r="C289" s="71" t="s">
        <v>6381</v>
      </c>
      <c r="D289" s="71"/>
      <c r="E289" s="71" t="s">
        <v>2703</v>
      </c>
      <c r="F289" s="71">
        <v>1473973</v>
      </c>
      <c r="G289" s="71" t="s">
        <v>7637</v>
      </c>
      <c r="H289" s="71" t="s">
        <v>1389</v>
      </c>
      <c r="I289" s="71" t="s">
        <v>6384</v>
      </c>
      <c r="J289" s="71" t="s">
        <v>7638</v>
      </c>
      <c r="K289" s="71" t="s">
        <v>7639</v>
      </c>
    </row>
    <row r="290" spans="1:11" ht="58" customHeight="1" x14ac:dyDescent="0.2">
      <c r="A290" s="70" t="s">
        <v>7640</v>
      </c>
      <c r="B290" s="70" t="s">
        <v>179</v>
      </c>
      <c r="C290" s="70" t="s">
        <v>6381</v>
      </c>
      <c r="D290" s="70"/>
      <c r="E290" s="70" t="s">
        <v>6469</v>
      </c>
      <c r="F290" s="70">
        <v>870454</v>
      </c>
      <c r="G290" s="70" t="s">
        <v>7641</v>
      </c>
      <c r="H290" s="70" t="s">
        <v>7642</v>
      </c>
      <c r="I290" s="70" t="s">
        <v>6384</v>
      </c>
      <c r="J290" s="70" t="s">
        <v>7643</v>
      </c>
      <c r="K290" s="70" t="s">
        <v>7644</v>
      </c>
    </row>
    <row r="291" spans="1:11" ht="58" customHeight="1" x14ac:dyDescent="0.2">
      <c r="A291" s="71" t="s">
        <v>7645</v>
      </c>
      <c r="B291" s="71" t="s">
        <v>179</v>
      </c>
      <c r="C291" s="71" t="s">
        <v>6381</v>
      </c>
      <c r="D291" s="71"/>
      <c r="E291" s="71" t="s">
        <v>2703</v>
      </c>
      <c r="F291" s="71">
        <v>955094</v>
      </c>
      <c r="G291" s="71" t="s">
        <v>7646</v>
      </c>
      <c r="H291" s="71" t="s">
        <v>7647</v>
      </c>
      <c r="I291" s="71" t="s">
        <v>6384</v>
      </c>
      <c r="J291" s="71" t="s">
        <v>7648</v>
      </c>
      <c r="K291" s="71" t="s">
        <v>7649</v>
      </c>
    </row>
    <row r="292" spans="1:11" ht="58" customHeight="1" x14ac:dyDescent="0.2">
      <c r="A292" s="70" t="s">
        <v>7650</v>
      </c>
      <c r="B292" s="70" t="s">
        <v>179</v>
      </c>
      <c r="C292" s="70" t="s">
        <v>6381</v>
      </c>
      <c r="D292" s="70"/>
      <c r="E292" s="70" t="s">
        <v>2703</v>
      </c>
      <c r="F292" s="70">
        <v>1067923</v>
      </c>
      <c r="G292" s="70" t="s">
        <v>7651</v>
      </c>
      <c r="H292" s="70" t="s">
        <v>7652</v>
      </c>
      <c r="I292" s="70" t="s">
        <v>6384</v>
      </c>
      <c r="J292" s="70" t="s">
        <v>7653</v>
      </c>
      <c r="K292" s="70" t="s">
        <v>7654</v>
      </c>
    </row>
    <row r="293" spans="1:11" ht="58" customHeight="1" x14ac:dyDescent="0.2">
      <c r="A293" s="71" t="s">
        <v>7655</v>
      </c>
      <c r="B293" s="71" t="s">
        <v>179</v>
      </c>
      <c r="C293" s="71" t="s">
        <v>6381</v>
      </c>
      <c r="D293" s="71"/>
      <c r="E293" s="71" t="s">
        <v>2726</v>
      </c>
      <c r="F293" s="71">
        <v>1068697</v>
      </c>
      <c r="G293" s="71" t="s">
        <v>7656</v>
      </c>
      <c r="H293" s="71" t="s">
        <v>7657</v>
      </c>
      <c r="I293" s="71" t="s">
        <v>6384</v>
      </c>
      <c r="J293" s="71" t="s">
        <v>7658</v>
      </c>
      <c r="K293" s="71" t="s">
        <v>7659</v>
      </c>
    </row>
    <row r="294" spans="1:11" ht="58" customHeight="1" x14ac:dyDescent="0.2">
      <c r="A294" s="70" t="s">
        <v>7660</v>
      </c>
      <c r="B294" s="70" t="s">
        <v>179</v>
      </c>
      <c r="C294" s="70" t="s">
        <v>6381</v>
      </c>
      <c r="D294" s="70"/>
      <c r="E294" s="70" t="s">
        <v>2703</v>
      </c>
      <c r="F294" s="70">
        <v>1203614</v>
      </c>
      <c r="G294" s="70" t="s">
        <v>7661</v>
      </c>
      <c r="H294" s="70" t="s">
        <v>7662</v>
      </c>
      <c r="I294" s="70" t="s">
        <v>6384</v>
      </c>
      <c r="J294" s="70" t="s">
        <v>7663</v>
      </c>
      <c r="K294" s="70" t="s">
        <v>7664</v>
      </c>
    </row>
    <row r="295" spans="1:11" ht="58" customHeight="1" x14ac:dyDescent="0.2">
      <c r="A295" s="71" t="s">
        <v>7665</v>
      </c>
      <c r="B295" s="71" t="s">
        <v>179</v>
      </c>
      <c r="C295" s="71" t="s">
        <v>6381</v>
      </c>
      <c r="D295" s="71"/>
      <c r="E295" s="71" t="s">
        <v>2726</v>
      </c>
      <c r="F295" s="71">
        <v>1207414</v>
      </c>
      <c r="G295" s="71" t="s">
        <v>7666</v>
      </c>
      <c r="H295" s="71" t="s">
        <v>7667</v>
      </c>
      <c r="I295" s="71" t="s">
        <v>6384</v>
      </c>
      <c r="J295" s="71" t="s">
        <v>7668</v>
      </c>
      <c r="K295" s="71" t="s">
        <v>7669</v>
      </c>
    </row>
    <row r="296" spans="1:11" ht="58" customHeight="1" x14ac:dyDescent="0.2">
      <c r="A296" s="70" t="s">
        <v>7670</v>
      </c>
      <c r="B296" s="70" t="s">
        <v>179</v>
      </c>
      <c r="C296" s="70" t="s">
        <v>6381</v>
      </c>
      <c r="D296" s="70"/>
      <c r="E296" s="70" t="s">
        <v>2703</v>
      </c>
      <c r="F296" s="70">
        <v>1319449</v>
      </c>
      <c r="G296" s="70" t="s">
        <v>7671</v>
      </c>
      <c r="H296" s="70" t="s">
        <v>1391</v>
      </c>
      <c r="I296" s="70" t="s">
        <v>6384</v>
      </c>
      <c r="J296" s="70" t="s">
        <v>7672</v>
      </c>
      <c r="K296" s="70" t="s">
        <v>7673</v>
      </c>
    </row>
    <row r="297" spans="1:11" ht="58" customHeight="1" x14ac:dyDescent="0.2">
      <c r="A297" s="71" t="s">
        <v>7674</v>
      </c>
      <c r="B297" s="71" t="s">
        <v>179</v>
      </c>
      <c r="C297" s="71" t="s">
        <v>6381</v>
      </c>
      <c r="D297" s="71"/>
      <c r="E297" s="71" t="s">
        <v>2703</v>
      </c>
      <c r="F297" s="71">
        <v>1330437</v>
      </c>
      <c r="G297" s="71" t="s">
        <v>7675</v>
      </c>
      <c r="H297" s="71" t="s">
        <v>7676</v>
      </c>
      <c r="I297" s="71" t="s">
        <v>6384</v>
      </c>
      <c r="J297" s="71" t="s">
        <v>7677</v>
      </c>
      <c r="K297" s="71" t="s">
        <v>7678</v>
      </c>
    </row>
    <row r="298" spans="1:11" ht="58" customHeight="1" x14ac:dyDescent="0.2">
      <c r="A298" s="70" t="s">
        <v>7679</v>
      </c>
      <c r="B298" s="70" t="s">
        <v>179</v>
      </c>
      <c r="C298" s="70" t="s">
        <v>6381</v>
      </c>
      <c r="D298" s="70"/>
      <c r="E298" s="70" t="s">
        <v>2703</v>
      </c>
      <c r="F298" s="70">
        <v>1414920</v>
      </c>
      <c r="G298" s="70" t="s">
        <v>7680</v>
      </c>
      <c r="H298" s="70" t="s">
        <v>1394</v>
      </c>
      <c r="I298" s="70" t="s">
        <v>6460</v>
      </c>
      <c r="J298" s="70" t="s">
        <v>7681</v>
      </c>
      <c r="K298" s="70" t="s">
        <v>7682</v>
      </c>
    </row>
    <row r="299" spans="1:11" ht="58" customHeight="1" x14ac:dyDescent="0.2">
      <c r="A299" s="71" t="s">
        <v>7683</v>
      </c>
      <c r="B299" s="71" t="s">
        <v>182</v>
      </c>
      <c r="C299" s="71" t="s">
        <v>6381</v>
      </c>
      <c r="D299" s="71"/>
      <c r="E299" s="71" t="s">
        <v>2703</v>
      </c>
      <c r="F299" s="71">
        <v>1091782</v>
      </c>
      <c r="G299" s="71" t="s">
        <v>7684</v>
      </c>
      <c r="H299" s="71" t="s">
        <v>7685</v>
      </c>
      <c r="I299" s="71" t="s">
        <v>6384</v>
      </c>
      <c r="J299" s="71" t="s">
        <v>7686</v>
      </c>
      <c r="K299" s="71" t="s">
        <v>7687</v>
      </c>
    </row>
    <row r="300" spans="1:11" ht="58" customHeight="1" x14ac:dyDescent="0.2">
      <c r="A300" s="70" t="s">
        <v>7688</v>
      </c>
      <c r="B300" s="70" t="s">
        <v>182</v>
      </c>
      <c r="C300" s="70" t="s">
        <v>6381</v>
      </c>
      <c r="D300" s="70"/>
      <c r="E300" s="70" t="s">
        <v>2726</v>
      </c>
      <c r="F300" s="70">
        <v>1092969</v>
      </c>
      <c r="G300" s="70" t="s">
        <v>7689</v>
      </c>
      <c r="H300" s="70" t="s">
        <v>7690</v>
      </c>
      <c r="I300" s="70" t="s">
        <v>6384</v>
      </c>
      <c r="J300" s="70" t="s">
        <v>7691</v>
      </c>
      <c r="K300" s="70" t="s">
        <v>7692</v>
      </c>
    </row>
    <row r="301" spans="1:11" ht="58" customHeight="1" x14ac:dyDescent="0.2">
      <c r="A301" s="71" t="s">
        <v>7693</v>
      </c>
      <c r="B301" s="71" t="s">
        <v>182</v>
      </c>
      <c r="C301" s="71" t="s">
        <v>6381</v>
      </c>
      <c r="D301" s="71"/>
      <c r="E301" s="71" t="s">
        <v>2703</v>
      </c>
      <c r="F301" s="71">
        <v>1190022</v>
      </c>
      <c r="G301" s="71" t="s">
        <v>7694</v>
      </c>
      <c r="H301" s="71" t="s">
        <v>7695</v>
      </c>
      <c r="I301" s="71" t="s">
        <v>6384</v>
      </c>
      <c r="J301" s="71" t="s">
        <v>7696</v>
      </c>
      <c r="K301" s="71" t="s">
        <v>7697</v>
      </c>
    </row>
    <row r="302" spans="1:11" ht="58" customHeight="1" x14ac:dyDescent="0.2">
      <c r="A302" s="70" t="s">
        <v>7698</v>
      </c>
      <c r="B302" s="70" t="s">
        <v>182</v>
      </c>
      <c r="C302" s="70" t="s">
        <v>6381</v>
      </c>
      <c r="D302" s="70"/>
      <c r="E302" s="70" t="s">
        <v>2726</v>
      </c>
      <c r="F302" s="70">
        <v>1194814</v>
      </c>
      <c r="G302" s="70" t="s">
        <v>7699</v>
      </c>
      <c r="H302" s="70" t="s">
        <v>7700</v>
      </c>
      <c r="I302" s="70" t="s">
        <v>6384</v>
      </c>
      <c r="J302" s="70" t="s">
        <v>7701</v>
      </c>
      <c r="K302" s="70" t="s">
        <v>7702</v>
      </c>
    </row>
    <row r="303" spans="1:11" ht="58" customHeight="1" x14ac:dyDescent="0.2">
      <c r="A303" s="71" t="s">
        <v>7703</v>
      </c>
      <c r="B303" s="71" t="s">
        <v>182</v>
      </c>
      <c r="C303" s="71" t="s">
        <v>6381</v>
      </c>
      <c r="D303" s="71"/>
      <c r="E303" s="71" t="s">
        <v>2726</v>
      </c>
      <c r="F303" s="71">
        <v>1288275</v>
      </c>
      <c r="G303" s="71" t="s">
        <v>7704</v>
      </c>
      <c r="H303" s="71" t="s">
        <v>3084</v>
      </c>
      <c r="I303" s="71" t="s">
        <v>6384</v>
      </c>
      <c r="J303" s="71" t="s">
        <v>7705</v>
      </c>
      <c r="K303" s="71" t="s">
        <v>7706</v>
      </c>
    </row>
    <row r="304" spans="1:11" ht="58" customHeight="1" x14ac:dyDescent="0.2">
      <c r="A304" s="70" t="s">
        <v>7707</v>
      </c>
      <c r="B304" s="70" t="s">
        <v>182</v>
      </c>
      <c r="C304" s="70" t="s">
        <v>6381</v>
      </c>
      <c r="D304" s="70"/>
      <c r="E304" s="70" t="s">
        <v>2726</v>
      </c>
      <c r="F304" s="70">
        <v>1327522</v>
      </c>
      <c r="G304" s="70" t="s">
        <v>7708</v>
      </c>
      <c r="H304" s="70" t="s">
        <v>7709</v>
      </c>
      <c r="I304" s="70" t="s">
        <v>6384</v>
      </c>
      <c r="J304" s="70" t="s">
        <v>7710</v>
      </c>
      <c r="K304" s="70" t="s">
        <v>7711</v>
      </c>
    </row>
    <row r="305" spans="1:11" ht="58" customHeight="1" x14ac:dyDescent="0.2">
      <c r="A305" s="71" t="s">
        <v>7712</v>
      </c>
      <c r="B305" s="71" t="s">
        <v>182</v>
      </c>
      <c r="C305" s="71" t="s">
        <v>6381</v>
      </c>
      <c r="D305" s="71"/>
      <c r="E305" s="71" t="s">
        <v>2703</v>
      </c>
      <c r="F305" s="71">
        <v>1345985</v>
      </c>
      <c r="G305" s="71" t="s">
        <v>7713</v>
      </c>
      <c r="H305" s="71" t="s">
        <v>2802</v>
      </c>
      <c r="I305" s="71" t="s">
        <v>6384</v>
      </c>
      <c r="J305" s="71" t="s">
        <v>7714</v>
      </c>
      <c r="K305" s="71" t="s">
        <v>7715</v>
      </c>
    </row>
    <row r="306" spans="1:11" ht="58" customHeight="1" x14ac:dyDescent="0.2">
      <c r="A306" s="70" t="s">
        <v>7716</v>
      </c>
      <c r="B306" s="70" t="s">
        <v>182</v>
      </c>
      <c r="C306" s="70" t="s">
        <v>6381</v>
      </c>
      <c r="D306" s="70"/>
      <c r="E306" s="70" t="s">
        <v>2726</v>
      </c>
      <c r="F306" s="70">
        <v>1347530</v>
      </c>
      <c r="G306" s="70" t="s">
        <v>7717</v>
      </c>
      <c r="H306" s="70" t="s">
        <v>7718</v>
      </c>
      <c r="I306" s="70" t="s">
        <v>6384</v>
      </c>
      <c r="J306" s="70" t="s">
        <v>7719</v>
      </c>
      <c r="K306" s="70" t="s">
        <v>7720</v>
      </c>
    </row>
    <row r="307" spans="1:11" ht="58" customHeight="1" x14ac:dyDescent="0.2">
      <c r="A307" s="71" t="s">
        <v>7721</v>
      </c>
      <c r="B307" s="71" t="s">
        <v>182</v>
      </c>
      <c r="C307" s="71" t="s">
        <v>6381</v>
      </c>
      <c r="D307" s="71"/>
      <c r="E307" s="71" t="s">
        <v>2726</v>
      </c>
      <c r="F307" s="71">
        <v>1404286</v>
      </c>
      <c r="G307" s="71" t="s">
        <v>7722</v>
      </c>
      <c r="H307" s="71" t="s">
        <v>7723</v>
      </c>
      <c r="I307" s="71" t="s">
        <v>6384</v>
      </c>
      <c r="J307" s="71" t="s">
        <v>7724</v>
      </c>
      <c r="K307" s="71" t="s">
        <v>7725</v>
      </c>
    </row>
    <row r="308" spans="1:11" ht="58" customHeight="1" x14ac:dyDescent="0.2">
      <c r="A308" s="70" t="s">
        <v>7726</v>
      </c>
      <c r="B308" s="70" t="s">
        <v>182</v>
      </c>
      <c r="C308" s="70" t="s">
        <v>6381</v>
      </c>
      <c r="D308" s="70"/>
      <c r="E308" s="70" t="s">
        <v>2726</v>
      </c>
      <c r="F308" s="70">
        <v>1443940</v>
      </c>
      <c r="G308" s="70" t="s">
        <v>7727</v>
      </c>
      <c r="H308" s="70" t="s">
        <v>2790</v>
      </c>
      <c r="I308" s="70" t="s">
        <v>6384</v>
      </c>
      <c r="J308" s="70" t="s">
        <v>7728</v>
      </c>
      <c r="K308" s="70" t="s">
        <v>7729</v>
      </c>
    </row>
    <row r="309" spans="1:11" ht="58" customHeight="1" x14ac:dyDescent="0.2">
      <c r="A309" s="71" t="s">
        <v>7730</v>
      </c>
      <c r="B309" s="71" t="s">
        <v>182</v>
      </c>
      <c r="C309" s="71" t="s">
        <v>6381</v>
      </c>
      <c r="D309" s="71"/>
      <c r="E309" s="71" t="s">
        <v>2726</v>
      </c>
      <c r="F309" s="71">
        <v>1448512</v>
      </c>
      <c r="G309" s="71" t="s">
        <v>7731</v>
      </c>
      <c r="H309" s="71" t="s">
        <v>7732</v>
      </c>
      <c r="I309" s="71" t="s">
        <v>6384</v>
      </c>
      <c r="J309" s="71" t="s">
        <v>7733</v>
      </c>
      <c r="K309" s="71" t="s">
        <v>7734</v>
      </c>
    </row>
    <row r="310" spans="1:11" ht="58" customHeight="1" x14ac:dyDescent="0.2">
      <c r="A310" s="70" t="s">
        <v>7735</v>
      </c>
      <c r="B310" s="70" t="s">
        <v>182</v>
      </c>
      <c r="C310" s="70" t="s">
        <v>6381</v>
      </c>
      <c r="D310" s="70"/>
      <c r="E310" s="70" t="s">
        <v>2726</v>
      </c>
      <c r="F310" s="70">
        <v>1451719</v>
      </c>
      <c r="G310" s="70" t="s">
        <v>7736</v>
      </c>
      <c r="H310" s="70" t="s">
        <v>7737</v>
      </c>
      <c r="I310" s="70" t="s">
        <v>6460</v>
      </c>
      <c r="J310" s="70" t="s">
        <v>7738</v>
      </c>
      <c r="K310" s="70" t="s">
        <v>7739</v>
      </c>
    </row>
    <row r="311" spans="1:11" ht="58" customHeight="1" x14ac:dyDescent="0.2">
      <c r="A311" s="71" t="s">
        <v>7740</v>
      </c>
      <c r="B311" s="71" t="s">
        <v>182</v>
      </c>
      <c r="C311" s="71" t="s">
        <v>6381</v>
      </c>
      <c r="D311" s="71"/>
      <c r="E311" s="71" t="s">
        <v>2703</v>
      </c>
      <c r="F311" s="71">
        <v>1515744</v>
      </c>
      <c r="G311" s="71" t="s">
        <v>7741</v>
      </c>
      <c r="H311" s="71" t="s">
        <v>7742</v>
      </c>
      <c r="I311" s="71" t="s">
        <v>6384</v>
      </c>
      <c r="J311" s="71" t="s">
        <v>7743</v>
      </c>
      <c r="K311" s="71" t="s">
        <v>7744</v>
      </c>
    </row>
    <row r="312" spans="1:11" ht="58" customHeight="1" x14ac:dyDescent="0.2">
      <c r="A312" s="70" t="s">
        <v>7745</v>
      </c>
      <c r="B312" s="70" t="s">
        <v>182</v>
      </c>
      <c r="C312" s="70" t="s">
        <v>6381</v>
      </c>
      <c r="D312" s="70"/>
      <c r="E312" s="70" t="s">
        <v>2726</v>
      </c>
      <c r="F312" s="70">
        <v>1515813</v>
      </c>
      <c r="G312" s="70" t="s">
        <v>7746</v>
      </c>
      <c r="H312" s="70" t="s">
        <v>7747</v>
      </c>
      <c r="I312" s="70" t="s">
        <v>6384</v>
      </c>
      <c r="J312" s="70" t="s">
        <v>7748</v>
      </c>
      <c r="K312" s="70" t="s">
        <v>7749</v>
      </c>
    </row>
    <row r="313" spans="1:11" ht="58" customHeight="1" x14ac:dyDescent="0.2">
      <c r="A313" s="71" t="s">
        <v>7750</v>
      </c>
      <c r="B313" s="71" t="s">
        <v>182</v>
      </c>
      <c r="C313" s="71" t="s">
        <v>6381</v>
      </c>
      <c r="D313" s="71"/>
      <c r="E313" s="71" t="s">
        <v>2703</v>
      </c>
      <c r="F313" s="71">
        <v>1551463</v>
      </c>
      <c r="G313" s="71" t="s">
        <v>7751</v>
      </c>
      <c r="H313" s="71" t="s">
        <v>7752</v>
      </c>
      <c r="I313" s="71" t="s">
        <v>6384</v>
      </c>
      <c r="J313" s="71" t="s">
        <v>7753</v>
      </c>
      <c r="K313" s="71" t="s">
        <v>7754</v>
      </c>
    </row>
    <row r="314" spans="1:11" ht="58" customHeight="1" x14ac:dyDescent="0.2">
      <c r="A314" s="70" t="s">
        <v>7755</v>
      </c>
      <c r="B314" s="70" t="s">
        <v>187</v>
      </c>
      <c r="C314" s="70" t="s">
        <v>6381</v>
      </c>
      <c r="D314" s="70"/>
      <c r="E314" s="70" t="s">
        <v>6469</v>
      </c>
      <c r="F314" s="70">
        <v>866776</v>
      </c>
      <c r="G314" s="70" t="s">
        <v>7756</v>
      </c>
      <c r="H314" s="70" t="s">
        <v>7757</v>
      </c>
      <c r="I314" s="70" t="s">
        <v>6384</v>
      </c>
      <c r="J314" s="70" t="s">
        <v>7758</v>
      </c>
      <c r="K314" s="70" t="s">
        <v>7759</v>
      </c>
    </row>
    <row r="315" spans="1:11" ht="58" customHeight="1" x14ac:dyDescent="0.2">
      <c r="A315" s="71" t="s">
        <v>7760</v>
      </c>
      <c r="B315" s="71" t="s">
        <v>187</v>
      </c>
      <c r="C315" s="71" t="s">
        <v>6381</v>
      </c>
      <c r="D315" s="71"/>
      <c r="E315" s="71" t="s">
        <v>2703</v>
      </c>
      <c r="F315" s="71">
        <v>968715</v>
      </c>
      <c r="G315" s="71" t="s">
        <v>7761</v>
      </c>
      <c r="H315" s="71" t="s">
        <v>7762</v>
      </c>
      <c r="I315" s="71" t="s">
        <v>6384</v>
      </c>
      <c r="J315" s="71" t="s">
        <v>7763</v>
      </c>
      <c r="K315" s="71" t="s">
        <v>7764</v>
      </c>
    </row>
    <row r="316" spans="1:11" ht="58" customHeight="1" x14ac:dyDescent="0.2">
      <c r="A316" s="70" t="s">
        <v>7765</v>
      </c>
      <c r="B316" s="70" t="s">
        <v>187</v>
      </c>
      <c r="C316" s="70" t="s">
        <v>6381</v>
      </c>
      <c r="D316" s="70"/>
      <c r="E316" s="70" t="s">
        <v>2726</v>
      </c>
      <c r="F316" s="70">
        <v>1011041</v>
      </c>
      <c r="G316" s="70" t="s">
        <v>7766</v>
      </c>
      <c r="H316" s="70" t="s">
        <v>7767</v>
      </c>
      <c r="I316" s="70" t="s">
        <v>6384</v>
      </c>
      <c r="J316" s="70" t="s">
        <v>7768</v>
      </c>
      <c r="K316" s="70" t="s">
        <v>7769</v>
      </c>
    </row>
    <row r="317" spans="1:11" ht="58" customHeight="1" x14ac:dyDescent="0.2">
      <c r="A317" s="71" t="s">
        <v>7770</v>
      </c>
      <c r="B317" s="71" t="s">
        <v>187</v>
      </c>
      <c r="C317" s="71" t="s">
        <v>6381</v>
      </c>
      <c r="D317" s="71"/>
      <c r="E317" s="71" t="s">
        <v>2703</v>
      </c>
      <c r="F317" s="71">
        <v>1044308</v>
      </c>
      <c r="G317" s="71" t="s">
        <v>7771</v>
      </c>
      <c r="H317" s="71" t="s">
        <v>7772</v>
      </c>
      <c r="I317" s="71" t="s">
        <v>6384</v>
      </c>
      <c r="J317" s="71" t="s">
        <v>7773</v>
      </c>
      <c r="K317" s="71" t="s">
        <v>7774</v>
      </c>
    </row>
    <row r="318" spans="1:11" ht="58" customHeight="1" x14ac:dyDescent="0.2">
      <c r="A318" s="70" t="s">
        <v>7775</v>
      </c>
      <c r="B318" s="70" t="s">
        <v>187</v>
      </c>
      <c r="C318" s="70" t="s">
        <v>6381</v>
      </c>
      <c r="D318" s="70"/>
      <c r="E318" s="70" t="s">
        <v>2726</v>
      </c>
      <c r="F318" s="70">
        <v>1051329</v>
      </c>
      <c r="G318" s="70" t="s">
        <v>7776</v>
      </c>
      <c r="H318" s="70" t="s">
        <v>7777</v>
      </c>
      <c r="I318" s="70" t="s">
        <v>6384</v>
      </c>
      <c r="J318" s="70" t="s">
        <v>7778</v>
      </c>
      <c r="K318" s="70" t="s">
        <v>7779</v>
      </c>
    </row>
    <row r="319" spans="1:11" ht="58" customHeight="1" x14ac:dyDescent="0.2">
      <c r="A319" s="71" t="s">
        <v>7780</v>
      </c>
      <c r="B319" s="71" t="s">
        <v>187</v>
      </c>
      <c r="C319" s="71" t="s">
        <v>6381</v>
      </c>
      <c r="D319" s="71"/>
      <c r="E319" s="71" t="s">
        <v>2703</v>
      </c>
      <c r="F319" s="71">
        <v>1052068</v>
      </c>
      <c r="G319" s="71" t="s">
        <v>7781</v>
      </c>
      <c r="H319" s="71" t="s">
        <v>7782</v>
      </c>
      <c r="I319" s="71" t="s">
        <v>6384</v>
      </c>
      <c r="J319" s="71" t="s">
        <v>7783</v>
      </c>
      <c r="K319" s="71" t="s">
        <v>7784</v>
      </c>
    </row>
    <row r="320" spans="1:11" ht="58" customHeight="1" x14ac:dyDescent="0.2">
      <c r="A320" s="70" t="s">
        <v>7785</v>
      </c>
      <c r="B320" s="70" t="s">
        <v>187</v>
      </c>
      <c r="C320" s="70" t="s">
        <v>6381</v>
      </c>
      <c r="D320" s="70"/>
      <c r="E320" s="70" t="s">
        <v>2703</v>
      </c>
      <c r="F320" s="70">
        <v>1261800</v>
      </c>
      <c r="G320" s="70" t="s">
        <v>7786</v>
      </c>
      <c r="H320" s="70" t="s">
        <v>7787</v>
      </c>
      <c r="I320" s="70" t="s">
        <v>6384</v>
      </c>
      <c r="J320" s="70" t="s">
        <v>7788</v>
      </c>
      <c r="K320" s="70" t="s">
        <v>7789</v>
      </c>
    </row>
    <row r="321" spans="1:11" ht="58" customHeight="1" x14ac:dyDescent="0.2">
      <c r="A321" s="71" t="s">
        <v>7790</v>
      </c>
      <c r="B321" s="71" t="s">
        <v>187</v>
      </c>
      <c r="C321" s="71" t="s">
        <v>6381</v>
      </c>
      <c r="D321" s="71"/>
      <c r="E321" s="71" t="s">
        <v>2703</v>
      </c>
      <c r="F321" s="71">
        <v>1266583</v>
      </c>
      <c r="G321" s="71" t="s">
        <v>7791</v>
      </c>
      <c r="H321" s="71" t="s">
        <v>7792</v>
      </c>
      <c r="I321" s="71" t="s">
        <v>6384</v>
      </c>
      <c r="J321" s="71" t="s">
        <v>7793</v>
      </c>
      <c r="K321" s="71" t="s">
        <v>7794</v>
      </c>
    </row>
    <row r="322" spans="1:11" ht="58" customHeight="1" x14ac:dyDescent="0.2">
      <c r="A322" s="70" t="s">
        <v>7795</v>
      </c>
      <c r="B322" s="70" t="s">
        <v>187</v>
      </c>
      <c r="C322" s="70" t="s">
        <v>6381</v>
      </c>
      <c r="D322" s="70"/>
      <c r="E322" s="70" t="s">
        <v>2703</v>
      </c>
      <c r="F322" s="70">
        <v>1286343</v>
      </c>
      <c r="G322" s="70" t="s">
        <v>7796</v>
      </c>
      <c r="H322" s="70" t="s">
        <v>7797</v>
      </c>
      <c r="I322" s="70" t="s">
        <v>6384</v>
      </c>
      <c r="J322" s="70" t="s">
        <v>7798</v>
      </c>
      <c r="K322" s="70" t="s">
        <v>7799</v>
      </c>
    </row>
    <row r="323" spans="1:11" ht="58" customHeight="1" x14ac:dyDescent="0.2">
      <c r="A323" s="71" t="s">
        <v>7800</v>
      </c>
      <c r="B323" s="71" t="s">
        <v>187</v>
      </c>
      <c r="C323" s="71" t="s">
        <v>6381</v>
      </c>
      <c r="D323" s="71"/>
      <c r="E323" s="71" t="s">
        <v>2703</v>
      </c>
      <c r="F323" s="71">
        <v>1405147</v>
      </c>
      <c r="G323" s="71" t="s">
        <v>7801</v>
      </c>
      <c r="H323" s="71" t="s">
        <v>1409</v>
      </c>
      <c r="I323" s="71" t="s">
        <v>6384</v>
      </c>
      <c r="J323" s="71" t="s">
        <v>7802</v>
      </c>
      <c r="K323" s="71" t="s">
        <v>7803</v>
      </c>
    </row>
    <row r="324" spans="1:11" ht="58" customHeight="1" x14ac:dyDescent="0.2">
      <c r="A324" s="70" t="s">
        <v>7804</v>
      </c>
      <c r="B324" s="70" t="s">
        <v>187</v>
      </c>
      <c r="C324" s="70" t="s">
        <v>6381</v>
      </c>
      <c r="D324" s="70"/>
      <c r="E324" s="70" t="s">
        <v>2703</v>
      </c>
      <c r="F324" s="70">
        <v>1418346</v>
      </c>
      <c r="G324" s="70" t="s">
        <v>7805</v>
      </c>
      <c r="H324" s="70" t="s">
        <v>7806</v>
      </c>
      <c r="I324" s="70" t="s">
        <v>6384</v>
      </c>
      <c r="J324" s="70" t="s">
        <v>7807</v>
      </c>
      <c r="K324" s="70" t="s">
        <v>7808</v>
      </c>
    </row>
    <row r="325" spans="1:11" ht="58" customHeight="1" x14ac:dyDescent="0.2">
      <c r="A325" s="71" t="s">
        <v>7809</v>
      </c>
      <c r="B325" s="71" t="s">
        <v>187</v>
      </c>
      <c r="C325" s="71" t="s">
        <v>6381</v>
      </c>
      <c r="D325" s="71"/>
      <c r="E325" s="71" t="s">
        <v>2703</v>
      </c>
      <c r="F325" s="71">
        <v>1432680</v>
      </c>
      <c r="G325" s="71" t="s">
        <v>7810</v>
      </c>
      <c r="H325" s="71" t="s">
        <v>1406</v>
      </c>
      <c r="I325" s="71" t="s">
        <v>6460</v>
      </c>
      <c r="J325" s="71" t="s">
        <v>7811</v>
      </c>
      <c r="K325" s="71" t="s">
        <v>7812</v>
      </c>
    </row>
    <row r="326" spans="1:11" ht="58" customHeight="1" x14ac:dyDescent="0.2">
      <c r="A326" s="70" t="s">
        <v>7813</v>
      </c>
      <c r="B326" s="70" t="s">
        <v>190</v>
      </c>
      <c r="C326" s="70" t="s">
        <v>6381</v>
      </c>
      <c r="D326" s="70"/>
      <c r="E326" s="70" t="s">
        <v>6469</v>
      </c>
      <c r="F326" s="70">
        <v>866035</v>
      </c>
      <c r="G326" s="70" t="s">
        <v>7814</v>
      </c>
      <c r="H326" s="70" t="s">
        <v>7815</v>
      </c>
      <c r="I326" s="70" t="s">
        <v>6384</v>
      </c>
      <c r="J326" s="70" t="s">
        <v>7816</v>
      </c>
      <c r="K326" s="70" t="s">
        <v>7817</v>
      </c>
    </row>
    <row r="327" spans="1:11" ht="58" customHeight="1" x14ac:dyDescent="0.2">
      <c r="A327" s="71" t="s">
        <v>7818</v>
      </c>
      <c r="B327" s="71" t="s">
        <v>190</v>
      </c>
      <c r="C327" s="71" t="s">
        <v>6381</v>
      </c>
      <c r="D327" s="71"/>
      <c r="E327" s="71" t="s">
        <v>6469</v>
      </c>
      <c r="F327" s="71">
        <v>904251</v>
      </c>
      <c r="G327" s="71" t="s">
        <v>7819</v>
      </c>
      <c r="H327" s="71" t="s">
        <v>7820</v>
      </c>
      <c r="I327" s="71" t="s">
        <v>6384</v>
      </c>
      <c r="J327" s="71" t="s">
        <v>7821</v>
      </c>
      <c r="K327" s="71" t="s">
        <v>7822</v>
      </c>
    </row>
    <row r="328" spans="1:11" ht="58" customHeight="1" x14ac:dyDescent="0.2">
      <c r="A328" s="70" t="s">
        <v>7823</v>
      </c>
      <c r="B328" s="70" t="s">
        <v>190</v>
      </c>
      <c r="C328" s="70" t="s">
        <v>6381</v>
      </c>
      <c r="D328" s="70"/>
      <c r="E328" s="70" t="s">
        <v>2703</v>
      </c>
      <c r="F328" s="70">
        <v>937186</v>
      </c>
      <c r="G328" s="70" t="s">
        <v>7824</v>
      </c>
      <c r="H328" s="70" t="s">
        <v>7825</v>
      </c>
      <c r="I328" s="70" t="s">
        <v>6384</v>
      </c>
      <c r="J328" s="70" t="s">
        <v>7826</v>
      </c>
      <c r="K328" s="70" t="s">
        <v>7827</v>
      </c>
    </row>
    <row r="329" spans="1:11" ht="58" customHeight="1" x14ac:dyDescent="0.2">
      <c r="A329" s="71" t="s">
        <v>7828</v>
      </c>
      <c r="B329" s="71" t="s">
        <v>190</v>
      </c>
      <c r="C329" s="71" t="s">
        <v>6381</v>
      </c>
      <c r="D329" s="71"/>
      <c r="E329" s="71" t="s">
        <v>2703</v>
      </c>
      <c r="F329" s="71">
        <v>1000543</v>
      </c>
      <c r="G329" s="71" t="s">
        <v>7829</v>
      </c>
      <c r="H329" s="71" t="s">
        <v>7830</v>
      </c>
      <c r="I329" s="71" t="s">
        <v>6384</v>
      </c>
      <c r="J329" s="71" t="s">
        <v>7831</v>
      </c>
      <c r="K329" s="71" t="s">
        <v>7832</v>
      </c>
    </row>
    <row r="330" spans="1:11" ht="58" customHeight="1" x14ac:dyDescent="0.2">
      <c r="A330" s="70" t="s">
        <v>7833</v>
      </c>
      <c r="B330" s="70" t="s">
        <v>190</v>
      </c>
      <c r="C330" s="70" t="s">
        <v>6381</v>
      </c>
      <c r="D330" s="70"/>
      <c r="E330" s="70" t="s">
        <v>2703</v>
      </c>
      <c r="F330" s="70">
        <v>1083618</v>
      </c>
      <c r="G330" s="70" t="s">
        <v>7834</v>
      </c>
      <c r="H330" s="70" t="s">
        <v>7835</v>
      </c>
      <c r="I330" s="70" t="s">
        <v>6384</v>
      </c>
      <c r="J330" s="70" t="s">
        <v>7836</v>
      </c>
      <c r="K330" s="70" t="s">
        <v>7837</v>
      </c>
    </row>
    <row r="331" spans="1:11" ht="58" customHeight="1" x14ac:dyDescent="0.2">
      <c r="A331" s="71" t="s">
        <v>7838</v>
      </c>
      <c r="B331" s="71" t="s">
        <v>190</v>
      </c>
      <c r="C331" s="71" t="s">
        <v>6381</v>
      </c>
      <c r="D331" s="71"/>
      <c r="E331" s="71" t="s">
        <v>2703</v>
      </c>
      <c r="F331" s="71">
        <v>1103264</v>
      </c>
      <c r="G331" s="71" t="s">
        <v>7839</v>
      </c>
      <c r="H331" s="71" t="s">
        <v>7840</v>
      </c>
      <c r="I331" s="71" t="s">
        <v>6384</v>
      </c>
      <c r="J331" s="71" t="s">
        <v>7841</v>
      </c>
      <c r="K331" s="71" t="s">
        <v>7842</v>
      </c>
    </row>
    <row r="332" spans="1:11" ht="58" customHeight="1" x14ac:dyDescent="0.2">
      <c r="A332" s="70" t="s">
        <v>7843</v>
      </c>
      <c r="B332" s="70" t="s">
        <v>190</v>
      </c>
      <c r="C332" s="70" t="s">
        <v>6381</v>
      </c>
      <c r="D332" s="70"/>
      <c r="E332" s="70" t="s">
        <v>2703</v>
      </c>
      <c r="F332" s="70">
        <v>1103307</v>
      </c>
      <c r="G332" s="70" t="s">
        <v>7844</v>
      </c>
      <c r="H332" s="70" t="s">
        <v>7845</v>
      </c>
      <c r="I332" s="70" t="s">
        <v>6384</v>
      </c>
      <c r="J332" s="70" t="s">
        <v>7846</v>
      </c>
      <c r="K332" s="70" t="s">
        <v>7847</v>
      </c>
    </row>
    <row r="333" spans="1:11" ht="58" customHeight="1" x14ac:dyDescent="0.2">
      <c r="A333" s="71" t="s">
        <v>7848</v>
      </c>
      <c r="B333" s="71" t="s">
        <v>190</v>
      </c>
      <c r="C333" s="71" t="s">
        <v>6381</v>
      </c>
      <c r="D333" s="71"/>
      <c r="E333" s="71" t="s">
        <v>2703</v>
      </c>
      <c r="F333" s="71">
        <v>1140272</v>
      </c>
      <c r="G333" s="71" t="s">
        <v>7849</v>
      </c>
      <c r="H333" s="71" t="s">
        <v>7850</v>
      </c>
      <c r="I333" s="71" t="s">
        <v>6384</v>
      </c>
      <c r="J333" s="71" t="s">
        <v>7851</v>
      </c>
      <c r="K333" s="71" t="s">
        <v>7852</v>
      </c>
    </row>
    <row r="334" spans="1:11" ht="58" customHeight="1" x14ac:dyDescent="0.2">
      <c r="A334" s="70" t="s">
        <v>7853</v>
      </c>
      <c r="B334" s="70" t="s">
        <v>190</v>
      </c>
      <c r="C334" s="70" t="s">
        <v>6381</v>
      </c>
      <c r="D334" s="70"/>
      <c r="E334" s="70" t="s">
        <v>2703</v>
      </c>
      <c r="F334" s="70">
        <v>1151060</v>
      </c>
      <c r="G334" s="70" t="s">
        <v>7854</v>
      </c>
      <c r="H334" s="70" t="s">
        <v>1415</v>
      </c>
      <c r="I334" s="70" t="s">
        <v>6384</v>
      </c>
      <c r="J334" s="70" t="s">
        <v>7855</v>
      </c>
      <c r="K334" s="70" t="s">
        <v>7856</v>
      </c>
    </row>
    <row r="335" spans="1:11" ht="58" customHeight="1" x14ac:dyDescent="0.2">
      <c r="A335" s="71" t="s">
        <v>7857</v>
      </c>
      <c r="B335" s="71" t="s">
        <v>190</v>
      </c>
      <c r="C335" s="71" t="s">
        <v>6381</v>
      </c>
      <c r="D335" s="71"/>
      <c r="E335" s="71" t="s">
        <v>2703</v>
      </c>
      <c r="F335" s="71">
        <v>1171265</v>
      </c>
      <c r="G335" s="71" t="s">
        <v>7858</v>
      </c>
      <c r="H335" s="71" t="s">
        <v>3089</v>
      </c>
      <c r="I335" s="71" t="s">
        <v>6384</v>
      </c>
      <c r="J335" s="71" t="s">
        <v>7859</v>
      </c>
      <c r="K335" s="71" t="s">
        <v>7860</v>
      </c>
    </row>
    <row r="336" spans="1:11" ht="58" customHeight="1" x14ac:dyDescent="0.2">
      <c r="A336" s="70" t="s">
        <v>7861</v>
      </c>
      <c r="B336" s="70" t="s">
        <v>190</v>
      </c>
      <c r="C336" s="70" t="s">
        <v>6381</v>
      </c>
      <c r="D336" s="70"/>
      <c r="E336" s="70" t="s">
        <v>2703</v>
      </c>
      <c r="F336" s="70">
        <v>1398534</v>
      </c>
      <c r="G336" s="70" t="s">
        <v>7862</v>
      </c>
      <c r="H336" s="70" t="s">
        <v>2822</v>
      </c>
      <c r="I336" s="70" t="s">
        <v>6384</v>
      </c>
      <c r="J336" s="70" t="s">
        <v>7863</v>
      </c>
      <c r="K336" s="70" t="s">
        <v>7864</v>
      </c>
    </row>
    <row r="337" spans="1:11" ht="58" customHeight="1" x14ac:dyDescent="0.2">
      <c r="A337" s="71" t="s">
        <v>7865</v>
      </c>
      <c r="B337" s="71" t="s">
        <v>190</v>
      </c>
      <c r="C337" s="71" t="s">
        <v>6381</v>
      </c>
      <c r="D337" s="71"/>
      <c r="E337" s="71" t="s">
        <v>2703</v>
      </c>
      <c r="F337" s="71">
        <v>1399215</v>
      </c>
      <c r="G337" s="71" t="s">
        <v>7866</v>
      </c>
      <c r="H337" s="71" t="s">
        <v>7867</v>
      </c>
      <c r="I337" s="71" t="s">
        <v>6384</v>
      </c>
      <c r="J337" s="71" t="s">
        <v>7868</v>
      </c>
      <c r="K337" s="71" t="s">
        <v>7869</v>
      </c>
    </row>
    <row r="338" spans="1:11" ht="58" customHeight="1" x14ac:dyDescent="0.2">
      <c r="A338" s="70" t="s">
        <v>7870</v>
      </c>
      <c r="B338" s="70" t="s">
        <v>190</v>
      </c>
      <c r="C338" s="70" t="s">
        <v>6381</v>
      </c>
      <c r="D338" s="70"/>
      <c r="E338" s="70" t="s">
        <v>2703</v>
      </c>
      <c r="F338" s="70">
        <v>1407198</v>
      </c>
      <c r="G338" s="70" t="s">
        <v>7871</v>
      </c>
      <c r="H338" s="70" t="s">
        <v>1418</v>
      </c>
      <c r="I338" s="70" t="s">
        <v>6384</v>
      </c>
      <c r="J338" s="70" t="s">
        <v>7872</v>
      </c>
      <c r="K338" s="70" t="s">
        <v>7873</v>
      </c>
    </row>
    <row r="339" spans="1:11" ht="58" customHeight="1" x14ac:dyDescent="0.2">
      <c r="A339" s="71" t="s">
        <v>7874</v>
      </c>
      <c r="B339" s="71" t="s">
        <v>190</v>
      </c>
      <c r="C339" s="71" t="s">
        <v>6381</v>
      </c>
      <c r="D339" s="71"/>
      <c r="E339" s="71" t="s">
        <v>2703</v>
      </c>
      <c r="F339" s="71">
        <v>1527389</v>
      </c>
      <c r="G339" s="71" t="s">
        <v>7875</v>
      </c>
      <c r="H339" s="71" t="s">
        <v>2835</v>
      </c>
      <c r="I339" s="71" t="s">
        <v>6460</v>
      </c>
      <c r="J339" s="71" t="s">
        <v>7876</v>
      </c>
      <c r="K339" s="71" t="s">
        <v>7877</v>
      </c>
    </row>
    <row r="340" spans="1:11" ht="58" customHeight="1" x14ac:dyDescent="0.2">
      <c r="A340" s="70" t="s">
        <v>7878</v>
      </c>
      <c r="B340" s="70" t="s">
        <v>190</v>
      </c>
      <c r="C340" s="70" t="s">
        <v>6381</v>
      </c>
      <c r="D340" s="70"/>
      <c r="E340" s="70" t="s">
        <v>2703</v>
      </c>
      <c r="F340" s="70">
        <v>1557936</v>
      </c>
      <c r="G340" s="70" t="s">
        <v>7879</v>
      </c>
      <c r="H340" s="70" t="s">
        <v>7880</v>
      </c>
      <c r="I340" s="70" t="s">
        <v>6384</v>
      </c>
      <c r="J340" s="70" t="s">
        <v>7881</v>
      </c>
      <c r="K340" s="70" t="s">
        <v>7882</v>
      </c>
    </row>
    <row r="341" spans="1:11" ht="58" customHeight="1" x14ac:dyDescent="0.2">
      <c r="A341" s="71" t="s">
        <v>7883</v>
      </c>
      <c r="B341" s="71" t="s">
        <v>190</v>
      </c>
      <c r="C341" s="71" t="s">
        <v>6381</v>
      </c>
      <c r="D341" s="71"/>
      <c r="E341" s="71" t="s">
        <v>2703</v>
      </c>
      <c r="F341" s="71">
        <v>1605684</v>
      </c>
      <c r="G341" s="71" t="s">
        <v>7884</v>
      </c>
      <c r="H341" s="71" t="s">
        <v>7885</v>
      </c>
      <c r="I341" s="71" t="s">
        <v>6384</v>
      </c>
      <c r="J341" s="71" t="s">
        <v>7886</v>
      </c>
      <c r="K341" s="71" t="s">
        <v>7887</v>
      </c>
    </row>
    <row r="342" spans="1:11" ht="58" customHeight="1" x14ac:dyDescent="0.2">
      <c r="A342" s="70" t="s">
        <v>7888</v>
      </c>
      <c r="B342" s="70" t="s">
        <v>196</v>
      </c>
      <c r="C342" s="70" t="s">
        <v>6381</v>
      </c>
      <c r="D342" s="70"/>
      <c r="E342" s="70" t="s">
        <v>2703</v>
      </c>
      <c r="F342" s="70">
        <v>947347</v>
      </c>
      <c r="G342" s="70" t="s">
        <v>7889</v>
      </c>
      <c r="H342" s="70" t="s">
        <v>7890</v>
      </c>
      <c r="I342" s="70" t="s">
        <v>6384</v>
      </c>
      <c r="J342" s="70" t="s">
        <v>7891</v>
      </c>
      <c r="K342" s="70" t="s">
        <v>7892</v>
      </c>
    </row>
    <row r="343" spans="1:11" ht="58" customHeight="1" x14ac:dyDescent="0.2">
      <c r="A343" s="71" t="s">
        <v>7893</v>
      </c>
      <c r="B343" s="71" t="s">
        <v>196</v>
      </c>
      <c r="C343" s="71" t="s">
        <v>6381</v>
      </c>
      <c r="D343" s="71"/>
      <c r="E343" s="71" t="s">
        <v>2703</v>
      </c>
      <c r="F343" s="71">
        <v>1036301</v>
      </c>
      <c r="G343" s="71" t="s">
        <v>7894</v>
      </c>
      <c r="H343" s="71" t="s">
        <v>7895</v>
      </c>
      <c r="I343" s="71" t="s">
        <v>6384</v>
      </c>
      <c r="J343" s="71" t="s">
        <v>7896</v>
      </c>
      <c r="K343" s="71" t="s">
        <v>7897</v>
      </c>
    </row>
    <row r="344" spans="1:11" ht="58" customHeight="1" x14ac:dyDescent="0.2">
      <c r="A344" s="70" t="s">
        <v>7898</v>
      </c>
      <c r="B344" s="70" t="s">
        <v>196</v>
      </c>
      <c r="C344" s="70" t="s">
        <v>6381</v>
      </c>
      <c r="D344" s="70"/>
      <c r="E344" s="70" t="s">
        <v>2703</v>
      </c>
      <c r="F344" s="70">
        <v>1083942</v>
      </c>
      <c r="G344" s="70" t="s">
        <v>7899</v>
      </c>
      <c r="H344" s="70" t="s">
        <v>7900</v>
      </c>
      <c r="I344" s="70" t="s">
        <v>6384</v>
      </c>
      <c r="J344" s="70" t="s">
        <v>7901</v>
      </c>
      <c r="K344" s="70" t="s">
        <v>7902</v>
      </c>
    </row>
    <row r="345" spans="1:11" ht="58" customHeight="1" x14ac:dyDescent="0.2">
      <c r="A345" s="71" t="s">
        <v>7903</v>
      </c>
      <c r="B345" s="71" t="s">
        <v>196</v>
      </c>
      <c r="C345" s="71" t="s">
        <v>6381</v>
      </c>
      <c r="D345" s="71"/>
      <c r="E345" s="71" t="s">
        <v>2703</v>
      </c>
      <c r="F345" s="71">
        <v>1149141</v>
      </c>
      <c r="G345" s="71" t="s">
        <v>7904</v>
      </c>
      <c r="H345" s="71" t="s">
        <v>7905</v>
      </c>
      <c r="I345" s="71" t="s">
        <v>6384</v>
      </c>
      <c r="J345" s="71" t="s">
        <v>7906</v>
      </c>
      <c r="K345" s="71" t="s">
        <v>7907</v>
      </c>
    </row>
    <row r="346" spans="1:11" ht="58" customHeight="1" x14ac:dyDescent="0.2">
      <c r="A346" s="70" t="s">
        <v>7908</v>
      </c>
      <c r="B346" s="70" t="s">
        <v>196</v>
      </c>
      <c r="C346" s="70" t="s">
        <v>6381</v>
      </c>
      <c r="D346" s="70"/>
      <c r="E346" s="70" t="s">
        <v>2703</v>
      </c>
      <c r="F346" s="70">
        <v>1291765</v>
      </c>
      <c r="G346" s="70" t="s">
        <v>7909</v>
      </c>
      <c r="H346" s="70" t="s">
        <v>7910</v>
      </c>
      <c r="I346" s="70" t="s">
        <v>6384</v>
      </c>
      <c r="J346" s="70" t="s">
        <v>7911</v>
      </c>
      <c r="K346" s="70" t="s">
        <v>7912</v>
      </c>
    </row>
    <row r="347" spans="1:11" ht="58" customHeight="1" x14ac:dyDescent="0.2">
      <c r="A347" s="71" t="s">
        <v>7913</v>
      </c>
      <c r="B347" s="71" t="s">
        <v>196</v>
      </c>
      <c r="C347" s="71" t="s">
        <v>6381</v>
      </c>
      <c r="D347" s="71"/>
      <c r="E347" s="71" t="s">
        <v>2703</v>
      </c>
      <c r="F347" s="71">
        <v>1301784</v>
      </c>
      <c r="G347" s="71" t="s">
        <v>7914</v>
      </c>
      <c r="H347" s="71" t="s">
        <v>7915</v>
      </c>
      <c r="I347" s="71" t="s">
        <v>6384</v>
      </c>
      <c r="J347" s="71" t="s">
        <v>7916</v>
      </c>
      <c r="K347" s="71" t="s">
        <v>7917</v>
      </c>
    </row>
    <row r="348" spans="1:11" ht="58" customHeight="1" x14ac:dyDescent="0.2">
      <c r="A348" s="70" t="s">
        <v>7918</v>
      </c>
      <c r="B348" s="70" t="s">
        <v>196</v>
      </c>
      <c r="C348" s="70" t="s">
        <v>6381</v>
      </c>
      <c r="D348" s="70"/>
      <c r="E348" s="70" t="s">
        <v>2703</v>
      </c>
      <c r="F348" s="70">
        <v>1316138</v>
      </c>
      <c r="G348" s="70" t="s">
        <v>7919</v>
      </c>
      <c r="H348" s="70" t="s">
        <v>7920</v>
      </c>
      <c r="I348" s="70" t="s">
        <v>6384</v>
      </c>
      <c r="J348" s="70" t="s">
        <v>7921</v>
      </c>
      <c r="K348" s="70" t="s">
        <v>7922</v>
      </c>
    </row>
    <row r="349" spans="1:11" ht="58" customHeight="1" x14ac:dyDescent="0.2">
      <c r="A349" s="71" t="s">
        <v>7923</v>
      </c>
      <c r="B349" s="71" t="s">
        <v>196</v>
      </c>
      <c r="C349" s="71" t="s">
        <v>6381</v>
      </c>
      <c r="D349" s="71"/>
      <c r="E349" s="71" t="s">
        <v>2703</v>
      </c>
      <c r="F349" s="71">
        <v>1395323</v>
      </c>
      <c r="G349" s="71" t="s">
        <v>7924</v>
      </c>
      <c r="H349" s="71" t="s">
        <v>1428</v>
      </c>
      <c r="I349" s="71" t="s">
        <v>6384</v>
      </c>
      <c r="J349" s="71" t="s">
        <v>7925</v>
      </c>
      <c r="K349" s="71" t="s">
        <v>7926</v>
      </c>
    </row>
    <row r="350" spans="1:11" ht="58" customHeight="1" x14ac:dyDescent="0.2">
      <c r="A350" s="70" t="s">
        <v>7927</v>
      </c>
      <c r="B350" s="70" t="s">
        <v>196</v>
      </c>
      <c r="C350" s="70" t="s">
        <v>6381</v>
      </c>
      <c r="D350" s="70"/>
      <c r="E350" s="70" t="s">
        <v>2703</v>
      </c>
      <c r="F350" s="70">
        <v>1426875</v>
      </c>
      <c r="G350" s="70" t="s">
        <v>7928</v>
      </c>
      <c r="H350" s="70" t="s">
        <v>1431</v>
      </c>
      <c r="I350" s="70" t="s">
        <v>6460</v>
      </c>
      <c r="J350" s="70" t="s">
        <v>7929</v>
      </c>
      <c r="K350" s="70" t="s">
        <v>7930</v>
      </c>
    </row>
    <row r="351" spans="1:11" ht="58" customHeight="1" x14ac:dyDescent="0.2">
      <c r="A351" s="71" t="s">
        <v>7931</v>
      </c>
      <c r="B351" s="71" t="s">
        <v>199</v>
      </c>
      <c r="C351" s="71" t="s">
        <v>6381</v>
      </c>
      <c r="D351" s="71"/>
      <c r="E351" s="71" t="s">
        <v>6469</v>
      </c>
      <c r="F351" s="71">
        <v>901650</v>
      </c>
      <c r="G351" s="71" t="s">
        <v>7932</v>
      </c>
      <c r="H351" s="71" t="s">
        <v>7933</v>
      </c>
      <c r="I351" s="71" t="s">
        <v>6384</v>
      </c>
      <c r="J351" s="71" t="s">
        <v>7934</v>
      </c>
      <c r="K351" s="71" t="s">
        <v>7935</v>
      </c>
    </row>
    <row r="352" spans="1:11" ht="58" customHeight="1" x14ac:dyDescent="0.2">
      <c r="A352" s="70" t="s">
        <v>7936</v>
      </c>
      <c r="B352" s="70" t="s">
        <v>199</v>
      </c>
      <c r="C352" s="70" t="s">
        <v>6381</v>
      </c>
      <c r="D352" s="70"/>
      <c r="E352" s="70" t="s">
        <v>7022</v>
      </c>
      <c r="F352" s="70">
        <v>912277</v>
      </c>
      <c r="G352" s="70" t="s">
        <v>7937</v>
      </c>
      <c r="H352" s="70" t="s">
        <v>7938</v>
      </c>
      <c r="I352" s="70" t="s">
        <v>6384</v>
      </c>
      <c r="J352" s="70" t="s">
        <v>7939</v>
      </c>
      <c r="K352" s="70" t="s">
        <v>7940</v>
      </c>
    </row>
    <row r="353" spans="1:11" ht="58" customHeight="1" x14ac:dyDescent="0.2">
      <c r="A353" s="71" t="s">
        <v>7941</v>
      </c>
      <c r="B353" s="71" t="s">
        <v>199</v>
      </c>
      <c r="C353" s="71" t="s">
        <v>6381</v>
      </c>
      <c r="D353" s="71"/>
      <c r="E353" s="71" t="s">
        <v>6469</v>
      </c>
      <c r="F353" s="71">
        <v>917600</v>
      </c>
      <c r="G353" s="71" t="s">
        <v>7942</v>
      </c>
      <c r="H353" s="71" t="s">
        <v>7943</v>
      </c>
      <c r="I353" s="71" t="s">
        <v>6384</v>
      </c>
      <c r="J353" s="71" t="s">
        <v>7944</v>
      </c>
      <c r="K353" s="71" t="s">
        <v>7945</v>
      </c>
    </row>
    <row r="354" spans="1:11" ht="58" customHeight="1" x14ac:dyDescent="0.2">
      <c r="A354" s="70" t="s">
        <v>7946</v>
      </c>
      <c r="B354" s="70" t="s">
        <v>199</v>
      </c>
      <c r="C354" s="70" t="s">
        <v>6381</v>
      </c>
      <c r="D354" s="70"/>
      <c r="E354" s="70" t="s">
        <v>2703</v>
      </c>
      <c r="F354" s="70">
        <v>954323</v>
      </c>
      <c r="G354" s="70" t="s">
        <v>7947</v>
      </c>
      <c r="H354" s="70" t="s">
        <v>7948</v>
      </c>
      <c r="I354" s="70" t="s">
        <v>6384</v>
      </c>
      <c r="J354" s="70" t="s">
        <v>7949</v>
      </c>
      <c r="K354" s="70" t="s">
        <v>7950</v>
      </c>
    </row>
    <row r="355" spans="1:11" ht="58" customHeight="1" x14ac:dyDescent="0.2">
      <c r="A355" s="71" t="s">
        <v>7951</v>
      </c>
      <c r="B355" s="71" t="s">
        <v>199</v>
      </c>
      <c r="C355" s="71" t="s">
        <v>6381</v>
      </c>
      <c r="D355" s="71"/>
      <c r="E355" s="71" t="s">
        <v>2703</v>
      </c>
      <c r="F355" s="71">
        <v>991910</v>
      </c>
      <c r="G355" s="71" t="s">
        <v>7952</v>
      </c>
      <c r="H355" s="71" t="s">
        <v>7953</v>
      </c>
      <c r="I355" s="71" t="s">
        <v>6384</v>
      </c>
      <c r="J355" s="71" t="s">
        <v>7954</v>
      </c>
      <c r="K355" s="71" t="s">
        <v>7955</v>
      </c>
    </row>
    <row r="356" spans="1:11" ht="58" customHeight="1" x14ac:dyDescent="0.2">
      <c r="A356" s="70" t="s">
        <v>7956</v>
      </c>
      <c r="B356" s="70" t="s">
        <v>199</v>
      </c>
      <c r="C356" s="70" t="s">
        <v>6381</v>
      </c>
      <c r="D356" s="70"/>
      <c r="E356" s="70" t="s">
        <v>2726</v>
      </c>
      <c r="F356" s="70">
        <v>991948</v>
      </c>
      <c r="G356" s="70" t="s">
        <v>7957</v>
      </c>
      <c r="H356" s="70" t="s">
        <v>7958</v>
      </c>
      <c r="I356" s="70" t="s">
        <v>6384</v>
      </c>
      <c r="J356" s="70" t="s">
        <v>7959</v>
      </c>
      <c r="K356" s="70" t="s">
        <v>7960</v>
      </c>
    </row>
    <row r="357" spans="1:11" ht="58" customHeight="1" x14ac:dyDescent="0.2">
      <c r="A357" s="71" t="s">
        <v>7961</v>
      </c>
      <c r="B357" s="71" t="s">
        <v>199</v>
      </c>
      <c r="C357" s="71" t="s">
        <v>6381</v>
      </c>
      <c r="D357" s="71"/>
      <c r="E357" s="71" t="s">
        <v>2726</v>
      </c>
      <c r="F357" s="71">
        <v>992048</v>
      </c>
      <c r="G357" s="71" t="s">
        <v>7962</v>
      </c>
      <c r="H357" s="71" t="s">
        <v>7963</v>
      </c>
      <c r="I357" s="71" t="s">
        <v>6384</v>
      </c>
      <c r="J357" s="71" t="s">
        <v>7964</v>
      </c>
      <c r="K357" s="71" t="s">
        <v>7965</v>
      </c>
    </row>
    <row r="358" spans="1:11" ht="58" customHeight="1" x14ac:dyDescent="0.2">
      <c r="A358" s="70" t="s">
        <v>7966</v>
      </c>
      <c r="B358" s="70" t="s">
        <v>199</v>
      </c>
      <c r="C358" s="70" t="s">
        <v>6381</v>
      </c>
      <c r="D358" s="70"/>
      <c r="E358" s="70" t="s">
        <v>2703</v>
      </c>
      <c r="F358" s="70">
        <v>998198</v>
      </c>
      <c r="G358" s="70" t="s">
        <v>7967</v>
      </c>
      <c r="H358" s="70" t="s">
        <v>7968</v>
      </c>
      <c r="I358" s="70" t="s">
        <v>6384</v>
      </c>
      <c r="J358" s="70" t="s">
        <v>7969</v>
      </c>
      <c r="K358" s="70" t="s">
        <v>7970</v>
      </c>
    </row>
    <row r="359" spans="1:11" ht="58" customHeight="1" x14ac:dyDescent="0.2">
      <c r="A359" s="71" t="s">
        <v>7971</v>
      </c>
      <c r="B359" s="71" t="s">
        <v>199</v>
      </c>
      <c r="C359" s="71" t="s">
        <v>6381</v>
      </c>
      <c r="D359" s="71"/>
      <c r="E359" s="71" t="s">
        <v>2703</v>
      </c>
      <c r="F359" s="71">
        <v>1050125</v>
      </c>
      <c r="G359" s="71" t="s">
        <v>7972</v>
      </c>
      <c r="H359" s="71" t="s">
        <v>7973</v>
      </c>
      <c r="I359" s="71" t="s">
        <v>6384</v>
      </c>
      <c r="J359" s="71" t="s">
        <v>7974</v>
      </c>
      <c r="K359" s="71" t="s">
        <v>7975</v>
      </c>
    </row>
    <row r="360" spans="1:11" ht="58" customHeight="1" x14ac:dyDescent="0.2">
      <c r="A360" s="70" t="s">
        <v>7976</v>
      </c>
      <c r="B360" s="70" t="s">
        <v>199</v>
      </c>
      <c r="C360" s="70" t="s">
        <v>6381</v>
      </c>
      <c r="D360" s="70"/>
      <c r="E360" s="70" t="s">
        <v>2703</v>
      </c>
      <c r="F360" s="70">
        <v>1088040</v>
      </c>
      <c r="G360" s="70" t="s">
        <v>7977</v>
      </c>
      <c r="H360" s="70" t="s">
        <v>7978</v>
      </c>
      <c r="I360" s="70" t="s">
        <v>6384</v>
      </c>
      <c r="J360" s="70" t="s">
        <v>7979</v>
      </c>
      <c r="K360" s="70" t="s">
        <v>7980</v>
      </c>
    </row>
    <row r="361" spans="1:11" ht="58" customHeight="1" x14ac:dyDescent="0.2">
      <c r="A361" s="71" t="s">
        <v>7981</v>
      </c>
      <c r="B361" s="71" t="s">
        <v>199</v>
      </c>
      <c r="C361" s="71" t="s">
        <v>6381</v>
      </c>
      <c r="D361" s="71"/>
      <c r="E361" s="71" t="s">
        <v>2726</v>
      </c>
      <c r="F361" s="71">
        <v>1089074</v>
      </c>
      <c r="G361" s="71" t="s">
        <v>7982</v>
      </c>
      <c r="H361" s="71" t="s">
        <v>7983</v>
      </c>
      <c r="I361" s="71" t="s">
        <v>6384</v>
      </c>
      <c r="J361" s="71" t="s">
        <v>7984</v>
      </c>
      <c r="K361" s="71" t="s">
        <v>7985</v>
      </c>
    </row>
    <row r="362" spans="1:11" ht="58" customHeight="1" x14ac:dyDescent="0.2">
      <c r="A362" s="70" t="s">
        <v>7986</v>
      </c>
      <c r="B362" s="70" t="s">
        <v>199</v>
      </c>
      <c r="C362" s="70" t="s">
        <v>6381</v>
      </c>
      <c r="D362" s="70"/>
      <c r="E362" s="70" t="s">
        <v>2703</v>
      </c>
      <c r="F362" s="70">
        <v>1119176</v>
      </c>
      <c r="G362" s="70" t="s">
        <v>7987</v>
      </c>
      <c r="H362" s="70" t="s">
        <v>7988</v>
      </c>
      <c r="I362" s="70" t="s">
        <v>6384</v>
      </c>
      <c r="J362" s="70" t="s">
        <v>7989</v>
      </c>
      <c r="K362" s="70" t="s">
        <v>7990</v>
      </c>
    </row>
    <row r="363" spans="1:11" ht="58" customHeight="1" x14ac:dyDescent="0.2">
      <c r="A363" s="71" t="s">
        <v>7991</v>
      </c>
      <c r="B363" s="71" t="s">
        <v>199</v>
      </c>
      <c r="C363" s="71" t="s">
        <v>6381</v>
      </c>
      <c r="D363" s="71"/>
      <c r="E363" s="71" t="s">
        <v>2703</v>
      </c>
      <c r="F363" s="71">
        <v>1183110</v>
      </c>
      <c r="G363" s="71" t="s">
        <v>7992</v>
      </c>
      <c r="H363" s="71" t="s">
        <v>7993</v>
      </c>
      <c r="I363" s="71" t="s">
        <v>6384</v>
      </c>
      <c r="J363" s="71" t="s">
        <v>7994</v>
      </c>
      <c r="K363" s="71" t="s">
        <v>7995</v>
      </c>
    </row>
    <row r="364" spans="1:11" ht="58" customHeight="1" x14ac:dyDescent="0.2">
      <c r="A364" s="70" t="s">
        <v>7996</v>
      </c>
      <c r="B364" s="70" t="s">
        <v>199</v>
      </c>
      <c r="C364" s="70" t="s">
        <v>6381</v>
      </c>
      <c r="D364" s="70"/>
      <c r="E364" s="70" t="s">
        <v>2726</v>
      </c>
      <c r="F364" s="70">
        <v>1256347</v>
      </c>
      <c r="G364" s="70" t="s">
        <v>7997</v>
      </c>
      <c r="H364" s="70" t="s">
        <v>7998</v>
      </c>
      <c r="I364" s="70" t="s">
        <v>6384</v>
      </c>
      <c r="J364" s="70" t="s">
        <v>7999</v>
      </c>
      <c r="K364" s="70" t="s">
        <v>8000</v>
      </c>
    </row>
    <row r="365" spans="1:11" ht="58" customHeight="1" x14ac:dyDescent="0.2">
      <c r="A365" s="71" t="s">
        <v>8001</v>
      </c>
      <c r="B365" s="71" t="s">
        <v>199</v>
      </c>
      <c r="C365" s="71" t="s">
        <v>6381</v>
      </c>
      <c r="D365" s="71"/>
      <c r="E365" s="71" t="s">
        <v>2703</v>
      </c>
      <c r="F365" s="71">
        <v>1276460</v>
      </c>
      <c r="G365" s="71" t="s">
        <v>8002</v>
      </c>
      <c r="H365" s="71" t="s">
        <v>8003</v>
      </c>
      <c r="I365" s="71" t="s">
        <v>6384</v>
      </c>
      <c r="J365" s="71" t="s">
        <v>8004</v>
      </c>
      <c r="K365" s="71" t="s">
        <v>8005</v>
      </c>
    </row>
    <row r="366" spans="1:11" ht="58" customHeight="1" x14ac:dyDescent="0.2">
      <c r="A366" s="70" t="s">
        <v>8006</v>
      </c>
      <c r="B366" s="70" t="s">
        <v>199</v>
      </c>
      <c r="C366" s="70" t="s">
        <v>6381</v>
      </c>
      <c r="D366" s="70"/>
      <c r="E366" s="70" t="s">
        <v>2726</v>
      </c>
      <c r="F366" s="70">
        <v>1300282</v>
      </c>
      <c r="G366" s="70" t="s">
        <v>8007</v>
      </c>
      <c r="H366" s="70" t="s">
        <v>8008</v>
      </c>
      <c r="I366" s="70" t="s">
        <v>6384</v>
      </c>
      <c r="J366" s="70" t="s">
        <v>8009</v>
      </c>
      <c r="K366" s="70" t="s">
        <v>8010</v>
      </c>
    </row>
    <row r="367" spans="1:11" ht="58" customHeight="1" x14ac:dyDescent="0.2">
      <c r="A367" s="71" t="s">
        <v>8011</v>
      </c>
      <c r="B367" s="71" t="s">
        <v>199</v>
      </c>
      <c r="C367" s="71" t="s">
        <v>6381</v>
      </c>
      <c r="D367" s="71"/>
      <c r="E367" s="71" t="s">
        <v>2726</v>
      </c>
      <c r="F367" s="71">
        <v>1300475</v>
      </c>
      <c r="G367" s="71" t="s">
        <v>8012</v>
      </c>
      <c r="H367" s="71" t="s">
        <v>8013</v>
      </c>
      <c r="I367" s="71" t="s">
        <v>6384</v>
      </c>
      <c r="J367" s="71" t="s">
        <v>8014</v>
      </c>
      <c r="K367" s="71" t="s">
        <v>8015</v>
      </c>
    </row>
    <row r="368" spans="1:11" ht="58" customHeight="1" x14ac:dyDescent="0.2">
      <c r="A368" s="70" t="s">
        <v>8016</v>
      </c>
      <c r="B368" s="70" t="s">
        <v>199</v>
      </c>
      <c r="C368" s="70" t="s">
        <v>6381</v>
      </c>
      <c r="D368" s="70"/>
      <c r="E368" s="70" t="s">
        <v>2703</v>
      </c>
      <c r="F368" s="70">
        <v>1401455</v>
      </c>
      <c r="G368" s="70" t="s">
        <v>8017</v>
      </c>
      <c r="H368" s="70" t="s">
        <v>1443</v>
      </c>
      <c r="I368" s="70" t="s">
        <v>6384</v>
      </c>
      <c r="J368" s="70" t="s">
        <v>8018</v>
      </c>
      <c r="K368" s="70" t="s">
        <v>8019</v>
      </c>
    </row>
    <row r="369" spans="1:11" ht="58" customHeight="1" x14ac:dyDescent="0.2">
      <c r="A369" s="71" t="s">
        <v>8020</v>
      </c>
      <c r="B369" s="71" t="s">
        <v>199</v>
      </c>
      <c r="C369" s="71" t="s">
        <v>6381</v>
      </c>
      <c r="D369" s="71"/>
      <c r="E369" s="71" t="s">
        <v>2726</v>
      </c>
      <c r="F369" s="71">
        <v>1401521</v>
      </c>
      <c r="G369" s="71" t="s">
        <v>8021</v>
      </c>
      <c r="H369" s="71" t="s">
        <v>1440</v>
      </c>
      <c r="I369" s="71" t="s">
        <v>6460</v>
      </c>
      <c r="J369" s="71" t="s">
        <v>8022</v>
      </c>
      <c r="K369" s="71" t="s">
        <v>8023</v>
      </c>
    </row>
    <row r="370" spans="1:11" ht="58" customHeight="1" x14ac:dyDescent="0.2">
      <c r="A370" s="70" t="s">
        <v>8024</v>
      </c>
      <c r="B370" s="70" t="s">
        <v>199</v>
      </c>
      <c r="C370" s="70" t="s">
        <v>6381</v>
      </c>
      <c r="D370" s="70"/>
      <c r="E370" s="70" t="s">
        <v>2703</v>
      </c>
      <c r="F370" s="70">
        <v>1565558</v>
      </c>
      <c r="G370" s="70" t="s">
        <v>8025</v>
      </c>
      <c r="H370" s="70" t="s">
        <v>8026</v>
      </c>
      <c r="I370" s="70" t="s">
        <v>6384</v>
      </c>
      <c r="J370" s="70" t="s">
        <v>8027</v>
      </c>
      <c r="K370" s="70" t="s">
        <v>8028</v>
      </c>
    </row>
    <row r="371" spans="1:11" ht="58" customHeight="1" x14ac:dyDescent="0.2">
      <c r="A371" s="71" t="s">
        <v>8029</v>
      </c>
      <c r="B371" s="71" t="s">
        <v>199</v>
      </c>
      <c r="C371" s="71" t="s">
        <v>6381</v>
      </c>
      <c r="D371" s="71"/>
      <c r="E371" s="71" t="s">
        <v>2703</v>
      </c>
      <c r="F371" s="71">
        <v>1598222</v>
      </c>
      <c r="G371" s="71" t="s">
        <v>8030</v>
      </c>
      <c r="H371" s="71" t="s">
        <v>8031</v>
      </c>
      <c r="I371" s="71" t="s">
        <v>6384</v>
      </c>
      <c r="J371" s="71" t="s">
        <v>8032</v>
      </c>
      <c r="K371" s="71" t="s">
        <v>8033</v>
      </c>
    </row>
    <row r="372" spans="1:11" ht="58" customHeight="1" x14ac:dyDescent="0.2">
      <c r="A372" s="70" t="s">
        <v>8034</v>
      </c>
      <c r="B372" s="70" t="s">
        <v>202</v>
      </c>
      <c r="C372" s="70" t="s">
        <v>6381</v>
      </c>
      <c r="D372" s="70"/>
      <c r="E372" s="70" t="s">
        <v>2703</v>
      </c>
      <c r="F372" s="70">
        <v>1000535</v>
      </c>
      <c r="G372" s="70" t="s">
        <v>8035</v>
      </c>
      <c r="H372" s="70" t="s">
        <v>8036</v>
      </c>
      <c r="I372" s="70" t="s">
        <v>6384</v>
      </c>
      <c r="J372" s="70" t="s">
        <v>8037</v>
      </c>
      <c r="K372" s="70" t="s">
        <v>8038</v>
      </c>
    </row>
    <row r="373" spans="1:11" ht="58" customHeight="1" x14ac:dyDescent="0.2">
      <c r="A373" s="71" t="s">
        <v>8039</v>
      </c>
      <c r="B373" s="71" t="s">
        <v>202</v>
      </c>
      <c r="C373" s="71" t="s">
        <v>6381</v>
      </c>
      <c r="D373" s="71"/>
      <c r="E373" s="71" t="s">
        <v>2703</v>
      </c>
      <c r="F373" s="71">
        <v>1068166</v>
      </c>
      <c r="G373" s="71" t="s">
        <v>8040</v>
      </c>
      <c r="H373" s="71" t="s">
        <v>8041</v>
      </c>
      <c r="I373" s="71" t="s">
        <v>6384</v>
      </c>
      <c r="J373" s="71" t="s">
        <v>8042</v>
      </c>
      <c r="K373" s="71" t="s">
        <v>8043</v>
      </c>
    </row>
    <row r="374" spans="1:11" ht="58" customHeight="1" x14ac:dyDescent="0.2">
      <c r="A374" s="70" t="s">
        <v>8044</v>
      </c>
      <c r="B374" s="70" t="s">
        <v>202</v>
      </c>
      <c r="C374" s="70" t="s">
        <v>6381</v>
      </c>
      <c r="D374" s="70"/>
      <c r="E374" s="70" t="s">
        <v>2703</v>
      </c>
      <c r="F374" s="70">
        <v>1076762</v>
      </c>
      <c r="G374" s="70" t="s">
        <v>8045</v>
      </c>
      <c r="H374" s="70" t="s">
        <v>8046</v>
      </c>
      <c r="I374" s="70" t="s">
        <v>6384</v>
      </c>
      <c r="J374" s="70" t="s">
        <v>8047</v>
      </c>
      <c r="K374" s="70" t="s">
        <v>8048</v>
      </c>
    </row>
    <row r="375" spans="1:11" ht="58" customHeight="1" x14ac:dyDescent="0.2">
      <c r="A375" s="71" t="s">
        <v>8049</v>
      </c>
      <c r="B375" s="71" t="s">
        <v>202</v>
      </c>
      <c r="C375" s="71" t="s">
        <v>6381</v>
      </c>
      <c r="D375" s="71"/>
      <c r="E375" s="71" t="s">
        <v>2703</v>
      </c>
      <c r="F375" s="71">
        <v>1163057</v>
      </c>
      <c r="G375" s="71" t="s">
        <v>8050</v>
      </c>
      <c r="H375" s="71" t="s">
        <v>8051</v>
      </c>
      <c r="I375" s="71" t="s">
        <v>6384</v>
      </c>
      <c r="J375" s="71" t="s">
        <v>8052</v>
      </c>
      <c r="K375" s="71" t="s">
        <v>8053</v>
      </c>
    </row>
    <row r="376" spans="1:11" ht="58" customHeight="1" x14ac:dyDescent="0.2">
      <c r="A376" s="70" t="s">
        <v>8054</v>
      </c>
      <c r="B376" s="70" t="s">
        <v>202</v>
      </c>
      <c r="C376" s="70" t="s">
        <v>6381</v>
      </c>
      <c r="D376" s="70"/>
      <c r="E376" s="70" t="s">
        <v>2703</v>
      </c>
      <c r="F376" s="70">
        <v>1166937</v>
      </c>
      <c r="G376" s="70" t="s">
        <v>8055</v>
      </c>
      <c r="H376" s="70" t="s">
        <v>8056</v>
      </c>
      <c r="I376" s="70" t="s">
        <v>6384</v>
      </c>
      <c r="J376" s="70" t="s">
        <v>8057</v>
      </c>
      <c r="K376" s="70" t="s">
        <v>8058</v>
      </c>
    </row>
    <row r="377" spans="1:11" ht="58" customHeight="1" x14ac:dyDescent="0.2">
      <c r="A377" s="71" t="s">
        <v>8059</v>
      </c>
      <c r="B377" s="71" t="s">
        <v>202</v>
      </c>
      <c r="C377" s="71" t="s">
        <v>6381</v>
      </c>
      <c r="D377" s="71"/>
      <c r="E377" s="71" t="s">
        <v>2726</v>
      </c>
      <c r="F377" s="71">
        <v>1172039</v>
      </c>
      <c r="G377" s="71" t="s">
        <v>8060</v>
      </c>
      <c r="H377" s="71" t="s">
        <v>8061</v>
      </c>
      <c r="I377" s="71" t="s">
        <v>6384</v>
      </c>
      <c r="J377" s="71" t="s">
        <v>8062</v>
      </c>
      <c r="K377" s="71" t="s">
        <v>8063</v>
      </c>
    </row>
    <row r="378" spans="1:11" ht="58" customHeight="1" x14ac:dyDescent="0.2">
      <c r="A378" s="70" t="s">
        <v>8064</v>
      </c>
      <c r="B378" s="70" t="s">
        <v>202</v>
      </c>
      <c r="C378" s="70" t="s">
        <v>6381</v>
      </c>
      <c r="D378" s="70"/>
      <c r="E378" s="70" t="s">
        <v>2726</v>
      </c>
      <c r="F378" s="70">
        <v>1177917</v>
      </c>
      <c r="G378" s="70" t="s">
        <v>8065</v>
      </c>
      <c r="H378" s="70" t="s">
        <v>8066</v>
      </c>
      <c r="I378" s="70" t="s">
        <v>6384</v>
      </c>
      <c r="J378" s="70" t="s">
        <v>8067</v>
      </c>
      <c r="K378" s="70" t="s">
        <v>8068</v>
      </c>
    </row>
    <row r="379" spans="1:11" ht="58" customHeight="1" x14ac:dyDescent="0.2">
      <c r="A379" s="71" t="s">
        <v>8069</v>
      </c>
      <c r="B379" s="71" t="s">
        <v>202</v>
      </c>
      <c r="C379" s="71" t="s">
        <v>6381</v>
      </c>
      <c r="D379" s="71"/>
      <c r="E379" s="71" t="s">
        <v>2726</v>
      </c>
      <c r="F379" s="71">
        <v>1180154</v>
      </c>
      <c r="G379" s="71" t="s">
        <v>8070</v>
      </c>
      <c r="H379" s="71" t="s">
        <v>8071</v>
      </c>
      <c r="I379" s="71" t="s">
        <v>6384</v>
      </c>
      <c r="J379" s="71" t="s">
        <v>8072</v>
      </c>
      <c r="K379" s="71" t="s">
        <v>8073</v>
      </c>
    </row>
    <row r="380" spans="1:11" ht="58" customHeight="1" x14ac:dyDescent="0.2">
      <c r="A380" s="70" t="s">
        <v>8074</v>
      </c>
      <c r="B380" s="70" t="s">
        <v>202</v>
      </c>
      <c r="C380" s="70" t="s">
        <v>6381</v>
      </c>
      <c r="D380" s="70"/>
      <c r="E380" s="70" t="s">
        <v>2703</v>
      </c>
      <c r="F380" s="70">
        <v>1203739</v>
      </c>
      <c r="G380" s="70" t="s">
        <v>8075</v>
      </c>
      <c r="H380" s="70" t="s">
        <v>8076</v>
      </c>
      <c r="I380" s="70" t="s">
        <v>6384</v>
      </c>
      <c r="J380" s="70" t="s">
        <v>8077</v>
      </c>
      <c r="K380" s="70" t="s">
        <v>8078</v>
      </c>
    </row>
    <row r="381" spans="1:11" ht="58" customHeight="1" x14ac:dyDescent="0.2">
      <c r="A381" s="71" t="s">
        <v>8079</v>
      </c>
      <c r="B381" s="71" t="s">
        <v>202</v>
      </c>
      <c r="C381" s="71" t="s">
        <v>6381</v>
      </c>
      <c r="D381" s="71"/>
      <c r="E381" s="71" t="s">
        <v>2703</v>
      </c>
      <c r="F381" s="71">
        <v>1255684</v>
      </c>
      <c r="G381" s="71" t="s">
        <v>8080</v>
      </c>
      <c r="H381" s="71" t="s">
        <v>8081</v>
      </c>
      <c r="I381" s="71" t="s">
        <v>6384</v>
      </c>
      <c r="J381" s="71" t="s">
        <v>8082</v>
      </c>
      <c r="K381" s="71" t="s">
        <v>8083</v>
      </c>
    </row>
    <row r="382" spans="1:11" ht="58" customHeight="1" x14ac:dyDescent="0.2">
      <c r="A382" s="70" t="s">
        <v>8084</v>
      </c>
      <c r="B382" s="70" t="s">
        <v>202</v>
      </c>
      <c r="C382" s="70" t="s">
        <v>6381</v>
      </c>
      <c r="D382" s="70"/>
      <c r="E382" s="70" t="s">
        <v>2703</v>
      </c>
      <c r="F382" s="70">
        <v>1280611</v>
      </c>
      <c r="G382" s="70" t="s">
        <v>8085</v>
      </c>
      <c r="H382" s="70" t="s">
        <v>8086</v>
      </c>
      <c r="I382" s="70" t="s">
        <v>6384</v>
      </c>
      <c r="J382" s="70" t="s">
        <v>8087</v>
      </c>
      <c r="K382" s="70" t="s">
        <v>8088</v>
      </c>
    </row>
    <row r="383" spans="1:11" ht="58" customHeight="1" x14ac:dyDescent="0.2">
      <c r="A383" s="71" t="s">
        <v>8089</v>
      </c>
      <c r="B383" s="71" t="s">
        <v>202</v>
      </c>
      <c r="C383" s="71" t="s">
        <v>6381</v>
      </c>
      <c r="D383" s="71"/>
      <c r="E383" s="71" t="s">
        <v>2726</v>
      </c>
      <c r="F383" s="71">
        <v>1283917</v>
      </c>
      <c r="G383" s="71" t="s">
        <v>8090</v>
      </c>
      <c r="H383" s="71" t="s">
        <v>8091</v>
      </c>
      <c r="I383" s="71" t="s">
        <v>6384</v>
      </c>
      <c r="J383" s="71" t="s">
        <v>8092</v>
      </c>
      <c r="K383" s="71" t="s">
        <v>8093</v>
      </c>
    </row>
    <row r="384" spans="1:11" ht="58" customHeight="1" x14ac:dyDescent="0.2">
      <c r="A384" s="70" t="s">
        <v>8094</v>
      </c>
      <c r="B384" s="70" t="s">
        <v>202</v>
      </c>
      <c r="C384" s="70" t="s">
        <v>6381</v>
      </c>
      <c r="D384" s="70"/>
      <c r="E384" s="70" t="s">
        <v>2703</v>
      </c>
      <c r="F384" s="70">
        <v>1295938</v>
      </c>
      <c r="G384" s="70" t="s">
        <v>8095</v>
      </c>
      <c r="H384" s="70" t="s">
        <v>1446</v>
      </c>
      <c r="I384" s="70" t="s">
        <v>6384</v>
      </c>
      <c r="J384" s="70" t="s">
        <v>8096</v>
      </c>
      <c r="K384" s="70" t="s">
        <v>8097</v>
      </c>
    </row>
    <row r="385" spans="1:11" ht="58" customHeight="1" x14ac:dyDescent="0.2">
      <c r="A385" s="71" t="s">
        <v>8098</v>
      </c>
      <c r="B385" s="71" t="s">
        <v>202</v>
      </c>
      <c r="C385" s="71" t="s">
        <v>6381</v>
      </c>
      <c r="D385" s="71"/>
      <c r="E385" s="71" t="s">
        <v>2703</v>
      </c>
      <c r="F385" s="71">
        <v>1336974</v>
      </c>
      <c r="G385" s="71" t="s">
        <v>8099</v>
      </c>
      <c r="H385" s="71" t="s">
        <v>2852</v>
      </c>
      <c r="I385" s="71" t="s">
        <v>6384</v>
      </c>
      <c r="J385" s="71" t="s">
        <v>8100</v>
      </c>
      <c r="K385" s="71" t="s">
        <v>8101</v>
      </c>
    </row>
    <row r="386" spans="1:11" ht="58" customHeight="1" x14ac:dyDescent="0.2">
      <c r="A386" s="70" t="s">
        <v>8102</v>
      </c>
      <c r="B386" s="70" t="s">
        <v>202</v>
      </c>
      <c r="C386" s="70" t="s">
        <v>6381</v>
      </c>
      <c r="D386" s="70"/>
      <c r="E386" s="70" t="s">
        <v>2703</v>
      </c>
      <c r="F386" s="70">
        <v>1386511</v>
      </c>
      <c r="G386" s="70" t="s">
        <v>8103</v>
      </c>
      <c r="H386" s="70" t="s">
        <v>1450</v>
      </c>
      <c r="I386" s="70" t="s">
        <v>6460</v>
      </c>
      <c r="J386" s="70" t="s">
        <v>8104</v>
      </c>
      <c r="K386" s="70" t="s">
        <v>8105</v>
      </c>
    </row>
    <row r="387" spans="1:11" ht="58" customHeight="1" x14ac:dyDescent="0.2">
      <c r="A387" s="71" t="s">
        <v>8106</v>
      </c>
      <c r="B387" s="71" t="s">
        <v>202</v>
      </c>
      <c r="C387" s="71" t="s">
        <v>6381</v>
      </c>
      <c r="D387" s="71"/>
      <c r="E387" s="71" t="s">
        <v>2703</v>
      </c>
      <c r="F387" s="71">
        <v>1593783</v>
      </c>
      <c r="G387" s="71" t="s">
        <v>8107</v>
      </c>
      <c r="H387" s="71" t="s">
        <v>8108</v>
      </c>
      <c r="I387" s="71" t="s">
        <v>6384</v>
      </c>
      <c r="J387" s="71" t="s">
        <v>8109</v>
      </c>
      <c r="K387" s="71" t="s">
        <v>8110</v>
      </c>
    </row>
    <row r="388" spans="1:11" ht="58" customHeight="1" x14ac:dyDescent="0.2">
      <c r="A388" s="70" t="s">
        <v>8111</v>
      </c>
      <c r="B388" s="70" t="s">
        <v>202</v>
      </c>
      <c r="C388" s="70" t="s">
        <v>6381</v>
      </c>
      <c r="D388" s="70"/>
      <c r="E388" s="70" t="s">
        <v>2703</v>
      </c>
      <c r="F388" s="70">
        <v>1604365</v>
      </c>
      <c r="G388" s="70" t="s">
        <v>8112</v>
      </c>
      <c r="H388" s="70" t="s">
        <v>8113</v>
      </c>
      <c r="I388" s="70" t="s">
        <v>6384</v>
      </c>
      <c r="J388" s="70" t="s">
        <v>8114</v>
      </c>
      <c r="K388" s="70" t="s">
        <v>8115</v>
      </c>
    </row>
    <row r="389" spans="1:11" ht="58" customHeight="1" x14ac:dyDescent="0.2">
      <c r="A389" s="71" t="s">
        <v>8116</v>
      </c>
      <c r="B389" s="71" t="s">
        <v>206</v>
      </c>
      <c r="C389" s="71" t="s">
        <v>6381</v>
      </c>
      <c r="D389" s="71"/>
      <c r="E389" s="71" t="s">
        <v>6469</v>
      </c>
      <c r="F389" s="71">
        <v>865620</v>
      </c>
      <c r="G389" s="71" t="s">
        <v>8117</v>
      </c>
      <c r="H389" s="71" t="s">
        <v>8118</v>
      </c>
      <c r="I389" s="71" t="s">
        <v>6384</v>
      </c>
      <c r="J389" s="71" t="s">
        <v>8119</v>
      </c>
      <c r="K389" s="71" t="s">
        <v>8120</v>
      </c>
    </row>
    <row r="390" spans="1:11" ht="58" customHeight="1" x14ac:dyDescent="0.2">
      <c r="A390" s="70" t="s">
        <v>8121</v>
      </c>
      <c r="B390" s="70" t="s">
        <v>206</v>
      </c>
      <c r="C390" s="70" t="s">
        <v>6381</v>
      </c>
      <c r="D390" s="70"/>
      <c r="E390" s="70" t="s">
        <v>2703</v>
      </c>
      <c r="F390" s="70">
        <v>969162</v>
      </c>
      <c r="G390" s="70" t="s">
        <v>8122</v>
      </c>
      <c r="H390" s="70" t="s">
        <v>8123</v>
      </c>
      <c r="I390" s="70" t="s">
        <v>6384</v>
      </c>
      <c r="J390" s="70" t="s">
        <v>8124</v>
      </c>
      <c r="K390" s="70" t="s">
        <v>8125</v>
      </c>
    </row>
    <row r="391" spans="1:11" ht="58" customHeight="1" x14ac:dyDescent="0.2">
      <c r="A391" s="71" t="s">
        <v>8126</v>
      </c>
      <c r="B391" s="71" t="s">
        <v>206</v>
      </c>
      <c r="C391" s="71" t="s">
        <v>6381</v>
      </c>
      <c r="D391" s="71"/>
      <c r="E391" s="71" t="s">
        <v>2726</v>
      </c>
      <c r="F391" s="71">
        <v>1034256</v>
      </c>
      <c r="G391" s="71" t="s">
        <v>8127</v>
      </c>
      <c r="H391" s="71" t="s">
        <v>8128</v>
      </c>
      <c r="I391" s="71" t="s">
        <v>6384</v>
      </c>
      <c r="J391" s="71" t="s">
        <v>8129</v>
      </c>
      <c r="K391" s="71" t="s">
        <v>8130</v>
      </c>
    </row>
    <row r="392" spans="1:11" ht="58" customHeight="1" x14ac:dyDescent="0.2">
      <c r="A392" s="70" t="s">
        <v>8131</v>
      </c>
      <c r="B392" s="70" t="s">
        <v>206</v>
      </c>
      <c r="C392" s="70" t="s">
        <v>6381</v>
      </c>
      <c r="D392" s="70"/>
      <c r="E392" s="70" t="s">
        <v>2703</v>
      </c>
      <c r="F392" s="70">
        <v>1093266</v>
      </c>
      <c r="G392" s="70" t="s">
        <v>8132</v>
      </c>
      <c r="H392" s="70" t="s">
        <v>8133</v>
      </c>
      <c r="I392" s="70" t="s">
        <v>6384</v>
      </c>
      <c r="J392" s="70" t="s">
        <v>8134</v>
      </c>
      <c r="K392" s="70" t="s">
        <v>8135</v>
      </c>
    </row>
    <row r="393" spans="1:11" ht="58" customHeight="1" x14ac:dyDescent="0.2">
      <c r="A393" s="71" t="s">
        <v>8136</v>
      </c>
      <c r="B393" s="71" t="s">
        <v>206</v>
      </c>
      <c r="C393" s="71" t="s">
        <v>6381</v>
      </c>
      <c r="D393" s="71"/>
      <c r="E393" s="71" t="s">
        <v>2703</v>
      </c>
      <c r="F393" s="71">
        <v>1217070</v>
      </c>
      <c r="G393" s="71" t="s">
        <v>8137</v>
      </c>
      <c r="H393" s="71" t="s">
        <v>8138</v>
      </c>
      <c r="I393" s="71" t="s">
        <v>6384</v>
      </c>
      <c r="J393" s="71" t="s">
        <v>8139</v>
      </c>
      <c r="K393" s="71" t="s">
        <v>8140</v>
      </c>
    </row>
    <row r="394" spans="1:11" ht="58" customHeight="1" x14ac:dyDescent="0.2">
      <c r="A394" s="70" t="s">
        <v>8141</v>
      </c>
      <c r="B394" s="70" t="s">
        <v>206</v>
      </c>
      <c r="C394" s="70" t="s">
        <v>6381</v>
      </c>
      <c r="D394" s="70"/>
      <c r="E394" s="70" t="s">
        <v>2726</v>
      </c>
      <c r="F394" s="70">
        <v>1219259</v>
      </c>
      <c r="G394" s="70" t="s">
        <v>8142</v>
      </c>
      <c r="H394" s="70" t="s">
        <v>8143</v>
      </c>
      <c r="I394" s="70" t="s">
        <v>6384</v>
      </c>
      <c r="J394" s="70" t="s">
        <v>8144</v>
      </c>
      <c r="K394" s="70" t="s">
        <v>8145</v>
      </c>
    </row>
    <row r="395" spans="1:11" ht="58" customHeight="1" x14ac:dyDescent="0.2">
      <c r="A395" s="71" t="s">
        <v>8146</v>
      </c>
      <c r="B395" s="71" t="s">
        <v>206</v>
      </c>
      <c r="C395" s="71" t="s">
        <v>6381</v>
      </c>
      <c r="D395" s="71"/>
      <c r="E395" s="71" t="s">
        <v>2703</v>
      </c>
      <c r="F395" s="71">
        <v>1233276</v>
      </c>
      <c r="G395" s="71" t="s">
        <v>8147</v>
      </c>
      <c r="H395" s="71" t="s">
        <v>8148</v>
      </c>
      <c r="I395" s="71" t="s">
        <v>6384</v>
      </c>
      <c r="J395" s="71" t="s">
        <v>8149</v>
      </c>
      <c r="K395" s="71" t="s">
        <v>8150</v>
      </c>
    </row>
    <row r="396" spans="1:11" ht="58" customHeight="1" x14ac:dyDescent="0.2">
      <c r="A396" s="70" t="s">
        <v>8151</v>
      </c>
      <c r="B396" s="70" t="s">
        <v>206</v>
      </c>
      <c r="C396" s="70" t="s">
        <v>6381</v>
      </c>
      <c r="D396" s="70"/>
      <c r="E396" s="70" t="s">
        <v>2726</v>
      </c>
      <c r="F396" s="70">
        <v>1352932</v>
      </c>
      <c r="G396" s="70" t="s">
        <v>8152</v>
      </c>
      <c r="H396" s="70" t="s">
        <v>1459</v>
      </c>
      <c r="I396" s="70" t="s">
        <v>6460</v>
      </c>
      <c r="J396" s="70" t="s">
        <v>8153</v>
      </c>
      <c r="K396" s="70" t="s">
        <v>8154</v>
      </c>
    </row>
    <row r="397" spans="1:11" ht="58" customHeight="1" x14ac:dyDescent="0.2">
      <c r="A397" s="71" t="s">
        <v>8155</v>
      </c>
      <c r="B397" s="71" t="s">
        <v>206</v>
      </c>
      <c r="C397" s="71" t="s">
        <v>6381</v>
      </c>
      <c r="D397" s="71"/>
      <c r="E397" s="71" t="s">
        <v>2703</v>
      </c>
      <c r="F397" s="71">
        <v>1539929</v>
      </c>
      <c r="G397" s="71" t="s">
        <v>8156</v>
      </c>
      <c r="H397" s="71" t="s">
        <v>8157</v>
      </c>
      <c r="I397" s="71" t="s">
        <v>6384</v>
      </c>
      <c r="J397" s="71" t="s">
        <v>8158</v>
      </c>
      <c r="K397" s="71" t="s">
        <v>8159</v>
      </c>
    </row>
    <row r="398" spans="1:11" ht="58" customHeight="1" x14ac:dyDescent="0.2">
      <c r="A398" s="70" t="s">
        <v>8160</v>
      </c>
      <c r="B398" s="70" t="s">
        <v>206</v>
      </c>
      <c r="C398" s="70" t="s">
        <v>6381</v>
      </c>
      <c r="D398" s="70"/>
      <c r="E398" s="70" t="s">
        <v>2703</v>
      </c>
      <c r="F398" s="70">
        <v>1580907</v>
      </c>
      <c r="G398" s="70" t="s">
        <v>8161</v>
      </c>
      <c r="H398" s="70" t="s">
        <v>8162</v>
      </c>
      <c r="I398" s="70" t="s">
        <v>6384</v>
      </c>
      <c r="J398" s="70" t="s">
        <v>8163</v>
      </c>
      <c r="K398" s="70" t="s">
        <v>8164</v>
      </c>
    </row>
    <row r="399" spans="1:11" ht="58" customHeight="1" x14ac:dyDescent="0.2">
      <c r="A399" s="71" t="s">
        <v>8165</v>
      </c>
      <c r="B399" s="71" t="s">
        <v>209</v>
      </c>
      <c r="C399" s="71" t="s">
        <v>6381</v>
      </c>
      <c r="D399" s="71"/>
      <c r="E399" s="71" t="s">
        <v>6469</v>
      </c>
      <c r="F399" s="71">
        <v>861168</v>
      </c>
      <c r="G399" s="71" t="s">
        <v>8166</v>
      </c>
      <c r="H399" s="71" t="s">
        <v>8167</v>
      </c>
      <c r="I399" s="71" t="s">
        <v>6384</v>
      </c>
      <c r="J399" s="71" t="s">
        <v>8168</v>
      </c>
      <c r="K399" s="71" t="s">
        <v>8169</v>
      </c>
    </row>
    <row r="400" spans="1:11" ht="58" customHeight="1" x14ac:dyDescent="0.2">
      <c r="A400" s="70" t="s">
        <v>8170</v>
      </c>
      <c r="B400" s="70" t="s">
        <v>209</v>
      </c>
      <c r="C400" s="70" t="s">
        <v>6381</v>
      </c>
      <c r="D400" s="70"/>
      <c r="E400" s="70" t="s">
        <v>7022</v>
      </c>
      <c r="F400" s="70">
        <v>888263</v>
      </c>
      <c r="G400" s="70" t="s">
        <v>8171</v>
      </c>
      <c r="H400" s="70" t="s">
        <v>8172</v>
      </c>
      <c r="I400" s="70" t="s">
        <v>6384</v>
      </c>
      <c r="J400" s="70" t="s">
        <v>8173</v>
      </c>
      <c r="K400" s="70" t="s">
        <v>8174</v>
      </c>
    </row>
    <row r="401" spans="1:11" ht="58" customHeight="1" x14ac:dyDescent="0.2">
      <c r="A401" s="71" t="s">
        <v>8175</v>
      </c>
      <c r="B401" s="71" t="s">
        <v>209</v>
      </c>
      <c r="C401" s="71" t="s">
        <v>6381</v>
      </c>
      <c r="D401" s="71"/>
      <c r="E401" s="71" t="s">
        <v>2703</v>
      </c>
      <c r="F401" s="71">
        <v>1050896</v>
      </c>
      <c r="G401" s="71" t="s">
        <v>8176</v>
      </c>
      <c r="H401" s="71" t="s">
        <v>8177</v>
      </c>
      <c r="I401" s="71" t="s">
        <v>6384</v>
      </c>
      <c r="J401" s="71" t="s">
        <v>8178</v>
      </c>
      <c r="K401" s="71" t="s">
        <v>8179</v>
      </c>
    </row>
    <row r="402" spans="1:11" ht="58" customHeight="1" x14ac:dyDescent="0.2">
      <c r="A402" s="70" t="s">
        <v>8180</v>
      </c>
      <c r="B402" s="70" t="s">
        <v>209</v>
      </c>
      <c r="C402" s="70" t="s">
        <v>6381</v>
      </c>
      <c r="D402" s="70"/>
      <c r="E402" s="70" t="s">
        <v>2703</v>
      </c>
      <c r="F402" s="70">
        <v>1169403</v>
      </c>
      <c r="G402" s="70" t="s">
        <v>8181</v>
      </c>
      <c r="H402" s="70" t="s">
        <v>8182</v>
      </c>
      <c r="I402" s="70" t="s">
        <v>6384</v>
      </c>
      <c r="J402" s="70" t="s">
        <v>8183</v>
      </c>
      <c r="K402" s="70" t="s">
        <v>8184</v>
      </c>
    </row>
    <row r="403" spans="1:11" ht="58" customHeight="1" x14ac:dyDescent="0.2">
      <c r="A403" s="71" t="s">
        <v>8185</v>
      </c>
      <c r="B403" s="71" t="s">
        <v>209</v>
      </c>
      <c r="C403" s="71" t="s">
        <v>6381</v>
      </c>
      <c r="D403" s="71"/>
      <c r="E403" s="71" t="s">
        <v>2726</v>
      </c>
      <c r="F403" s="71">
        <v>1169405</v>
      </c>
      <c r="G403" s="71" t="s">
        <v>8186</v>
      </c>
      <c r="H403" s="71" t="s">
        <v>8187</v>
      </c>
      <c r="I403" s="71" t="s">
        <v>6384</v>
      </c>
      <c r="J403" s="71" t="s">
        <v>8188</v>
      </c>
      <c r="K403" s="71" t="s">
        <v>8189</v>
      </c>
    </row>
    <row r="404" spans="1:11" ht="58" customHeight="1" x14ac:dyDescent="0.2">
      <c r="A404" s="70" t="s">
        <v>8190</v>
      </c>
      <c r="B404" s="70" t="s">
        <v>209</v>
      </c>
      <c r="C404" s="70" t="s">
        <v>6381</v>
      </c>
      <c r="D404" s="70"/>
      <c r="E404" s="70" t="s">
        <v>2703</v>
      </c>
      <c r="F404" s="70">
        <v>1313319</v>
      </c>
      <c r="G404" s="70" t="s">
        <v>8191</v>
      </c>
      <c r="H404" s="70" t="s">
        <v>1462</v>
      </c>
      <c r="I404" s="70" t="s">
        <v>6384</v>
      </c>
      <c r="J404" s="70" t="s">
        <v>8192</v>
      </c>
      <c r="K404" s="70" t="s">
        <v>8193</v>
      </c>
    </row>
    <row r="405" spans="1:11" ht="58" customHeight="1" x14ac:dyDescent="0.2">
      <c r="A405" s="71" t="s">
        <v>8194</v>
      </c>
      <c r="B405" s="71" t="s">
        <v>209</v>
      </c>
      <c r="C405" s="71" t="s">
        <v>6381</v>
      </c>
      <c r="D405" s="71"/>
      <c r="E405" s="71" t="s">
        <v>2726</v>
      </c>
      <c r="F405" s="71">
        <v>1397174</v>
      </c>
      <c r="G405" s="71" t="s">
        <v>8195</v>
      </c>
      <c r="H405" s="71" t="s">
        <v>1465</v>
      </c>
      <c r="I405" s="71" t="s">
        <v>6460</v>
      </c>
      <c r="J405" s="71" t="s">
        <v>8196</v>
      </c>
      <c r="K405" s="71" t="s">
        <v>8197</v>
      </c>
    </row>
    <row r="406" spans="1:11" ht="58" customHeight="1" x14ac:dyDescent="0.2">
      <c r="A406" s="70" t="s">
        <v>8198</v>
      </c>
      <c r="B406" s="70" t="s">
        <v>209</v>
      </c>
      <c r="C406" s="70" t="s">
        <v>6381</v>
      </c>
      <c r="D406" s="70"/>
      <c r="E406" s="70" t="s">
        <v>2703</v>
      </c>
      <c r="F406" s="70">
        <v>1599824</v>
      </c>
      <c r="G406" s="70" t="s">
        <v>8199</v>
      </c>
      <c r="H406" s="70" t="s">
        <v>8200</v>
      </c>
      <c r="I406" s="70" t="s">
        <v>6384</v>
      </c>
      <c r="J406" s="70" t="s">
        <v>8201</v>
      </c>
      <c r="K406" s="70" t="s">
        <v>8202</v>
      </c>
    </row>
    <row r="407" spans="1:11" ht="58" customHeight="1" x14ac:dyDescent="0.2">
      <c r="A407" s="71" t="s">
        <v>8203</v>
      </c>
      <c r="B407" s="71" t="s">
        <v>212</v>
      </c>
      <c r="C407" s="71" t="s">
        <v>6381</v>
      </c>
      <c r="D407" s="71"/>
      <c r="E407" s="71" t="s">
        <v>6469</v>
      </c>
      <c r="F407" s="71">
        <v>869717</v>
      </c>
      <c r="G407" s="71" t="s">
        <v>8204</v>
      </c>
      <c r="H407" s="71" t="s">
        <v>8205</v>
      </c>
      <c r="I407" s="71" t="s">
        <v>6384</v>
      </c>
      <c r="J407" s="71" t="s">
        <v>8206</v>
      </c>
      <c r="K407" s="71" t="s">
        <v>8207</v>
      </c>
    </row>
    <row r="408" spans="1:11" ht="58" customHeight="1" x14ac:dyDescent="0.2">
      <c r="A408" s="70" t="s">
        <v>8208</v>
      </c>
      <c r="B408" s="70" t="s">
        <v>212</v>
      </c>
      <c r="C408" s="70" t="s">
        <v>6381</v>
      </c>
      <c r="D408" s="70"/>
      <c r="E408" s="70" t="s">
        <v>6469</v>
      </c>
      <c r="F408" s="70">
        <v>892759</v>
      </c>
      <c r="G408" s="70" t="s">
        <v>8209</v>
      </c>
      <c r="H408" s="70" t="s">
        <v>8210</v>
      </c>
      <c r="I408" s="70" t="s">
        <v>6384</v>
      </c>
      <c r="J408" s="70" t="s">
        <v>8211</v>
      </c>
      <c r="K408" s="70" t="s">
        <v>8212</v>
      </c>
    </row>
    <row r="409" spans="1:11" ht="58" customHeight="1" x14ac:dyDescent="0.2">
      <c r="A409" s="71" t="s">
        <v>8213</v>
      </c>
      <c r="B409" s="71" t="s">
        <v>212</v>
      </c>
      <c r="C409" s="71" t="s">
        <v>6381</v>
      </c>
      <c r="D409" s="71"/>
      <c r="E409" s="71" t="s">
        <v>6469</v>
      </c>
      <c r="F409" s="71">
        <v>920598</v>
      </c>
      <c r="G409" s="71" t="s">
        <v>8214</v>
      </c>
      <c r="H409" s="71" t="s">
        <v>8215</v>
      </c>
      <c r="I409" s="71" t="s">
        <v>6384</v>
      </c>
      <c r="J409" s="71" t="s">
        <v>8216</v>
      </c>
      <c r="K409" s="71" t="s">
        <v>8217</v>
      </c>
    </row>
    <row r="410" spans="1:11" ht="58" customHeight="1" x14ac:dyDescent="0.2">
      <c r="A410" s="70" t="s">
        <v>8218</v>
      </c>
      <c r="B410" s="70" t="s">
        <v>212</v>
      </c>
      <c r="C410" s="70" t="s">
        <v>6381</v>
      </c>
      <c r="D410" s="70"/>
      <c r="E410" s="70" t="s">
        <v>2703</v>
      </c>
      <c r="F410" s="70">
        <v>1079682</v>
      </c>
      <c r="G410" s="70" t="s">
        <v>8219</v>
      </c>
      <c r="H410" s="70" t="s">
        <v>8220</v>
      </c>
      <c r="I410" s="70" t="s">
        <v>6384</v>
      </c>
      <c r="J410" s="70" t="s">
        <v>8221</v>
      </c>
      <c r="K410" s="70" t="s">
        <v>8222</v>
      </c>
    </row>
    <row r="411" spans="1:11" ht="58" customHeight="1" x14ac:dyDescent="0.2">
      <c r="A411" s="71" t="s">
        <v>8223</v>
      </c>
      <c r="B411" s="71" t="s">
        <v>212</v>
      </c>
      <c r="C411" s="71" t="s">
        <v>6381</v>
      </c>
      <c r="D411" s="71"/>
      <c r="E411" s="71" t="s">
        <v>2726</v>
      </c>
      <c r="F411" s="71">
        <v>1080186</v>
      </c>
      <c r="G411" s="71" t="s">
        <v>8224</v>
      </c>
      <c r="H411" s="71" t="s">
        <v>8225</v>
      </c>
      <c r="I411" s="71" t="s">
        <v>6384</v>
      </c>
      <c r="J411" s="71" t="s">
        <v>8226</v>
      </c>
      <c r="K411" s="71" t="s">
        <v>8227</v>
      </c>
    </row>
    <row r="412" spans="1:11" ht="58" customHeight="1" x14ac:dyDescent="0.2">
      <c r="A412" s="70" t="s">
        <v>8228</v>
      </c>
      <c r="B412" s="70" t="s">
        <v>212</v>
      </c>
      <c r="C412" s="70" t="s">
        <v>6381</v>
      </c>
      <c r="D412" s="70"/>
      <c r="E412" s="70" t="s">
        <v>2703</v>
      </c>
      <c r="F412" s="70">
        <v>1106341</v>
      </c>
      <c r="G412" s="70" t="s">
        <v>8229</v>
      </c>
      <c r="H412" s="70" t="s">
        <v>8230</v>
      </c>
      <c r="I412" s="70" t="s">
        <v>6384</v>
      </c>
      <c r="J412" s="70" t="s">
        <v>8231</v>
      </c>
      <c r="K412" s="70" t="s">
        <v>8232</v>
      </c>
    </row>
    <row r="413" spans="1:11" ht="58" customHeight="1" x14ac:dyDescent="0.2">
      <c r="A413" s="71" t="s">
        <v>8233</v>
      </c>
      <c r="B413" s="71" t="s">
        <v>212</v>
      </c>
      <c r="C413" s="71" t="s">
        <v>6381</v>
      </c>
      <c r="D413" s="71"/>
      <c r="E413" s="71" t="s">
        <v>2703</v>
      </c>
      <c r="F413" s="71">
        <v>1106807</v>
      </c>
      <c r="G413" s="71" t="s">
        <v>8234</v>
      </c>
      <c r="H413" s="71" t="s">
        <v>8235</v>
      </c>
      <c r="I413" s="71" t="s">
        <v>6384</v>
      </c>
      <c r="J413" s="71" t="s">
        <v>8236</v>
      </c>
      <c r="K413" s="71" t="s">
        <v>8237</v>
      </c>
    </row>
    <row r="414" spans="1:11" ht="58" customHeight="1" x14ac:dyDescent="0.2">
      <c r="A414" s="70" t="s">
        <v>8238</v>
      </c>
      <c r="B414" s="70" t="s">
        <v>212</v>
      </c>
      <c r="C414" s="70" t="s">
        <v>6381</v>
      </c>
      <c r="D414" s="70"/>
      <c r="E414" s="70" t="s">
        <v>2703</v>
      </c>
      <c r="F414" s="70">
        <v>1321081</v>
      </c>
      <c r="G414" s="70" t="s">
        <v>8239</v>
      </c>
      <c r="H414" s="70" t="s">
        <v>8240</v>
      </c>
      <c r="I414" s="70" t="s">
        <v>6460</v>
      </c>
      <c r="J414" s="70" t="s">
        <v>8241</v>
      </c>
      <c r="K414" s="70" t="s">
        <v>8242</v>
      </c>
    </row>
    <row r="415" spans="1:11" ht="58" customHeight="1" x14ac:dyDescent="0.2">
      <c r="A415" s="71" t="s">
        <v>8243</v>
      </c>
      <c r="B415" s="71" t="s">
        <v>212</v>
      </c>
      <c r="C415" s="71" t="s">
        <v>6381</v>
      </c>
      <c r="D415" s="71"/>
      <c r="E415" s="71" t="s">
        <v>2703</v>
      </c>
      <c r="F415" s="71">
        <v>1519012</v>
      </c>
      <c r="G415" s="71" t="s">
        <v>8244</v>
      </c>
      <c r="H415" s="71" t="s">
        <v>8245</v>
      </c>
      <c r="I415" s="71" t="s">
        <v>6384</v>
      </c>
      <c r="J415" s="71" t="s">
        <v>8246</v>
      </c>
      <c r="K415" s="71" t="s">
        <v>8247</v>
      </c>
    </row>
    <row r="416" spans="1:11" ht="58" customHeight="1" x14ac:dyDescent="0.2">
      <c r="A416" s="70" t="s">
        <v>8248</v>
      </c>
      <c r="B416" s="70" t="s">
        <v>212</v>
      </c>
      <c r="C416" s="70" t="s">
        <v>6381</v>
      </c>
      <c r="D416" s="70"/>
      <c r="E416" s="70" t="s">
        <v>2726</v>
      </c>
      <c r="F416" s="70">
        <v>1523530</v>
      </c>
      <c r="G416" s="70" t="s">
        <v>8249</v>
      </c>
      <c r="H416" s="70" t="s">
        <v>8250</v>
      </c>
      <c r="I416" s="70" t="s">
        <v>6384</v>
      </c>
      <c r="J416" s="70" t="s">
        <v>8251</v>
      </c>
      <c r="K416" s="70" t="s">
        <v>8252</v>
      </c>
    </row>
    <row r="417" spans="1:11" ht="58" customHeight="1" x14ac:dyDescent="0.2">
      <c r="A417" s="71" t="s">
        <v>8253</v>
      </c>
      <c r="B417" s="71" t="s">
        <v>212</v>
      </c>
      <c r="C417" s="71" t="s">
        <v>6381</v>
      </c>
      <c r="D417" s="71"/>
      <c r="E417" s="71" t="s">
        <v>2703</v>
      </c>
      <c r="F417" s="71">
        <v>1561429</v>
      </c>
      <c r="G417" s="71" t="s">
        <v>8254</v>
      </c>
      <c r="H417" s="71" t="s">
        <v>8255</v>
      </c>
      <c r="I417" s="71" t="s">
        <v>6384</v>
      </c>
      <c r="J417" s="71" t="s">
        <v>8256</v>
      </c>
      <c r="K417" s="71" t="s">
        <v>8257</v>
      </c>
    </row>
    <row r="418" spans="1:11" ht="58" customHeight="1" x14ac:dyDescent="0.2">
      <c r="A418" s="70" t="s">
        <v>8258</v>
      </c>
      <c r="B418" s="70" t="s">
        <v>24</v>
      </c>
      <c r="C418" s="70" t="s">
        <v>6381</v>
      </c>
      <c r="D418" s="70"/>
      <c r="E418" s="70" t="s">
        <v>2703</v>
      </c>
      <c r="F418" s="70">
        <v>1039576</v>
      </c>
      <c r="G418" s="70" t="s">
        <v>8259</v>
      </c>
      <c r="H418" s="70" t="s">
        <v>8260</v>
      </c>
      <c r="I418" s="70" t="s">
        <v>6384</v>
      </c>
      <c r="J418" s="70" t="s">
        <v>8261</v>
      </c>
      <c r="K418" s="70" t="s">
        <v>8262</v>
      </c>
    </row>
    <row r="419" spans="1:11" ht="58" customHeight="1" x14ac:dyDescent="0.2">
      <c r="A419" s="71" t="s">
        <v>8263</v>
      </c>
      <c r="B419" s="71" t="s">
        <v>28</v>
      </c>
      <c r="C419" s="71" t="s">
        <v>6381</v>
      </c>
      <c r="D419" s="71"/>
      <c r="E419" s="71" t="s">
        <v>2703</v>
      </c>
      <c r="F419" s="71">
        <v>941760</v>
      </c>
      <c r="G419" s="71" t="s">
        <v>8264</v>
      </c>
      <c r="H419" s="71" t="s">
        <v>8265</v>
      </c>
      <c r="I419" s="71" t="s">
        <v>6384</v>
      </c>
      <c r="J419" s="71" t="s">
        <v>8266</v>
      </c>
      <c r="K419" s="71" t="s">
        <v>8267</v>
      </c>
    </row>
    <row r="420" spans="1:11" ht="58" customHeight="1" x14ac:dyDescent="0.2">
      <c r="A420" s="70" t="s">
        <v>8268</v>
      </c>
      <c r="B420" s="70" t="s">
        <v>28</v>
      </c>
      <c r="C420" s="70" t="s">
        <v>6381</v>
      </c>
      <c r="D420" s="70"/>
      <c r="E420" s="70" t="s">
        <v>2703</v>
      </c>
      <c r="F420" s="70">
        <v>970752</v>
      </c>
      <c r="G420" s="70" t="s">
        <v>8269</v>
      </c>
      <c r="H420" s="70" t="s">
        <v>8270</v>
      </c>
      <c r="I420" s="70" t="s">
        <v>6384</v>
      </c>
      <c r="J420" s="70" t="s">
        <v>8271</v>
      </c>
      <c r="K420" s="70" t="s">
        <v>8272</v>
      </c>
    </row>
    <row r="421" spans="1:11" ht="58" customHeight="1" x14ac:dyDescent="0.2">
      <c r="A421" s="71" t="s">
        <v>8273</v>
      </c>
      <c r="B421" s="71" t="s">
        <v>28</v>
      </c>
      <c r="C421" s="71" t="s">
        <v>6381</v>
      </c>
      <c r="D421" s="71"/>
      <c r="E421" s="71" t="s">
        <v>2703</v>
      </c>
      <c r="F421" s="71">
        <v>1154505</v>
      </c>
      <c r="G421" s="71" t="s">
        <v>8274</v>
      </c>
      <c r="H421" s="71" t="s">
        <v>8275</v>
      </c>
      <c r="I421" s="71" t="s">
        <v>6384</v>
      </c>
      <c r="J421" s="71" t="s">
        <v>8276</v>
      </c>
      <c r="K421" s="71" t="s">
        <v>8277</v>
      </c>
    </row>
    <row r="422" spans="1:11" ht="58" customHeight="1" x14ac:dyDescent="0.2">
      <c r="A422" s="70" t="s">
        <v>8278</v>
      </c>
      <c r="B422" s="70" t="s">
        <v>28</v>
      </c>
      <c r="C422" s="70" t="s">
        <v>6381</v>
      </c>
      <c r="D422" s="70"/>
      <c r="E422" s="70" t="s">
        <v>2703</v>
      </c>
      <c r="F422" s="70">
        <v>1310210</v>
      </c>
      <c r="G422" s="70" t="s">
        <v>8279</v>
      </c>
      <c r="H422" s="70" t="s">
        <v>8280</v>
      </c>
      <c r="I422" s="70" t="s">
        <v>6460</v>
      </c>
      <c r="J422" s="70" t="s">
        <v>8281</v>
      </c>
      <c r="K422" s="70" t="s">
        <v>8282</v>
      </c>
    </row>
    <row r="423" spans="1:11" ht="58" customHeight="1" x14ac:dyDescent="0.2">
      <c r="A423" s="71" t="s">
        <v>8283</v>
      </c>
      <c r="B423" s="71" t="s">
        <v>28</v>
      </c>
      <c r="C423" s="71" t="s">
        <v>6381</v>
      </c>
      <c r="D423" s="71"/>
      <c r="E423" s="71" t="s">
        <v>2703</v>
      </c>
      <c r="F423" s="71">
        <v>1433770</v>
      </c>
      <c r="G423" s="71" t="s">
        <v>8284</v>
      </c>
      <c r="H423" s="71" t="s">
        <v>310</v>
      </c>
      <c r="I423" s="71" t="s">
        <v>6384</v>
      </c>
      <c r="J423" s="71" t="s">
        <v>8285</v>
      </c>
      <c r="K423" s="71" t="s">
        <v>8286</v>
      </c>
    </row>
    <row r="424" spans="1:11" ht="58" customHeight="1" x14ac:dyDescent="0.2">
      <c r="A424" s="70" t="s">
        <v>8287</v>
      </c>
      <c r="B424" s="70" t="s">
        <v>222</v>
      </c>
      <c r="C424" s="70" t="s">
        <v>6381</v>
      </c>
      <c r="D424" s="70"/>
      <c r="E424" s="70" t="s">
        <v>6469</v>
      </c>
      <c r="F424" s="70">
        <v>921070</v>
      </c>
      <c r="G424" s="70" t="s">
        <v>8288</v>
      </c>
      <c r="H424" s="70" t="s">
        <v>8289</v>
      </c>
      <c r="I424" s="70" t="s">
        <v>6384</v>
      </c>
      <c r="J424" s="70" t="s">
        <v>8290</v>
      </c>
      <c r="K424" s="70" t="s">
        <v>8291</v>
      </c>
    </row>
    <row r="425" spans="1:11" ht="58" customHeight="1" x14ac:dyDescent="0.2">
      <c r="A425" s="71" t="s">
        <v>8292</v>
      </c>
      <c r="B425" s="71" t="s">
        <v>222</v>
      </c>
      <c r="C425" s="71" t="s">
        <v>6381</v>
      </c>
      <c r="D425" s="71"/>
      <c r="E425" s="71" t="s">
        <v>2703</v>
      </c>
      <c r="F425" s="71">
        <v>931016</v>
      </c>
      <c r="G425" s="71" t="s">
        <v>8293</v>
      </c>
      <c r="H425" s="71" t="s">
        <v>8294</v>
      </c>
      <c r="I425" s="71" t="s">
        <v>6384</v>
      </c>
      <c r="J425" s="71" t="s">
        <v>8295</v>
      </c>
      <c r="K425" s="71" t="s">
        <v>8296</v>
      </c>
    </row>
    <row r="426" spans="1:11" ht="58" customHeight="1" x14ac:dyDescent="0.2">
      <c r="A426" s="70" t="s">
        <v>8297</v>
      </c>
      <c r="B426" s="70" t="s">
        <v>222</v>
      </c>
      <c r="C426" s="70" t="s">
        <v>6381</v>
      </c>
      <c r="D426" s="70"/>
      <c r="E426" s="70" t="s">
        <v>2726</v>
      </c>
      <c r="F426" s="70">
        <v>931173</v>
      </c>
      <c r="G426" s="70" t="s">
        <v>8298</v>
      </c>
      <c r="H426" s="70" t="s">
        <v>8299</v>
      </c>
      <c r="I426" s="70" t="s">
        <v>6384</v>
      </c>
      <c r="J426" s="70" t="s">
        <v>8300</v>
      </c>
      <c r="K426" s="70" t="s">
        <v>8301</v>
      </c>
    </row>
    <row r="427" spans="1:11" ht="58" customHeight="1" x14ac:dyDescent="0.2">
      <c r="A427" s="71" t="s">
        <v>8302</v>
      </c>
      <c r="B427" s="71" t="s">
        <v>222</v>
      </c>
      <c r="C427" s="71" t="s">
        <v>6381</v>
      </c>
      <c r="D427" s="71"/>
      <c r="E427" s="71" t="s">
        <v>2703</v>
      </c>
      <c r="F427" s="71">
        <v>998511</v>
      </c>
      <c r="G427" s="71" t="s">
        <v>8303</v>
      </c>
      <c r="H427" s="71" t="s">
        <v>8304</v>
      </c>
      <c r="I427" s="71" t="s">
        <v>6384</v>
      </c>
      <c r="J427" s="71" t="s">
        <v>8305</v>
      </c>
      <c r="K427" s="71" t="s">
        <v>8306</v>
      </c>
    </row>
    <row r="428" spans="1:11" ht="58" customHeight="1" x14ac:dyDescent="0.2">
      <c r="A428" s="70" t="s">
        <v>8307</v>
      </c>
      <c r="B428" s="70" t="s">
        <v>222</v>
      </c>
      <c r="C428" s="70" t="s">
        <v>6381</v>
      </c>
      <c r="D428" s="70"/>
      <c r="E428" s="70" t="s">
        <v>2703</v>
      </c>
      <c r="F428" s="70">
        <v>1015066</v>
      </c>
      <c r="G428" s="70" t="s">
        <v>8308</v>
      </c>
      <c r="H428" s="70" t="s">
        <v>8309</v>
      </c>
      <c r="I428" s="70" t="s">
        <v>6384</v>
      </c>
      <c r="J428" s="70" t="s">
        <v>8310</v>
      </c>
      <c r="K428" s="70" t="s">
        <v>8311</v>
      </c>
    </row>
    <row r="429" spans="1:11" ht="58" customHeight="1" x14ac:dyDescent="0.2">
      <c r="A429" s="71" t="s">
        <v>8312</v>
      </c>
      <c r="B429" s="71" t="s">
        <v>222</v>
      </c>
      <c r="C429" s="71" t="s">
        <v>6381</v>
      </c>
      <c r="D429" s="71"/>
      <c r="E429" s="71" t="s">
        <v>2703</v>
      </c>
      <c r="F429" s="71">
        <v>1061975</v>
      </c>
      <c r="G429" s="71" t="s">
        <v>8313</v>
      </c>
      <c r="H429" s="71" t="s">
        <v>8314</v>
      </c>
      <c r="I429" s="71" t="s">
        <v>6384</v>
      </c>
      <c r="J429" s="71" t="s">
        <v>8315</v>
      </c>
      <c r="K429" s="71" t="s">
        <v>8316</v>
      </c>
    </row>
    <row r="430" spans="1:11" ht="58" customHeight="1" x14ac:dyDescent="0.2">
      <c r="A430" s="70" t="s">
        <v>8317</v>
      </c>
      <c r="B430" s="70" t="s">
        <v>222</v>
      </c>
      <c r="C430" s="70" t="s">
        <v>6381</v>
      </c>
      <c r="D430" s="70"/>
      <c r="E430" s="70" t="s">
        <v>2703</v>
      </c>
      <c r="F430" s="70">
        <v>1107562</v>
      </c>
      <c r="G430" s="70" t="s">
        <v>8318</v>
      </c>
      <c r="H430" s="70" t="s">
        <v>8319</v>
      </c>
      <c r="I430" s="70" t="s">
        <v>6384</v>
      </c>
      <c r="J430" s="70" t="s">
        <v>8320</v>
      </c>
      <c r="K430" s="70" t="s">
        <v>8321</v>
      </c>
    </row>
    <row r="431" spans="1:11" ht="58" customHeight="1" x14ac:dyDescent="0.2">
      <c r="A431" s="71" t="s">
        <v>8322</v>
      </c>
      <c r="B431" s="71" t="s">
        <v>222</v>
      </c>
      <c r="C431" s="71" t="s">
        <v>6381</v>
      </c>
      <c r="D431" s="71"/>
      <c r="E431" s="71" t="s">
        <v>2703</v>
      </c>
      <c r="F431" s="71">
        <v>1111556</v>
      </c>
      <c r="G431" s="71" t="s">
        <v>8323</v>
      </c>
      <c r="H431" s="71" t="s">
        <v>8324</v>
      </c>
      <c r="I431" s="71" t="s">
        <v>6384</v>
      </c>
      <c r="J431" s="71" t="s">
        <v>8325</v>
      </c>
      <c r="K431" s="71" t="s">
        <v>8326</v>
      </c>
    </row>
    <row r="432" spans="1:11" ht="58" customHeight="1" x14ac:dyDescent="0.2">
      <c r="A432" s="70" t="s">
        <v>8327</v>
      </c>
      <c r="B432" s="70" t="s">
        <v>222</v>
      </c>
      <c r="C432" s="70" t="s">
        <v>6381</v>
      </c>
      <c r="D432" s="70"/>
      <c r="E432" s="70" t="s">
        <v>2703</v>
      </c>
      <c r="F432" s="70">
        <v>1119538</v>
      </c>
      <c r="G432" s="70" t="s">
        <v>8328</v>
      </c>
      <c r="H432" s="70" t="s">
        <v>8329</v>
      </c>
      <c r="I432" s="70" t="s">
        <v>6384</v>
      </c>
      <c r="J432" s="70" t="s">
        <v>8330</v>
      </c>
      <c r="K432" s="70" t="s">
        <v>8331</v>
      </c>
    </row>
    <row r="433" spans="1:11" ht="58" customHeight="1" x14ac:dyDescent="0.2">
      <c r="A433" s="71" t="s">
        <v>8332</v>
      </c>
      <c r="B433" s="71" t="s">
        <v>222</v>
      </c>
      <c r="C433" s="71" t="s">
        <v>6381</v>
      </c>
      <c r="D433" s="71"/>
      <c r="E433" s="71" t="s">
        <v>2726</v>
      </c>
      <c r="F433" s="71">
        <v>1120556</v>
      </c>
      <c r="G433" s="71" t="s">
        <v>8333</v>
      </c>
      <c r="H433" s="71" t="s">
        <v>8334</v>
      </c>
      <c r="I433" s="71" t="s">
        <v>6384</v>
      </c>
      <c r="J433" s="71" t="s">
        <v>8335</v>
      </c>
      <c r="K433" s="71" t="s">
        <v>8336</v>
      </c>
    </row>
    <row r="434" spans="1:11" ht="58" customHeight="1" x14ac:dyDescent="0.2">
      <c r="A434" s="70" t="s">
        <v>8337</v>
      </c>
      <c r="B434" s="70" t="s">
        <v>222</v>
      </c>
      <c r="C434" s="70" t="s">
        <v>6381</v>
      </c>
      <c r="D434" s="70"/>
      <c r="E434" s="70" t="s">
        <v>2703</v>
      </c>
      <c r="F434" s="70">
        <v>1151347</v>
      </c>
      <c r="G434" s="70" t="s">
        <v>8338</v>
      </c>
      <c r="H434" s="70" t="s">
        <v>8339</v>
      </c>
      <c r="I434" s="70" t="s">
        <v>6384</v>
      </c>
      <c r="J434" s="70" t="s">
        <v>8340</v>
      </c>
      <c r="K434" s="70" t="s">
        <v>8341</v>
      </c>
    </row>
    <row r="435" spans="1:11" ht="58" customHeight="1" x14ac:dyDescent="0.2">
      <c r="A435" s="71" t="s">
        <v>8342</v>
      </c>
      <c r="B435" s="71" t="s">
        <v>222</v>
      </c>
      <c r="C435" s="71" t="s">
        <v>6381</v>
      </c>
      <c r="D435" s="71"/>
      <c r="E435" s="71" t="s">
        <v>2703</v>
      </c>
      <c r="F435" s="71">
        <v>1242233</v>
      </c>
      <c r="G435" s="71" t="s">
        <v>8343</v>
      </c>
      <c r="H435" s="71" t="s">
        <v>8344</v>
      </c>
      <c r="I435" s="71" t="s">
        <v>6384</v>
      </c>
      <c r="J435" s="71" t="s">
        <v>8345</v>
      </c>
      <c r="K435" s="71" t="s">
        <v>8346</v>
      </c>
    </row>
    <row r="436" spans="1:11" ht="58" customHeight="1" x14ac:dyDescent="0.2">
      <c r="A436" s="70" t="s">
        <v>8347</v>
      </c>
      <c r="B436" s="70" t="s">
        <v>222</v>
      </c>
      <c r="C436" s="70" t="s">
        <v>6381</v>
      </c>
      <c r="D436" s="70"/>
      <c r="E436" s="70" t="s">
        <v>2703</v>
      </c>
      <c r="F436" s="70">
        <v>1309386</v>
      </c>
      <c r="G436" s="70" t="s">
        <v>8348</v>
      </c>
      <c r="H436" s="70" t="s">
        <v>3115</v>
      </c>
      <c r="I436" s="70" t="s">
        <v>6384</v>
      </c>
      <c r="J436" s="70" t="s">
        <v>8349</v>
      </c>
      <c r="K436" s="70" t="s">
        <v>8350</v>
      </c>
    </row>
    <row r="437" spans="1:11" ht="58" customHeight="1" x14ac:dyDescent="0.2">
      <c r="A437" s="71" t="s">
        <v>8351</v>
      </c>
      <c r="B437" s="71" t="s">
        <v>222</v>
      </c>
      <c r="C437" s="71" t="s">
        <v>6381</v>
      </c>
      <c r="D437" s="71"/>
      <c r="E437" s="71" t="s">
        <v>2703</v>
      </c>
      <c r="F437" s="71">
        <v>1354441</v>
      </c>
      <c r="G437" s="71" t="s">
        <v>8352</v>
      </c>
      <c r="H437" s="71" t="s">
        <v>8353</v>
      </c>
      <c r="I437" s="71" t="s">
        <v>6460</v>
      </c>
      <c r="J437" s="71" t="s">
        <v>8354</v>
      </c>
      <c r="K437" s="71" t="s">
        <v>8355</v>
      </c>
    </row>
    <row r="438" spans="1:11" ht="58" customHeight="1" x14ac:dyDescent="0.2">
      <c r="A438" s="70" t="s">
        <v>8356</v>
      </c>
      <c r="B438" s="70" t="s">
        <v>222</v>
      </c>
      <c r="C438" s="70" t="s">
        <v>6381</v>
      </c>
      <c r="D438" s="70"/>
      <c r="E438" s="70" t="s">
        <v>2703</v>
      </c>
      <c r="F438" s="70">
        <v>1433411</v>
      </c>
      <c r="G438" s="70" t="s">
        <v>8357</v>
      </c>
      <c r="H438" s="70" t="s">
        <v>2910</v>
      </c>
      <c r="I438" s="70" t="s">
        <v>6384</v>
      </c>
      <c r="J438" s="70" t="s">
        <v>8358</v>
      </c>
      <c r="K438" s="70" t="s">
        <v>8359</v>
      </c>
    </row>
    <row r="439" spans="1:11" ht="58" customHeight="1" x14ac:dyDescent="0.2">
      <c r="A439" s="71" t="s">
        <v>8360</v>
      </c>
      <c r="B439" s="71" t="s">
        <v>222</v>
      </c>
      <c r="C439" s="71" t="s">
        <v>6381</v>
      </c>
      <c r="D439" s="71"/>
      <c r="E439" s="71" t="s">
        <v>2703</v>
      </c>
      <c r="F439" s="71">
        <v>1443721</v>
      </c>
      <c r="G439" s="71" t="s">
        <v>8361</v>
      </c>
      <c r="H439" s="71" t="s">
        <v>2898</v>
      </c>
      <c r="I439" s="71" t="s">
        <v>6384</v>
      </c>
      <c r="J439" s="71" t="s">
        <v>8362</v>
      </c>
      <c r="K439" s="71" t="s">
        <v>8363</v>
      </c>
    </row>
    <row r="440" spans="1:11" ht="58" customHeight="1" x14ac:dyDescent="0.2">
      <c r="A440" s="70" t="s">
        <v>8364</v>
      </c>
      <c r="B440" s="70" t="s">
        <v>222</v>
      </c>
      <c r="C440" s="70" t="s">
        <v>6381</v>
      </c>
      <c r="D440" s="70"/>
      <c r="E440" s="70" t="s">
        <v>2703</v>
      </c>
      <c r="F440" s="70">
        <v>1563342</v>
      </c>
      <c r="G440" s="70" t="s">
        <v>8365</v>
      </c>
      <c r="H440" s="70" t="s">
        <v>8366</v>
      </c>
      <c r="I440" s="70" t="s">
        <v>6384</v>
      </c>
      <c r="J440" s="70" t="s">
        <v>8367</v>
      </c>
      <c r="K440" s="70" t="s">
        <v>8368</v>
      </c>
    </row>
    <row r="441" spans="1:11" ht="58" customHeight="1" x14ac:dyDescent="0.2">
      <c r="A441" s="71" t="s">
        <v>8369</v>
      </c>
      <c r="B441" s="71" t="s">
        <v>222</v>
      </c>
      <c r="C441" s="71" t="s">
        <v>6381</v>
      </c>
      <c r="D441" s="71"/>
      <c r="E441" s="71" t="s">
        <v>2703</v>
      </c>
      <c r="F441" s="71">
        <v>1603909</v>
      </c>
      <c r="G441" s="71" t="s">
        <v>8370</v>
      </c>
      <c r="H441" s="71" t="s">
        <v>8371</v>
      </c>
      <c r="I441" s="71" t="s">
        <v>6384</v>
      </c>
      <c r="J441" s="71" t="s">
        <v>8372</v>
      </c>
      <c r="K441" s="71" t="s">
        <v>8373</v>
      </c>
    </row>
  </sheetData>
  <mergeCells count="2">
    <mergeCell ref="A2:K2"/>
    <mergeCell ref="A1:K1"/>
  </mergeCells>
  <pageMargins left="0.75" right="0.75" top="1" bottom="1" header="0.5" footer="0.5"/>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G76"/>
  <sheetViews>
    <sheetView showGridLines="0" rightToLeft="1" workbookViewId="0">
      <pane xSplit="2" ySplit="3" topLeftCell="C4" activePane="bottomRight" state="frozen"/>
      <selection pane="topRight"/>
      <selection pane="bottomLeft"/>
      <selection pane="bottomRight"/>
    </sheetView>
  </sheetViews>
  <sheetFormatPr baseColWidth="10" defaultColWidth="8.83203125" defaultRowHeight="15" x14ac:dyDescent="0.2"/>
  <cols>
    <col min="1" max="1" width="8" customWidth="1"/>
    <col min="2" max="2" width="16" customWidth="1"/>
    <col min="3" max="3" width="14" customWidth="1"/>
    <col min="4" max="4" width="30" customWidth="1"/>
    <col min="5" max="5" width="80" customWidth="1"/>
    <col min="6" max="6" width="18" customWidth="1"/>
    <col min="7" max="7" width="26" customWidth="1"/>
  </cols>
  <sheetData>
    <row r="1" spans="1:7" ht="30" customHeight="1" x14ac:dyDescent="0.2">
      <c r="A1" s="88" t="s">
        <v>8374</v>
      </c>
      <c r="B1" s="76"/>
      <c r="C1" s="76"/>
      <c r="D1" s="76"/>
      <c r="E1" s="76"/>
      <c r="F1" s="76"/>
      <c r="G1" s="76"/>
    </row>
    <row r="2" spans="1:7" ht="22" customHeight="1" x14ac:dyDescent="0.2">
      <c r="A2" s="85" t="s">
        <v>8375</v>
      </c>
      <c r="B2" s="76"/>
      <c r="C2" s="76"/>
      <c r="D2" s="76"/>
      <c r="E2" s="76"/>
      <c r="F2" s="76"/>
      <c r="G2" s="76"/>
    </row>
    <row r="3" spans="1:7" ht="30" customHeight="1" x14ac:dyDescent="0.2">
      <c r="A3" s="69" t="s">
        <v>257</v>
      </c>
      <c r="B3" s="69" t="s">
        <v>8376</v>
      </c>
      <c r="C3" s="69" t="s">
        <v>94</v>
      </c>
      <c r="D3" s="69" t="s">
        <v>2</v>
      </c>
      <c r="E3" s="69" t="s">
        <v>8377</v>
      </c>
      <c r="F3" s="69" t="s">
        <v>376</v>
      </c>
      <c r="G3" s="69" t="s">
        <v>8378</v>
      </c>
    </row>
    <row r="4" spans="1:7" ht="29" customHeight="1" x14ac:dyDescent="0.2">
      <c r="A4" s="70" t="s">
        <v>8379</v>
      </c>
      <c r="B4" s="70" t="s">
        <v>8380</v>
      </c>
      <c r="C4" s="70" t="s">
        <v>126</v>
      </c>
      <c r="D4" s="70" t="s">
        <v>8381</v>
      </c>
      <c r="E4" s="70" t="s">
        <v>8382</v>
      </c>
      <c r="F4" s="70" t="s">
        <v>667</v>
      </c>
      <c r="G4" s="70" t="s">
        <v>8383</v>
      </c>
    </row>
    <row r="5" spans="1:7" ht="20" customHeight="1" x14ac:dyDescent="0.2">
      <c r="A5" s="71" t="s">
        <v>8384</v>
      </c>
      <c r="B5" s="71" t="s">
        <v>8380</v>
      </c>
      <c r="C5" s="71" t="s">
        <v>131</v>
      </c>
      <c r="D5" s="71" t="s">
        <v>8385</v>
      </c>
      <c r="E5" s="71" t="s">
        <v>8386</v>
      </c>
      <c r="F5" s="71" t="s">
        <v>667</v>
      </c>
      <c r="G5" s="71" t="s">
        <v>8387</v>
      </c>
    </row>
    <row r="6" spans="1:7" ht="29" customHeight="1" x14ac:dyDescent="0.2">
      <c r="A6" s="70" t="s">
        <v>8388</v>
      </c>
      <c r="B6" s="70" t="s">
        <v>8389</v>
      </c>
      <c r="C6" s="70" t="s">
        <v>131</v>
      </c>
      <c r="D6" s="70" t="s">
        <v>8390</v>
      </c>
      <c r="E6" s="70" t="s">
        <v>8391</v>
      </c>
      <c r="F6" s="70" t="s">
        <v>8392</v>
      </c>
      <c r="G6" s="70" t="s">
        <v>8393</v>
      </c>
    </row>
    <row r="7" spans="1:7" ht="29" customHeight="1" x14ac:dyDescent="0.2">
      <c r="A7" s="71" t="s">
        <v>8394</v>
      </c>
      <c r="B7" s="71" t="s">
        <v>8395</v>
      </c>
      <c r="C7" s="71" t="s">
        <v>109</v>
      </c>
      <c r="D7" s="71" t="s">
        <v>8396</v>
      </c>
      <c r="E7" s="71" t="s">
        <v>8397</v>
      </c>
      <c r="F7" s="71" t="s">
        <v>8398</v>
      </c>
      <c r="G7" s="71" t="s">
        <v>8399</v>
      </c>
    </row>
    <row r="8" spans="1:7" ht="29" customHeight="1" x14ac:dyDescent="0.2">
      <c r="A8" s="70" t="s">
        <v>8400</v>
      </c>
      <c r="B8" s="70" t="s">
        <v>8395</v>
      </c>
      <c r="C8" s="70" t="s">
        <v>109</v>
      </c>
      <c r="D8" s="70" t="s">
        <v>8401</v>
      </c>
      <c r="E8" s="70" t="s">
        <v>8402</v>
      </c>
      <c r="F8" s="70" t="s">
        <v>8398</v>
      </c>
      <c r="G8" s="70" t="s">
        <v>8399</v>
      </c>
    </row>
    <row r="9" spans="1:7" ht="29" customHeight="1" x14ac:dyDescent="0.2">
      <c r="A9" s="71" t="s">
        <v>8403</v>
      </c>
      <c r="B9" s="71" t="s">
        <v>8395</v>
      </c>
      <c r="C9" s="71" t="s">
        <v>126</v>
      </c>
      <c r="D9" s="71" t="s">
        <v>8404</v>
      </c>
      <c r="E9" s="71" t="s">
        <v>8405</v>
      </c>
      <c r="F9" s="71" t="s">
        <v>8398</v>
      </c>
      <c r="G9" s="71" t="s">
        <v>8399</v>
      </c>
    </row>
    <row r="10" spans="1:7" ht="29" customHeight="1" x14ac:dyDescent="0.2">
      <c r="A10" s="70" t="s">
        <v>8406</v>
      </c>
      <c r="B10" s="70" t="s">
        <v>8395</v>
      </c>
      <c r="C10" s="70" t="s">
        <v>126</v>
      </c>
      <c r="D10" s="70" t="s">
        <v>8407</v>
      </c>
      <c r="E10" s="70" t="s">
        <v>8408</v>
      </c>
      <c r="F10" s="70" t="s">
        <v>8398</v>
      </c>
      <c r="G10" s="70" t="s">
        <v>8399</v>
      </c>
    </row>
    <row r="11" spans="1:7" ht="29" customHeight="1" x14ac:dyDescent="0.2">
      <c r="A11" s="71" t="s">
        <v>8409</v>
      </c>
      <c r="B11" s="71" t="s">
        <v>8395</v>
      </c>
      <c r="C11" s="71" t="s">
        <v>20</v>
      </c>
      <c r="D11" s="71" t="s">
        <v>8410</v>
      </c>
      <c r="E11" s="71" t="s">
        <v>8411</v>
      </c>
      <c r="F11" s="71" t="s">
        <v>8398</v>
      </c>
      <c r="G11" s="71" t="s">
        <v>8399</v>
      </c>
    </row>
    <row r="12" spans="1:7" ht="29" customHeight="1" x14ac:dyDescent="0.2">
      <c r="A12" s="70" t="s">
        <v>8412</v>
      </c>
      <c r="B12" s="70" t="s">
        <v>8413</v>
      </c>
      <c r="C12" s="70" t="s">
        <v>151</v>
      </c>
      <c r="D12" s="70" t="s">
        <v>8414</v>
      </c>
      <c r="E12" s="70" t="s">
        <v>8415</v>
      </c>
      <c r="F12" s="70" t="s">
        <v>8416</v>
      </c>
      <c r="G12" s="70" t="s">
        <v>2460</v>
      </c>
    </row>
    <row r="13" spans="1:7" ht="29" customHeight="1" x14ac:dyDescent="0.2">
      <c r="A13" s="71" t="s">
        <v>8417</v>
      </c>
      <c r="B13" s="71" t="s">
        <v>8413</v>
      </c>
      <c r="C13" s="71" t="s">
        <v>151</v>
      </c>
      <c r="D13" s="71" t="s">
        <v>8414</v>
      </c>
      <c r="E13" s="71" t="s">
        <v>5901</v>
      </c>
      <c r="F13" s="71" t="s">
        <v>8416</v>
      </c>
      <c r="G13" s="71" t="s">
        <v>8418</v>
      </c>
    </row>
    <row r="14" spans="1:7" ht="29" customHeight="1" x14ac:dyDescent="0.2">
      <c r="A14" s="70" t="s">
        <v>8419</v>
      </c>
      <c r="B14" s="70" t="s">
        <v>8413</v>
      </c>
      <c r="C14" s="70" t="s">
        <v>151</v>
      </c>
      <c r="D14" s="70" t="s">
        <v>8420</v>
      </c>
      <c r="E14" s="70" t="s">
        <v>8415</v>
      </c>
      <c r="F14" s="70" t="s">
        <v>8416</v>
      </c>
      <c r="G14" s="70" t="s">
        <v>2460</v>
      </c>
    </row>
    <row r="15" spans="1:7" ht="29" customHeight="1" x14ac:dyDescent="0.2">
      <c r="A15" s="71" t="s">
        <v>8421</v>
      </c>
      <c r="B15" s="71" t="s">
        <v>8413</v>
      </c>
      <c r="C15" s="71" t="s">
        <v>151</v>
      </c>
      <c r="D15" s="71" t="s">
        <v>8420</v>
      </c>
      <c r="E15" s="71" t="s">
        <v>5901</v>
      </c>
      <c r="F15" s="71" t="s">
        <v>8416</v>
      </c>
      <c r="G15" s="71" t="s">
        <v>8418</v>
      </c>
    </row>
    <row r="16" spans="1:7" ht="29" customHeight="1" x14ac:dyDescent="0.2">
      <c r="A16" s="70" t="s">
        <v>8422</v>
      </c>
      <c r="B16" s="70" t="s">
        <v>8413</v>
      </c>
      <c r="C16" s="70" t="s">
        <v>151</v>
      </c>
      <c r="D16" s="70" t="s">
        <v>8423</v>
      </c>
      <c r="E16" s="70" t="s">
        <v>8415</v>
      </c>
      <c r="F16" s="70" t="s">
        <v>8416</v>
      </c>
      <c r="G16" s="70" t="s">
        <v>2460</v>
      </c>
    </row>
    <row r="17" spans="1:7" ht="29" customHeight="1" x14ac:dyDescent="0.2">
      <c r="A17" s="71" t="s">
        <v>8424</v>
      </c>
      <c r="B17" s="71" t="s">
        <v>8413</v>
      </c>
      <c r="C17" s="71" t="s">
        <v>151</v>
      </c>
      <c r="D17" s="71" t="s">
        <v>8423</v>
      </c>
      <c r="E17" s="71" t="s">
        <v>5901</v>
      </c>
      <c r="F17" s="71" t="s">
        <v>8416</v>
      </c>
      <c r="G17" s="71" t="s">
        <v>8418</v>
      </c>
    </row>
    <row r="18" spans="1:7" ht="29" customHeight="1" x14ac:dyDescent="0.2">
      <c r="A18" s="70" t="s">
        <v>8425</v>
      </c>
      <c r="B18" s="70" t="s">
        <v>8395</v>
      </c>
      <c r="C18" s="70" t="s">
        <v>157</v>
      </c>
      <c r="D18" s="70" t="s">
        <v>8426</v>
      </c>
      <c r="E18" s="70" t="s">
        <v>8427</v>
      </c>
      <c r="F18" s="70" t="s">
        <v>8398</v>
      </c>
      <c r="G18" s="70" t="s">
        <v>8399</v>
      </c>
    </row>
    <row r="19" spans="1:7" ht="29" customHeight="1" x14ac:dyDescent="0.2">
      <c r="A19" s="71" t="s">
        <v>8428</v>
      </c>
      <c r="B19" s="71" t="s">
        <v>8413</v>
      </c>
      <c r="C19" s="71" t="s">
        <v>159</v>
      </c>
      <c r="D19" s="71" t="s">
        <v>8429</v>
      </c>
      <c r="E19" s="71" t="s">
        <v>8415</v>
      </c>
      <c r="F19" s="71" t="s">
        <v>8416</v>
      </c>
      <c r="G19" s="71" t="s">
        <v>2460</v>
      </c>
    </row>
    <row r="20" spans="1:7" ht="29" customHeight="1" x14ac:dyDescent="0.2">
      <c r="A20" s="70" t="s">
        <v>8430</v>
      </c>
      <c r="B20" s="70" t="s">
        <v>8413</v>
      </c>
      <c r="C20" s="70" t="s">
        <v>159</v>
      </c>
      <c r="D20" s="70" t="s">
        <v>8429</v>
      </c>
      <c r="E20" s="70" t="s">
        <v>5941</v>
      </c>
      <c r="F20" s="70" t="s">
        <v>8416</v>
      </c>
      <c r="G20" s="70" t="s">
        <v>8418</v>
      </c>
    </row>
    <row r="21" spans="1:7" ht="29" customHeight="1" x14ac:dyDescent="0.2">
      <c r="A21" s="71" t="s">
        <v>8431</v>
      </c>
      <c r="B21" s="71" t="s">
        <v>8413</v>
      </c>
      <c r="C21" s="71" t="s">
        <v>168</v>
      </c>
      <c r="D21" s="71" t="s">
        <v>8432</v>
      </c>
      <c r="E21" s="71" t="s">
        <v>8415</v>
      </c>
      <c r="F21" s="71" t="s">
        <v>8416</v>
      </c>
      <c r="G21" s="71" t="s">
        <v>2460</v>
      </c>
    </row>
    <row r="22" spans="1:7" ht="29" customHeight="1" x14ac:dyDescent="0.2">
      <c r="A22" s="70" t="s">
        <v>8433</v>
      </c>
      <c r="B22" s="70" t="s">
        <v>8413</v>
      </c>
      <c r="C22" s="70" t="s">
        <v>168</v>
      </c>
      <c r="D22" s="70" t="s">
        <v>8432</v>
      </c>
      <c r="E22" s="70" t="s">
        <v>5991</v>
      </c>
      <c r="F22" s="70" t="s">
        <v>8416</v>
      </c>
      <c r="G22" s="70" t="s">
        <v>8418</v>
      </c>
    </row>
    <row r="23" spans="1:7" ht="29" customHeight="1" x14ac:dyDescent="0.2">
      <c r="A23" s="71" t="s">
        <v>8434</v>
      </c>
      <c r="B23" s="71" t="s">
        <v>8395</v>
      </c>
      <c r="C23" s="71" t="s">
        <v>171</v>
      </c>
      <c r="D23" s="71" t="s">
        <v>8435</v>
      </c>
      <c r="E23" s="71" t="s">
        <v>8436</v>
      </c>
      <c r="F23" s="71" t="s">
        <v>8398</v>
      </c>
      <c r="G23" s="71" t="s">
        <v>8399</v>
      </c>
    </row>
    <row r="24" spans="1:7" ht="29" customHeight="1" x14ac:dyDescent="0.2">
      <c r="A24" s="70" t="s">
        <v>8437</v>
      </c>
      <c r="B24" s="70" t="s">
        <v>8395</v>
      </c>
      <c r="C24" s="70" t="s">
        <v>171</v>
      </c>
      <c r="D24" s="70" t="s">
        <v>8438</v>
      </c>
      <c r="E24" s="70" t="s">
        <v>8439</v>
      </c>
      <c r="F24" s="70" t="s">
        <v>8398</v>
      </c>
      <c r="G24" s="70" t="s">
        <v>8399</v>
      </c>
    </row>
    <row r="25" spans="1:7" ht="29" customHeight="1" x14ac:dyDescent="0.2">
      <c r="A25" s="71" t="s">
        <v>8440</v>
      </c>
      <c r="B25" s="71" t="s">
        <v>8395</v>
      </c>
      <c r="C25" s="71" t="s">
        <v>171</v>
      </c>
      <c r="D25" s="71" t="s">
        <v>8441</v>
      </c>
      <c r="E25" s="71" t="s">
        <v>8442</v>
      </c>
      <c r="F25" s="71" t="s">
        <v>8398</v>
      </c>
      <c r="G25" s="71" t="s">
        <v>8399</v>
      </c>
    </row>
    <row r="26" spans="1:7" ht="29" customHeight="1" x14ac:dyDescent="0.2">
      <c r="A26" s="70" t="s">
        <v>8443</v>
      </c>
      <c r="B26" s="70" t="s">
        <v>8395</v>
      </c>
      <c r="C26" s="70" t="s">
        <v>171</v>
      </c>
      <c r="D26" s="70" t="s">
        <v>8444</v>
      </c>
      <c r="E26" s="70" t="s">
        <v>8445</v>
      </c>
      <c r="F26" s="70" t="s">
        <v>8398</v>
      </c>
      <c r="G26" s="70" t="s">
        <v>8399</v>
      </c>
    </row>
    <row r="27" spans="1:7" ht="29" customHeight="1" x14ac:dyDescent="0.2">
      <c r="A27" s="71" t="s">
        <v>8446</v>
      </c>
      <c r="B27" s="71" t="s">
        <v>8395</v>
      </c>
      <c r="C27" s="71" t="s">
        <v>182</v>
      </c>
      <c r="D27" s="71" t="s">
        <v>8447</v>
      </c>
      <c r="E27" s="71" t="s">
        <v>8448</v>
      </c>
      <c r="F27" s="71" t="s">
        <v>8398</v>
      </c>
      <c r="G27" s="71" t="s">
        <v>8399</v>
      </c>
    </row>
    <row r="28" spans="1:7" ht="29" customHeight="1" x14ac:dyDescent="0.2">
      <c r="A28" s="70" t="s">
        <v>8449</v>
      </c>
      <c r="B28" s="70" t="s">
        <v>8413</v>
      </c>
      <c r="C28" s="70" t="s">
        <v>202</v>
      </c>
      <c r="D28" s="70" t="s">
        <v>8450</v>
      </c>
      <c r="E28" s="70" t="s">
        <v>8415</v>
      </c>
      <c r="F28" s="70" t="s">
        <v>8416</v>
      </c>
      <c r="G28" s="70" t="s">
        <v>2460</v>
      </c>
    </row>
    <row r="29" spans="1:7" ht="29" customHeight="1" x14ac:dyDescent="0.2">
      <c r="A29" s="71" t="s">
        <v>8451</v>
      </c>
      <c r="B29" s="71" t="s">
        <v>8413</v>
      </c>
      <c r="C29" s="71" t="s">
        <v>202</v>
      </c>
      <c r="D29" s="71" t="s">
        <v>8450</v>
      </c>
      <c r="E29" s="71" t="s">
        <v>6173</v>
      </c>
      <c r="F29" s="71" t="s">
        <v>8416</v>
      </c>
      <c r="G29" s="71" t="s">
        <v>8418</v>
      </c>
    </row>
    <row r="30" spans="1:7" ht="29" customHeight="1" x14ac:dyDescent="0.2">
      <c r="A30" s="70" t="s">
        <v>8452</v>
      </c>
      <c r="B30" s="70" t="s">
        <v>8413</v>
      </c>
      <c r="C30" s="70" t="s">
        <v>202</v>
      </c>
      <c r="D30" s="70" t="s">
        <v>8453</v>
      </c>
      <c r="E30" s="70" t="s">
        <v>8415</v>
      </c>
      <c r="F30" s="70" t="s">
        <v>8416</v>
      </c>
      <c r="G30" s="70" t="s">
        <v>2460</v>
      </c>
    </row>
    <row r="31" spans="1:7" ht="29" customHeight="1" x14ac:dyDescent="0.2">
      <c r="A31" s="71" t="s">
        <v>8454</v>
      </c>
      <c r="B31" s="71" t="s">
        <v>8413</v>
      </c>
      <c r="C31" s="71" t="s">
        <v>202</v>
      </c>
      <c r="D31" s="71" t="s">
        <v>8453</v>
      </c>
      <c r="E31" s="71" t="s">
        <v>6173</v>
      </c>
      <c r="F31" s="71" t="s">
        <v>8416</v>
      </c>
      <c r="G31" s="71" t="s">
        <v>8418</v>
      </c>
    </row>
    <row r="32" spans="1:7" ht="29" customHeight="1" x14ac:dyDescent="0.2">
      <c r="A32" s="70" t="s">
        <v>8455</v>
      </c>
      <c r="B32" s="70" t="s">
        <v>8395</v>
      </c>
      <c r="C32" s="70" t="s">
        <v>212</v>
      </c>
      <c r="D32" s="70" t="s">
        <v>8456</v>
      </c>
      <c r="E32" s="70" t="s">
        <v>8457</v>
      </c>
      <c r="F32" s="70" t="s">
        <v>8398</v>
      </c>
      <c r="G32" s="70" t="s">
        <v>8399</v>
      </c>
    </row>
    <row r="33" spans="1:7" ht="29" customHeight="1" x14ac:dyDescent="0.2">
      <c r="A33" s="71" t="s">
        <v>8458</v>
      </c>
      <c r="B33" s="71" t="s">
        <v>8380</v>
      </c>
      <c r="C33" s="71" t="s">
        <v>109</v>
      </c>
      <c r="D33" s="71" t="s">
        <v>8459</v>
      </c>
      <c r="E33" s="71" t="s">
        <v>8460</v>
      </c>
      <c r="F33" s="71" t="s">
        <v>667</v>
      </c>
      <c r="G33" s="71" t="s">
        <v>8461</v>
      </c>
    </row>
    <row r="34" spans="1:7" ht="20" customHeight="1" x14ac:dyDescent="0.2">
      <c r="A34" s="70" t="s">
        <v>8462</v>
      </c>
      <c r="B34" s="70" t="s">
        <v>8380</v>
      </c>
      <c r="C34" s="70" t="s">
        <v>117</v>
      </c>
      <c r="D34" s="70" t="s">
        <v>8463</v>
      </c>
      <c r="E34" s="70" t="s">
        <v>8464</v>
      </c>
      <c r="F34" s="70" t="s">
        <v>2698</v>
      </c>
      <c r="G34" s="70" t="s">
        <v>4355</v>
      </c>
    </row>
    <row r="35" spans="1:7" ht="29" customHeight="1" x14ac:dyDescent="0.2">
      <c r="A35" s="71" t="s">
        <v>8465</v>
      </c>
      <c r="B35" s="71" t="s">
        <v>8380</v>
      </c>
      <c r="C35" s="71" t="s">
        <v>117</v>
      </c>
      <c r="D35" s="71" t="s">
        <v>8466</v>
      </c>
      <c r="E35" s="71" t="s">
        <v>8467</v>
      </c>
      <c r="F35" s="71" t="s">
        <v>2698</v>
      </c>
      <c r="G35" s="71" t="s">
        <v>8468</v>
      </c>
    </row>
    <row r="36" spans="1:7" ht="29" customHeight="1" x14ac:dyDescent="0.2">
      <c r="A36" s="70" t="s">
        <v>8469</v>
      </c>
      <c r="B36" s="70" t="s">
        <v>264</v>
      </c>
      <c r="C36" s="70" t="s">
        <v>140</v>
      </c>
      <c r="D36" s="70" t="s">
        <v>8470</v>
      </c>
      <c r="E36" s="70" t="s">
        <v>8471</v>
      </c>
      <c r="F36" s="70" t="s">
        <v>2698</v>
      </c>
      <c r="G36" s="70" t="s">
        <v>8472</v>
      </c>
    </row>
    <row r="37" spans="1:7" ht="29" customHeight="1" x14ac:dyDescent="0.2">
      <c r="A37" s="71" t="s">
        <v>8473</v>
      </c>
      <c r="B37" s="71" t="s">
        <v>264</v>
      </c>
      <c r="C37" s="71" t="s">
        <v>24</v>
      </c>
      <c r="D37" s="71" t="s">
        <v>8474</v>
      </c>
      <c r="E37" s="71" t="s">
        <v>8475</v>
      </c>
      <c r="F37" s="71" t="s">
        <v>8476</v>
      </c>
      <c r="G37" s="71" t="s">
        <v>8477</v>
      </c>
    </row>
    <row r="38" spans="1:7" ht="29" customHeight="1" x14ac:dyDescent="0.2">
      <c r="A38" s="70" t="s">
        <v>8478</v>
      </c>
      <c r="B38" s="70" t="s">
        <v>264</v>
      </c>
      <c r="C38" s="70" t="s">
        <v>28</v>
      </c>
      <c r="D38" s="70" t="s">
        <v>8479</v>
      </c>
      <c r="E38" s="70" t="s">
        <v>8480</v>
      </c>
      <c r="F38" s="70" t="s">
        <v>2698</v>
      </c>
      <c r="G38" s="70" t="s">
        <v>5460</v>
      </c>
    </row>
    <row r="39" spans="1:7" ht="43.5" customHeight="1" x14ac:dyDescent="0.2">
      <c r="A39" s="71" t="s">
        <v>8481</v>
      </c>
      <c r="B39" s="71" t="s">
        <v>264</v>
      </c>
      <c r="C39" s="71" t="s">
        <v>4818</v>
      </c>
      <c r="D39" s="71" t="s">
        <v>8482</v>
      </c>
      <c r="E39" s="71" t="s">
        <v>8483</v>
      </c>
      <c r="F39" s="71" t="s">
        <v>2698</v>
      </c>
      <c r="G39" s="71" t="s">
        <v>8484</v>
      </c>
    </row>
    <row r="40" spans="1:7" ht="29" customHeight="1" x14ac:dyDescent="0.2">
      <c r="A40" s="70" t="s">
        <v>8485</v>
      </c>
      <c r="B40" s="70" t="s">
        <v>264</v>
      </c>
      <c r="C40" s="70" t="s">
        <v>135</v>
      </c>
      <c r="D40" s="70" t="s">
        <v>8486</v>
      </c>
      <c r="E40" s="70" t="s">
        <v>8487</v>
      </c>
      <c r="F40" s="70" t="s">
        <v>2698</v>
      </c>
      <c r="G40" s="70" t="s">
        <v>8488</v>
      </c>
    </row>
    <row r="41" spans="1:7" ht="29" customHeight="1" x14ac:dyDescent="0.2">
      <c r="A41" s="71" t="s">
        <v>8489</v>
      </c>
      <c r="B41" s="71" t="s">
        <v>8490</v>
      </c>
      <c r="C41" s="71" t="s">
        <v>4818</v>
      </c>
      <c r="D41" s="71" t="s">
        <v>4684</v>
      </c>
      <c r="E41" s="71" t="s">
        <v>8491</v>
      </c>
      <c r="F41" s="71" t="s">
        <v>825</v>
      </c>
      <c r="G41" s="71" t="s">
        <v>8492</v>
      </c>
    </row>
    <row r="42" spans="1:7" ht="29" customHeight="1" x14ac:dyDescent="0.2">
      <c r="A42" s="70" t="s">
        <v>8493</v>
      </c>
      <c r="B42" s="70" t="s">
        <v>8490</v>
      </c>
      <c r="C42" s="70" t="s">
        <v>4818</v>
      </c>
      <c r="D42" s="70" t="s">
        <v>4691</v>
      </c>
      <c r="E42" s="70" t="s">
        <v>8494</v>
      </c>
      <c r="F42" s="70" t="s">
        <v>825</v>
      </c>
      <c r="G42" s="70" t="s">
        <v>8492</v>
      </c>
    </row>
    <row r="43" spans="1:7" ht="29" customHeight="1" x14ac:dyDescent="0.2">
      <c r="A43" s="71" t="s">
        <v>8495</v>
      </c>
      <c r="B43" s="71" t="s">
        <v>8490</v>
      </c>
      <c r="C43" s="71" t="s">
        <v>8496</v>
      </c>
      <c r="D43" s="71" t="s">
        <v>8497</v>
      </c>
      <c r="E43" s="71" t="s">
        <v>8498</v>
      </c>
      <c r="F43" s="71" t="s">
        <v>667</v>
      </c>
      <c r="G43" s="71" t="s">
        <v>8492</v>
      </c>
    </row>
    <row r="44" spans="1:7" ht="58" customHeight="1" x14ac:dyDescent="0.2">
      <c r="A44" s="70" t="s">
        <v>8499</v>
      </c>
      <c r="B44" s="70" t="s">
        <v>8490</v>
      </c>
      <c r="C44" s="70" t="s">
        <v>135</v>
      </c>
      <c r="D44" s="70" t="s">
        <v>8500</v>
      </c>
      <c r="E44" s="70" t="s">
        <v>8501</v>
      </c>
      <c r="F44" s="70" t="s">
        <v>8502</v>
      </c>
      <c r="G44" s="70" t="s">
        <v>8503</v>
      </c>
    </row>
    <row r="45" spans="1:7" ht="29" customHeight="1" x14ac:dyDescent="0.2">
      <c r="A45" s="71" t="s">
        <v>8504</v>
      </c>
      <c r="B45" s="71" t="s">
        <v>8490</v>
      </c>
      <c r="C45" s="71" t="s">
        <v>24</v>
      </c>
      <c r="D45" s="71" t="s">
        <v>8505</v>
      </c>
      <c r="E45" s="71" t="s">
        <v>8506</v>
      </c>
      <c r="F45" s="71" t="s">
        <v>825</v>
      </c>
      <c r="G45" s="71" t="s">
        <v>8492</v>
      </c>
    </row>
    <row r="46" spans="1:7" ht="29" customHeight="1" x14ac:dyDescent="0.2">
      <c r="A46" s="70" t="s">
        <v>8507</v>
      </c>
      <c r="B46" s="70" t="s">
        <v>8508</v>
      </c>
      <c r="C46" s="70" t="s">
        <v>20</v>
      </c>
      <c r="D46" s="70" t="s">
        <v>8509</v>
      </c>
      <c r="E46" s="70" t="s">
        <v>8510</v>
      </c>
      <c r="F46" s="70" t="s">
        <v>2148</v>
      </c>
      <c r="G46" s="70" t="s">
        <v>8511</v>
      </c>
    </row>
    <row r="47" spans="1:7" ht="20" customHeight="1" x14ac:dyDescent="0.2">
      <c r="A47" s="71" t="s">
        <v>8512</v>
      </c>
      <c r="B47" s="71" t="s">
        <v>8508</v>
      </c>
      <c r="C47" s="71" t="s">
        <v>24</v>
      </c>
      <c r="D47" s="71" t="s">
        <v>8509</v>
      </c>
      <c r="E47" s="71" t="s">
        <v>8513</v>
      </c>
      <c r="F47" s="71" t="s">
        <v>2148</v>
      </c>
      <c r="G47" s="71" t="s">
        <v>8511</v>
      </c>
    </row>
    <row r="48" spans="1:7" ht="20" customHeight="1" x14ac:dyDescent="0.2">
      <c r="A48" s="70" t="s">
        <v>8514</v>
      </c>
      <c r="B48" s="70" t="s">
        <v>8508</v>
      </c>
      <c r="C48" s="70" t="s">
        <v>28</v>
      </c>
      <c r="D48" s="70" t="s">
        <v>8509</v>
      </c>
      <c r="E48" s="70" t="s">
        <v>8515</v>
      </c>
      <c r="F48" s="70" t="s">
        <v>2148</v>
      </c>
      <c r="G48" s="70" t="s">
        <v>8511</v>
      </c>
    </row>
    <row r="49" spans="1:7" ht="20" customHeight="1" x14ac:dyDescent="0.2">
      <c r="A49" s="71" t="s">
        <v>8516</v>
      </c>
      <c r="B49" s="71" t="s">
        <v>8508</v>
      </c>
      <c r="C49" s="71" t="s">
        <v>109</v>
      </c>
      <c r="D49" s="71" t="s">
        <v>8509</v>
      </c>
      <c r="E49" s="71" t="s">
        <v>8517</v>
      </c>
      <c r="F49" s="71" t="s">
        <v>2148</v>
      </c>
      <c r="G49" s="71" t="s">
        <v>8511</v>
      </c>
    </row>
    <row r="50" spans="1:7" ht="20" customHeight="1" x14ac:dyDescent="0.2">
      <c r="A50" s="70" t="s">
        <v>8518</v>
      </c>
      <c r="B50" s="70" t="s">
        <v>8508</v>
      </c>
      <c r="C50" s="70" t="s">
        <v>151</v>
      </c>
      <c r="D50" s="70" t="s">
        <v>8509</v>
      </c>
      <c r="E50" s="70" t="s">
        <v>8519</v>
      </c>
      <c r="F50" s="70" t="s">
        <v>2148</v>
      </c>
      <c r="G50" s="70" t="s">
        <v>8511</v>
      </c>
    </row>
    <row r="51" spans="1:7" ht="20" customHeight="1" x14ac:dyDescent="0.2">
      <c r="A51" s="71" t="s">
        <v>8520</v>
      </c>
      <c r="B51" s="71" t="s">
        <v>8521</v>
      </c>
      <c r="C51" s="71" t="s">
        <v>126</v>
      </c>
      <c r="D51" s="71" t="s">
        <v>8522</v>
      </c>
      <c r="E51" s="71" t="s">
        <v>8523</v>
      </c>
      <c r="F51" s="71" t="s">
        <v>667</v>
      </c>
      <c r="G51" s="71"/>
    </row>
    <row r="52" spans="1:7" ht="20" customHeight="1" x14ac:dyDescent="0.2">
      <c r="A52" s="70" t="s">
        <v>8524</v>
      </c>
      <c r="B52" s="70" t="s">
        <v>8521</v>
      </c>
      <c r="C52" s="70" t="s">
        <v>131</v>
      </c>
      <c r="D52" s="70" t="s">
        <v>8522</v>
      </c>
      <c r="E52" s="70" t="s">
        <v>8523</v>
      </c>
      <c r="F52" s="70" t="s">
        <v>667</v>
      </c>
      <c r="G52" s="70"/>
    </row>
    <row r="53" spans="1:7" ht="20" customHeight="1" x14ac:dyDescent="0.2">
      <c r="A53" s="71" t="s">
        <v>8525</v>
      </c>
      <c r="B53" s="71" t="s">
        <v>8521</v>
      </c>
      <c r="C53" s="71" t="s">
        <v>135</v>
      </c>
      <c r="D53" s="71" t="s">
        <v>8522</v>
      </c>
      <c r="E53" s="71" t="s">
        <v>8526</v>
      </c>
      <c r="F53" s="71" t="s">
        <v>667</v>
      </c>
      <c r="G53" s="71"/>
    </row>
    <row r="54" spans="1:7" ht="29" customHeight="1" x14ac:dyDescent="0.2">
      <c r="A54" s="70" t="s">
        <v>8527</v>
      </c>
      <c r="B54" s="70" t="s">
        <v>8521</v>
      </c>
      <c r="C54" s="70" t="s">
        <v>137</v>
      </c>
      <c r="D54" s="70" t="s">
        <v>8522</v>
      </c>
      <c r="E54" s="70" t="s">
        <v>8528</v>
      </c>
      <c r="F54" s="70" t="s">
        <v>667</v>
      </c>
      <c r="G54" s="70"/>
    </row>
    <row r="55" spans="1:7" ht="29" customHeight="1" x14ac:dyDescent="0.2">
      <c r="A55" s="71" t="s">
        <v>8529</v>
      </c>
      <c r="B55" s="71" t="s">
        <v>8521</v>
      </c>
      <c r="C55" s="71" t="s">
        <v>140</v>
      </c>
      <c r="D55" s="71" t="s">
        <v>8522</v>
      </c>
      <c r="E55" s="71" t="s">
        <v>8528</v>
      </c>
      <c r="F55" s="71" t="s">
        <v>667</v>
      </c>
      <c r="G55" s="71"/>
    </row>
    <row r="56" spans="1:7" ht="20" customHeight="1" x14ac:dyDescent="0.2">
      <c r="A56" s="70" t="s">
        <v>8530</v>
      </c>
      <c r="B56" s="70" t="s">
        <v>8521</v>
      </c>
      <c r="C56" s="70" t="s">
        <v>143</v>
      </c>
      <c r="D56" s="70" t="s">
        <v>8522</v>
      </c>
      <c r="E56" s="70" t="s">
        <v>8526</v>
      </c>
      <c r="F56" s="70" t="s">
        <v>667</v>
      </c>
      <c r="G56" s="70"/>
    </row>
    <row r="57" spans="1:7" ht="20" customHeight="1" x14ac:dyDescent="0.2">
      <c r="A57" s="71" t="s">
        <v>8531</v>
      </c>
      <c r="B57" s="71" t="s">
        <v>8521</v>
      </c>
      <c r="C57" s="71" t="s">
        <v>20</v>
      </c>
      <c r="D57" s="71" t="s">
        <v>8522</v>
      </c>
      <c r="E57" s="71" t="s">
        <v>8523</v>
      </c>
      <c r="F57" s="71" t="s">
        <v>667</v>
      </c>
      <c r="G57" s="71"/>
    </row>
    <row r="58" spans="1:7" ht="29" customHeight="1" x14ac:dyDescent="0.2">
      <c r="A58" s="70" t="s">
        <v>8532</v>
      </c>
      <c r="B58" s="70" t="s">
        <v>8521</v>
      </c>
      <c r="C58" s="70" t="s">
        <v>151</v>
      </c>
      <c r="D58" s="70" t="s">
        <v>8522</v>
      </c>
      <c r="E58" s="70" t="s">
        <v>8528</v>
      </c>
      <c r="F58" s="70" t="s">
        <v>667</v>
      </c>
      <c r="G58" s="70"/>
    </row>
    <row r="59" spans="1:7" ht="20" customHeight="1" x14ac:dyDescent="0.2">
      <c r="A59" s="71" t="s">
        <v>8533</v>
      </c>
      <c r="B59" s="71" t="s">
        <v>8521</v>
      </c>
      <c r="C59" s="71" t="s">
        <v>157</v>
      </c>
      <c r="D59" s="71" t="s">
        <v>8522</v>
      </c>
      <c r="E59" s="71" t="s">
        <v>8523</v>
      </c>
      <c r="F59" s="71" t="s">
        <v>667</v>
      </c>
      <c r="G59" s="71"/>
    </row>
    <row r="60" spans="1:7" ht="29" customHeight="1" x14ac:dyDescent="0.2">
      <c r="A60" s="70" t="s">
        <v>8534</v>
      </c>
      <c r="B60" s="70" t="s">
        <v>8521</v>
      </c>
      <c r="C60" s="70" t="s">
        <v>162</v>
      </c>
      <c r="D60" s="70" t="s">
        <v>8522</v>
      </c>
      <c r="E60" s="70" t="s">
        <v>8528</v>
      </c>
      <c r="F60" s="70" t="s">
        <v>667</v>
      </c>
      <c r="G60" s="70"/>
    </row>
    <row r="61" spans="1:7" ht="20" customHeight="1" x14ac:dyDescent="0.2">
      <c r="A61" s="71" t="s">
        <v>8535</v>
      </c>
      <c r="B61" s="71" t="s">
        <v>8521</v>
      </c>
      <c r="C61" s="71" t="s">
        <v>165</v>
      </c>
      <c r="D61" s="71" t="s">
        <v>8522</v>
      </c>
      <c r="E61" s="71" t="s">
        <v>8523</v>
      </c>
      <c r="F61" s="71" t="s">
        <v>667</v>
      </c>
      <c r="G61" s="71"/>
    </row>
    <row r="62" spans="1:7" ht="29" customHeight="1" x14ac:dyDescent="0.2">
      <c r="A62" s="70" t="s">
        <v>8536</v>
      </c>
      <c r="B62" s="70" t="s">
        <v>8521</v>
      </c>
      <c r="C62" s="70" t="s">
        <v>168</v>
      </c>
      <c r="D62" s="70" t="s">
        <v>8522</v>
      </c>
      <c r="E62" s="70" t="s">
        <v>8528</v>
      </c>
      <c r="F62" s="70" t="s">
        <v>667</v>
      </c>
      <c r="G62" s="70"/>
    </row>
    <row r="63" spans="1:7" ht="20" customHeight="1" x14ac:dyDescent="0.2">
      <c r="A63" s="71" t="s">
        <v>8537</v>
      </c>
      <c r="B63" s="71" t="s">
        <v>8521</v>
      </c>
      <c r="C63" s="71" t="s">
        <v>174</v>
      </c>
      <c r="D63" s="71" t="s">
        <v>8522</v>
      </c>
      <c r="E63" s="71" t="s">
        <v>8526</v>
      </c>
      <c r="F63" s="71" t="s">
        <v>667</v>
      </c>
      <c r="G63" s="71"/>
    </row>
    <row r="64" spans="1:7" ht="20" customHeight="1" x14ac:dyDescent="0.2">
      <c r="A64" s="70" t="s">
        <v>8538</v>
      </c>
      <c r="B64" s="70" t="s">
        <v>8521</v>
      </c>
      <c r="C64" s="70" t="s">
        <v>179</v>
      </c>
      <c r="D64" s="70" t="s">
        <v>8522</v>
      </c>
      <c r="E64" s="70" t="s">
        <v>8539</v>
      </c>
      <c r="F64" s="70" t="s">
        <v>667</v>
      </c>
      <c r="G64" s="70"/>
    </row>
    <row r="65" spans="1:7" ht="29" customHeight="1" x14ac:dyDescent="0.2">
      <c r="A65" s="71" t="s">
        <v>8540</v>
      </c>
      <c r="B65" s="71" t="s">
        <v>8521</v>
      </c>
      <c r="C65" s="71" t="s">
        <v>187</v>
      </c>
      <c r="D65" s="71" t="s">
        <v>8522</v>
      </c>
      <c r="E65" s="71" t="s">
        <v>8528</v>
      </c>
      <c r="F65" s="71" t="s">
        <v>667</v>
      </c>
      <c r="G65" s="71"/>
    </row>
    <row r="66" spans="1:7" ht="29" customHeight="1" x14ac:dyDescent="0.2">
      <c r="A66" s="70" t="s">
        <v>8541</v>
      </c>
      <c r="B66" s="70" t="s">
        <v>8521</v>
      </c>
      <c r="C66" s="70" t="s">
        <v>190</v>
      </c>
      <c r="D66" s="70" t="s">
        <v>8522</v>
      </c>
      <c r="E66" s="70" t="s">
        <v>8528</v>
      </c>
      <c r="F66" s="70" t="s">
        <v>667</v>
      </c>
      <c r="G66" s="70"/>
    </row>
    <row r="67" spans="1:7" ht="29" customHeight="1" x14ac:dyDescent="0.2">
      <c r="A67" s="71" t="s">
        <v>8542</v>
      </c>
      <c r="B67" s="71" t="s">
        <v>8521</v>
      </c>
      <c r="C67" s="71" t="s">
        <v>199</v>
      </c>
      <c r="D67" s="71" t="s">
        <v>8522</v>
      </c>
      <c r="E67" s="71" t="s">
        <v>8528</v>
      </c>
      <c r="F67" s="71" t="s">
        <v>667</v>
      </c>
      <c r="G67" s="71"/>
    </row>
    <row r="68" spans="1:7" ht="29" customHeight="1" x14ac:dyDescent="0.2">
      <c r="A68" s="70" t="s">
        <v>8543</v>
      </c>
      <c r="B68" s="70" t="s">
        <v>8521</v>
      </c>
      <c r="C68" s="70" t="s">
        <v>202</v>
      </c>
      <c r="D68" s="70" t="s">
        <v>8522</v>
      </c>
      <c r="E68" s="70" t="s">
        <v>8528</v>
      </c>
      <c r="F68" s="70" t="s">
        <v>667</v>
      </c>
      <c r="G68" s="70"/>
    </row>
    <row r="69" spans="1:7" ht="29" customHeight="1" x14ac:dyDescent="0.2">
      <c r="A69" s="71" t="s">
        <v>8544</v>
      </c>
      <c r="B69" s="71" t="s">
        <v>8521</v>
      </c>
      <c r="C69" s="71" t="s">
        <v>209</v>
      </c>
      <c r="D69" s="71" t="s">
        <v>8522</v>
      </c>
      <c r="E69" s="71" t="s">
        <v>8528</v>
      </c>
      <c r="F69" s="71" t="s">
        <v>667</v>
      </c>
      <c r="G69" s="71"/>
    </row>
    <row r="70" spans="1:7" ht="20" customHeight="1" x14ac:dyDescent="0.2">
      <c r="A70" s="70" t="s">
        <v>8545</v>
      </c>
      <c r="B70" s="70" t="s">
        <v>8521</v>
      </c>
      <c r="C70" s="70" t="s">
        <v>212</v>
      </c>
      <c r="D70" s="70" t="s">
        <v>8522</v>
      </c>
      <c r="E70" s="70" t="s">
        <v>8523</v>
      </c>
      <c r="F70" s="70" t="s">
        <v>667</v>
      </c>
      <c r="G70" s="70"/>
    </row>
    <row r="71" spans="1:7" ht="29" customHeight="1" x14ac:dyDescent="0.2">
      <c r="A71" s="71" t="s">
        <v>8546</v>
      </c>
      <c r="B71" s="71" t="s">
        <v>8521</v>
      </c>
      <c r="C71" s="71" t="s">
        <v>24</v>
      </c>
      <c r="D71" s="71" t="s">
        <v>8522</v>
      </c>
      <c r="E71" s="71" t="s">
        <v>8547</v>
      </c>
      <c r="F71" s="71" t="s">
        <v>667</v>
      </c>
      <c r="G71" s="71"/>
    </row>
    <row r="72" spans="1:7" ht="29" customHeight="1" x14ac:dyDescent="0.2">
      <c r="A72" s="70" t="s">
        <v>8548</v>
      </c>
      <c r="B72" s="70" t="s">
        <v>8521</v>
      </c>
      <c r="C72" s="70" t="s">
        <v>28</v>
      </c>
      <c r="D72" s="70" t="s">
        <v>8522</v>
      </c>
      <c r="E72" s="70" t="s">
        <v>8528</v>
      </c>
      <c r="F72" s="70" t="s">
        <v>667</v>
      </c>
      <c r="G72" s="70"/>
    </row>
    <row r="73" spans="1:7" ht="20" customHeight="1" x14ac:dyDescent="0.2">
      <c r="A73" s="71" t="s">
        <v>8549</v>
      </c>
      <c r="B73" s="71" t="s">
        <v>8521</v>
      </c>
      <c r="C73" s="71" t="s">
        <v>222</v>
      </c>
      <c r="D73" s="71" t="s">
        <v>8522</v>
      </c>
      <c r="E73" s="71" t="s">
        <v>8523</v>
      </c>
      <c r="F73" s="71" t="s">
        <v>667</v>
      </c>
      <c r="G73" s="71"/>
    </row>
    <row r="74" spans="1:7" ht="58" customHeight="1" x14ac:dyDescent="0.2">
      <c r="A74" s="70" t="s">
        <v>8550</v>
      </c>
      <c r="B74" s="70" t="s">
        <v>8551</v>
      </c>
      <c r="C74" s="70" t="s">
        <v>4818</v>
      </c>
      <c r="D74" s="70" t="s">
        <v>8552</v>
      </c>
      <c r="E74" s="70" t="s">
        <v>8553</v>
      </c>
      <c r="F74" s="70" t="s">
        <v>2148</v>
      </c>
      <c r="G74" s="70" t="s">
        <v>8554</v>
      </c>
    </row>
    <row r="75" spans="1:7" ht="20" customHeight="1" x14ac:dyDescent="0.2">
      <c r="A75" s="71" t="s">
        <v>8555</v>
      </c>
      <c r="B75" s="71" t="s">
        <v>4817</v>
      </c>
      <c r="C75" s="71" t="s">
        <v>4818</v>
      </c>
      <c r="D75" s="71" t="s">
        <v>8556</v>
      </c>
      <c r="E75" s="71" t="s">
        <v>8557</v>
      </c>
      <c r="F75" s="71" t="s">
        <v>2148</v>
      </c>
      <c r="G75" s="71"/>
    </row>
    <row r="76" spans="1:7" ht="29" customHeight="1" x14ac:dyDescent="0.2">
      <c r="A76" s="70" t="s">
        <v>8558</v>
      </c>
      <c r="B76" s="70" t="s">
        <v>8559</v>
      </c>
      <c r="C76" s="70" t="s">
        <v>4818</v>
      </c>
      <c r="D76" s="70" t="s">
        <v>8560</v>
      </c>
      <c r="E76" s="70" t="s">
        <v>8561</v>
      </c>
      <c r="F76" s="70" t="s">
        <v>2148</v>
      </c>
      <c r="G76" s="70" t="s">
        <v>4961</v>
      </c>
    </row>
  </sheetData>
  <mergeCells count="2">
    <mergeCell ref="A2:G2"/>
    <mergeCell ref="A1:G1"/>
  </mergeCells>
  <pageMargins left="0.75" right="0.75" top="1" bottom="1" header="0.5" footer="0.5"/>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J18"/>
  <sheetViews>
    <sheetView showGridLines="0" rightToLeft="1" workbookViewId="0">
      <pane xSplit="2" ySplit="3" topLeftCell="C4" activePane="bottomRight" state="frozen"/>
      <selection pane="topRight"/>
      <selection pane="bottomLeft"/>
      <selection pane="bottomRight"/>
    </sheetView>
  </sheetViews>
  <sheetFormatPr baseColWidth="10" defaultColWidth="8.83203125" defaultRowHeight="15" x14ac:dyDescent="0.2"/>
  <cols>
    <col min="1" max="1" width="9" customWidth="1"/>
    <col min="2" max="2" width="28" customWidth="1"/>
    <col min="3" max="3" width="22" customWidth="1"/>
    <col min="4" max="4" width="40" customWidth="1"/>
    <col min="5" max="5" width="12" customWidth="1"/>
    <col min="6" max="6" width="30" customWidth="1"/>
    <col min="7" max="7" width="50" customWidth="1"/>
    <col min="8" max="8" width="30" customWidth="1"/>
    <col min="9" max="9" width="26" customWidth="1"/>
    <col min="10" max="10" width="16" customWidth="1"/>
  </cols>
  <sheetData>
    <row r="1" spans="1:10" ht="30" customHeight="1" x14ac:dyDescent="0.2">
      <c r="A1" s="88" t="s">
        <v>8562</v>
      </c>
      <c r="B1" s="76"/>
      <c r="C1" s="76"/>
      <c r="D1" s="76"/>
      <c r="E1" s="76"/>
      <c r="F1" s="76"/>
      <c r="G1" s="76"/>
      <c r="H1" s="76"/>
      <c r="I1" s="76"/>
      <c r="J1" s="76"/>
    </row>
    <row r="2" spans="1:10" ht="22" customHeight="1" x14ac:dyDescent="0.2">
      <c r="A2" s="85" t="s">
        <v>8563</v>
      </c>
      <c r="B2" s="76"/>
      <c r="C2" s="76"/>
      <c r="D2" s="76"/>
      <c r="E2" s="76"/>
      <c r="F2" s="76"/>
      <c r="G2" s="76"/>
      <c r="H2" s="76"/>
      <c r="I2" s="76"/>
      <c r="J2" s="76"/>
    </row>
    <row r="3" spans="1:10" ht="30" customHeight="1" x14ac:dyDescent="0.2">
      <c r="A3" s="69" t="s">
        <v>442</v>
      </c>
      <c r="B3" s="69" t="s">
        <v>1685</v>
      </c>
      <c r="C3" s="69" t="s">
        <v>8564</v>
      </c>
      <c r="D3" s="69" t="s">
        <v>8565</v>
      </c>
      <c r="E3" s="69" t="s">
        <v>910</v>
      </c>
      <c r="F3" s="69" t="s">
        <v>445</v>
      </c>
      <c r="G3" s="69" t="s">
        <v>8566</v>
      </c>
      <c r="H3" s="69" t="s">
        <v>8567</v>
      </c>
      <c r="I3" s="69" t="s">
        <v>8568</v>
      </c>
      <c r="J3" s="69" t="s">
        <v>8569</v>
      </c>
    </row>
    <row r="4" spans="1:10" ht="43.5" customHeight="1" x14ac:dyDescent="0.2">
      <c r="A4" s="70" t="s">
        <v>2416</v>
      </c>
      <c r="B4" s="70" t="s">
        <v>2417</v>
      </c>
      <c r="C4" s="70" t="s">
        <v>8570</v>
      </c>
      <c r="D4" s="70" t="s">
        <v>8571</v>
      </c>
      <c r="E4" s="70" t="s">
        <v>2310</v>
      </c>
      <c r="F4" s="70" t="s">
        <v>8572</v>
      </c>
      <c r="G4" s="70" t="s">
        <v>8573</v>
      </c>
      <c r="H4" s="70" t="s">
        <v>8574</v>
      </c>
      <c r="I4" s="70" t="s">
        <v>8575</v>
      </c>
      <c r="J4" s="70" t="s">
        <v>8576</v>
      </c>
    </row>
    <row r="5" spans="1:10" ht="29" customHeight="1" x14ac:dyDescent="0.2">
      <c r="A5" s="71" t="s">
        <v>8577</v>
      </c>
      <c r="B5" s="71" t="s">
        <v>8578</v>
      </c>
      <c r="C5" s="71" t="s">
        <v>8579</v>
      </c>
      <c r="D5" s="71" t="s">
        <v>8580</v>
      </c>
      <c r="E5" s="71" t="s">
        <v>2310</v>
      </c>
      <c r="F5" s="71" t="s">
        <v>8581</v>
      </c>
      <c r="G5" s="71" t="s">
        <v>8582</v>
      </c>
      <c r="H5" s="71" t="s">
        <v>8583</v>
      </c>
      <c r="I5" s="71" t="s">
        <v>8584</v>
      </c>
      <c r="J5" s="71" t="s">
        <v>8585</v>
      </c>
    </row>
    <row r="6" spans="1:10" ht="29" customHeight="1" x14ac:dyDescent="0.2">
      <c r="A6" s="70" t="s">
        <v>8586</v>
      </c>
      <c r="B6" s="70" t="s">
        <v>8587</v>
      </c>
      <c r="C6" s="70" t="s">
        <v>8588</v>
      </c>
      <c r="D6" s="70" t="s">
        <v>8589</v>
      </c>
      <c r="E6" s="70" t="s">
        <v>5655</v>
      </c>
      <c r="F6" s="70" t="s">
        <v>8590</v>
      </c>
      <c r="G6" s="70" t="s">
        <v>8591</v>
      </c>
      <c r="H6" s="70" t="s">
        <v>8592</v>
      </c>
      <c r="I6" s="70" t="s">
        <v>8593</v>
      </c>
      <c r="J6" s="70" t="s">
        <v>8585</v>
      </c>
    </row>
    <row r="7" spans="1:10" ht="29" customHeight="1" x14ac:dyDescent="0.2">
      <c r="A7" s="71" t="s">
        <v>2430</v>
      </c>
      <c r="B7" s="71" t="s">
        <v>8594</v>
      </c>
      <c r="C7" s="71" t="s">
        <v>8570</v>
      </c>
      <c r="D7" s="71" t="s">
        <v>8595</v>
      </c>
      <c r="E7" s="71" t="s">
        <v>2302</v>
      </c>
      <c r="F7" s="71" t="s">
        <v>8596</v>
      </c>
      <c r="G7" s="71" t="s">
        <v>8597</v>
      </c>
      <c r="H7" s="71" t="s">
        <v>8598</v>
      </c>
      <c r="I7" s="71" t="s">
        <v>8599</v>
      </c>
      <c r="J7" s="71" t="s">
        <v>8585</v>
      </c>
    </row>
    <row r="8" spans="1:10" ht="29" customHeight="1" x14ac:dyDescent="0.2">
      <c r="A8" s="70" t="s">
        <v>8600</v>
      </c>
      <c r="B8" s="70" t="s">
        <v>8601</v>
      </c>
      <c r="C8" s="70" t="s">
        <v>8588</v>
      </c>
      <c r="D8" s="70" t="s">
        <v>8602</v>
      </c>
      <c r="E8" s="70" t="s">
        <v>8603</v>
      </c>
      <c r="F8" s="70" t="s">
        <v>8604</v>
      </c>
      <c r="G8" s="70" t="s">
        <v>8605</v>
      </c>
      <c r="H8" s="70" t="s">
        <v>2315</v>
      </c>
      <c r="I8" s="70" t="s">
        <v>8593</v>
      </c>
      <c r="J8" s="70" t="s">
        <v>8585</v>
      </c>
    </row>
    <row r="9" spans="1:10" ht="29" customHeight="1" x14ac:dyDescent="0.2">
      <c r="A9" s="71" t="s">
        <v>2437</v>
      </c>
      <c r="B9" s="71" t="s">
        <v>8606</v>
      </c>
      <c r="C9" s="71" t="s">
        <v>8607</v>
      </c>
      <c r="D9" s="71" t="s">
        <v>8608</v>
      </c>
      <c r="E9" s="71" t="s">
        <v>8609</v>
      </c>
      <c r="F9" s="71" t="s">
        <v>8610</v>
      </c>
      <c r="G9" s="71" t="s">
        <v>8611</v>
      </c>
      <c r="H9" s="71" t="s">
        <v>8612</v>
      </c>
      <c r="I9" s="71" t="s">
        <v>8613</v>
      </c>
      <c r="J9" s="71" t="s">
        <v>8585</v>
      </c>
    </row>
    <row r="10" spans="1:10" ht="20" customHeight="1" x14ac:dyDescent="0.2">
      <c r="A10" s="70" t="s">
        <v>2448</v>
      </c>
      <c r="B10" s="70" t="s">
        <v>8614</v>
      </c>
      <c r="C10" s="70" t="s">
        <v>8615</v>
      </c>
      <c r="D10" s="70" t="s">
        <v>8616</v>
      </c>
      <c r="E10" s="70" t="s">
        <v>2443</v>
      </c>
      <c r="F10" s="70" t="s">
        <v>1752</v>
      </c>
      <c r="G10" s="70" t="s">
        <v>8617</v>
      </c>
      <c r="H10" s="70" t="s">
        <v>2440</v>
      </c>
      <c r="I10" s="70" t="s">
        <v>8593</v>
      </c>
      <c r="J10" s="70" t="s">
        <v>8585</v>
      </c>
    </row>
    <row r="11" spans="1:10" ht="29" customHeight="1" x14ac:dyDescent="0.2">
      <c r="A11" s="71" t="s">
        <v>2453</v>
      </c>
      <c r="B11" s="71" t="s">
        <v>8618</v>
      </c>
      <c r="C11" s="71" t="s">
        <v>8615</v>
      </c>
      <c r="D11" s="71" t="s">
        <v>8619</v>
      </c>
      <c r="E11" s="71" t="s">
        <v>2443</v>
      </c>
      <c r="F11" s="71" t="s">
        <v>8620</v>
      </c>
      <c r="G11" s="71" t="s">
        <v>8621</v>
      </c>
      <c r="H11" s="71" t="s">
        <v>8622</v>
      </c>
      <c r="I11" s="71" t="s">
        <v>8623</v>
      </c>
      <c r="J11" s="71" t="s">
        <v>8585</v>
      </c>
    </row>
    <row r="12" spans="1:10" ht="29" customHeight="1" x14ac:dyDescent="0.2">
      <c r="A12" s="70" t="s">
        <v>2463</v>
      </c>
      <c r="B12" s="70" t="s">
        <v>8624</v>
      </c>
      <c r="C12" s="70" t="s">
        <v>8615</v>
      </c>
      <c r="D12" s="70" t="s">
        <v>8625</v>
      </c>
      <c r="E12" s="70" t="s">
        <v>2443</v>
      </c>
      <c r="F12" s="70" t="s">
        <v>8626</v>
      </c>
      <c r="G12" s="70" t="s">
        <v>8627</v>
      </c>
      <c r="H12" s="70" t="s">
        <v>2456</v>
      </c>
      <c r="I12" s="70" t="s">
        <v>8593</v>
      </c>
      <c r="J12" s="70" t="s">
        <v>8585</v>
      </c>
    </row>
    <row r="13" spans="1:10" ht="20" customHeight="1" x14ac:dyDescent="0.2">
      <c r="A13" s="71" t="s">
        <v>449</v>
      </c>
      <c r="B13" s="71" t="s">
        <v>937</v>
      </c>
      <c r="C13" s="71" t="s">
        <v>8628</v>
      </c>
      <c r="D13" s="71" t="s">
        <v>8629</v>
      </c>
      <c r="E13" s="71" t="s">
        <v>2310</v>
      </c>
      <c r="F13" s="71" t="s">
        <v>8630</v>
      </c>
      <c r="G13" s="71" t="s">
        <v>8631</v>
      </c>
      <c r="H13" s="71" t="s">
        <v>865</v>
      </c>
      <c r="I13" s="71" t="s">
        <v>8632</v>
      </c>
      <c r="J13" s="71" t="s">
        <v>2725</v>
      </c>
    </row>
    <row r="14" spans="1:10" ht="20" customHeight="1" x14ac:dyDescent="0.2">
      <c r="A14" s="70" t="s">
        <v>496</v>
      </c>
      <c r="B14" s="70" t="s">
        <v>954</v>
      </c>
      <c r="C14" s="70" t="s">
        <v>8628</v>
      </c>
      <c r="D14" s="70"/>
      <c r="E14" s="70"/>
      <c r="F14" s="70"/>
      <c r="G14" s="70" t="s">
        <v>8633</v>
      </c>
      <c r="H14" s="70" t="s">
        <v>2456</v>
      </c>
      <c r="I14" s="70" t="s">
        <v>8632</v>
      </c>
      <c r="J14" s="70" t="s">
        <v>2725</v>
      </c>
    </row>
    <row r="15" spans="1:10" ht="29" customHeight="1" x14ac:dyDescent="0.2">
      <c r="A15" s="71" t="s">
        <v>2361</v>
      </c>
      <c r="B15" s="71" t="s">
        <v>2362</v>
      </c>
      <c r="C15" s="71" t="s">
        <v>8634</v>
      </c>
      <c r="D15" s="71"/>
      <c r="E15" s="71"/>
      <c r="F15" s="71"/>
      <c r="G15" s="71" t="s">
        <v>8635</v>
      </c>
      <c r="H15" s="71"/>
      <c r="I15" s="71"/>
      <c r="J15" s="71"/>
    </row>
    <row r="16" spans="1:10" ht="43.5" customHeight="1" x14ac:dyDescent="0.2">
      <c r="A16" s="70" t="s">
        <v>5101</v>
      </c>
      <c r="B16" s="70" t="s">
        <v>8636</v>
      </c>
      <c r="C16" s="70" t="s">
        <v>8637</v>
      </c>
      <c r="D16" s="70" t="s">
        <v>8638</v>
      </c>
      <c r="E16" s="70" t="s">
        <v>5655</v>
      </c>
      <c r="F16" s="70"/>
      <c r="G16" s="70" t="s">
        <v>8639</v>
      </c>
      <c r="H16" s="70"/>
      <c r="I16" s="70"/>
      <c r="J16" s="70"/>
    </row>
    <row r="17" spans="1:10" ht="43.5" customHeight="1" x14ac:dyDescent="0.2">
      <c r="A17" s="71" t="s">
        <v>8640</v>
      </c>
      <c r="B17" s="71" t="s">
        <v>8641</v>
      </c>
      <c r="C17" s="71" t="s">
        <v>1856</v>
      </c>
      <c r="D17" s="71" t="s">
        <v>8642</v>
      </c>
      <c r="E17" s="71"/>
      <c r="F17" s="71"/>
      <c r="G17" s="71" t="s">
        <v>8643</v>
      </c>
      <c r="H17" s="71"/>
      <c r="I17" s="71"/>
      <c r="J17" s="71"/>
    </row>
    <row r="18" spans="1:10" ht="43.5" customHeight="1" x14ac:dyDescent="0.2">
      <c r="A18" s="70" t="s">
        <v>8644</v>
      </c>
      <c r="B18" s="70" t="s">
        <v>8645</v>
      </c>
      <c r="C18" s="70" t="s">
        <v>1856</v>
      </c>
      <c r="D18" s="70" t="s">
        <v>8646</v>
      </c>
      <c r="E18" s="70"/>
      <c r="F18" s="70"/>
      <c r="G18" s="70" t="s">
        <v>8647</v>
      </c>
      <c r="H18" s="70"/>
      <c r="I18" s="70"/>
      <c r="J18" s="70"/>
    </row>
  </sheetData>
  <mergeCells count="2">
    <mergeCell ref="A1:J1"/>
    <mergeCell ref="A2:J2"/>
  </mergeCells>
  <pageMargins left="0.75" right="0.75" top="1" bottom="1" header="0.5" footer="0.5"/>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F10"/>
  <sheetViews>
    <sheetView showGridLines="0" rightToLeft="1" workbookViewId="0">
      <pane xSplit="1" ySplit="3" topLeftCell="B4" activePane="bottomRight" state="frozen"/>
      <selection pane="topRight"/>
      <selection pane="bottomLeft"/>
      <selection pane="bottomRight"/>
    </sheetView>
  </sheetViews>
  <sheetFormatPr baseColWidth="10" defaultColWidth="8.83203125" defaultRowHeight="15" x14ac:dyDescent="0.2"/>
  <cols>
    <col min="1" max="2" width="24" customWidth="1"/>
    <col min="3" max="3" width="22" customWidth="1"/>
    <col min="4" max="4" width="30" customWidth="1"/>
    <col min="5" max="5" width="40" customWidth="1"/>
    <col min="6" max="6" width="60" customWidth="1"/>
  </cols>
  <sheetData>
    <row r="1" spans="1:6" ht="30" customHeight="1" x14ac:dyDescent="0.2">
      <c r="A1" s="88" t="s">
        <v>8648</v>
      </c>
      <c r="B1" s="76"/>
      <c r="C1" s="76"/>
      <c r="D1" s="76"/>
      <c r="E1" s="76"/>
      <c r="F1" s="76"/>
    </row>
    <row r="2" spans="1:6" ht="22" customHeight="1" x14ac:dyDescent="0.2">
      <c r="A2" s="85" t="s">
        <v>8649</v>
      </c>
      <c r="B2" s="76"/>
      <c r="C2" s="76"/>
      <c r="D2" s="76"/>
      <c r="E2" s="76"/>
      <c r="F2" s="76"/>
    </row>
    <row r="3" spans="1:6" ht="30" customHeight="1" x14ac:dyDescent="0.2">
      <c r="A3" s="69" t="s">
        <v>227</v>
      </c>
      <c r="B3" s="69" t="s">
        <v>8650</v>
      </c>
      <c r="C3" s="69" t="s">
        <v>8651</v>
      </c>
      <c r="D3" s="69" t="s">
        <v>8652</v>
      </c>
      <c r="E3" s="69" t="s">
        <v>8653</v>
      </c>
      <c r="F3" s="69" t="s">
        <v>107</v>
      </c>
    </row>
    <row r="4" spans="1:6" ht="29" customHeight="1" x14ac:dyDescent="0.2">
      <c r="A4" s="70" t="s">
        <v>8654</v>
      </c>
      <c r="B4" s="70" t="s">
        <v>8655</v>
      </c>
      <c r="C4" s="70" t="s">
        <v>8656</v>
      </c>
      <c r="D4" s="70" t="s">
        <v>2358</v>
      </c>
      <c r="E4" s="70" t="s">
        <v>8657</v>
      </c>
      <c r="F4" s="70" t="s">
        <v>8658</v>
      </c>
    </row>
    <row r="5" spans="1:6" ht="20" customHeight="1" x14ac:dyDescent="0.2">
      <c r="A5" s="71" t="s">
        <v>8659</v>
      </c>
      <c r="B5" s="71" t="s">
        <v>8660</v>
      </c>
      <c r="C5" s="71" t="s">
        <v>8661</v>
      </c>
      <c r="D5" s="71" t="s">
        <v>8662</v>
      </c>
      <c r="E5" s="71" t="s">
        <v>8663</v>
      </c>
      <c r="F5" s="71" t="s">
        <v>8664</v>
      </c>
    </row>
    <row r="6" spans="1:6" ht="20" customHeight="1" x14ac:dyDescent="0.2">
      <c r="A6" s="70" t="s">
        <v>8665</v>
      </c>
      <c r="B6" s="70"/>
      <c r="C6" s="70"/>
      <c r="D6" s="70" t="s">
        <v>8666</v>
      </c>
      <c r="E6" s="70" t="s">
        <v>8667</v>
      </c>
      <c r="F6" s="70" t="s">
        <v>8668</v>
      </c>
    </row>
    <row r="7" spans="1:6" ht="29" customHeight="1" x14ac:dyDescent="0.2">
      <c r="A7" s="71" t="s">
        <v>8669</v>
      </c>
      <c r="B7" s="71" t="s">
        <v>8670</v>
      </c>
      <c r="C7" s="71" t="s">
        <v>8671</v>
      </c>
      <c r="D7" s="71" t="s">
        <v>8672</v>
      </c>
      <c r="E7" s="71" t="s">
        <v>8673</v>
      </c>
      <c r="F7" s="71" t="s">
        <v>8674</v>
      </c>
    </row>
    <row r="8" spans="1:6" ht="29" customHeight="1" x14ac:dyDescent="0.2">
      <c r="A8" s="70" t="s">
        <v>8675</v>
      </c>
      <c r="B8" s="70" t="s">
        <v>8676</v>
      </c>
      <c r="C8" s="70" t="s">
        <v>8671</v>
      </c>
      <c r="D8" s="70" t="s">
        <v>8677</v>
      </c>
      <c r="E8" s="70" t="s">
        <v>8678</v>
      </c>
      <c r="F8" s="70" t="s">
        <v>8679</v>
      </c>
    </row>
    <row r="9" spans="1:6" ht="29" customHeight="1" x14ac:dyDescent="0.2">
      <c r="A9" s="71" t="s">
        <v>8680</v>
      </c>
      <c r="B9" s="71" t="s">
        <v>8681</v>
      </c>
      <c r="C9" s="71" t="s">
        <v>8671</v>
      </c>
      <c r="D9" s="71" t="s">
        <v>8682</v>
      </c>
      <c r="E9" s="71" t="s">
        <v>8683</v>
      </c>
      <c r="F9" s="71" t="s">
        <v>8684</v>
      </c>
    </row>
    <row r="10" spans="1:6" ht="29" customHeight="1" x14ac:dyDescent="0.2">
      <c r="A10" s="70" t="s">
        <v>8685</v>
      </c>
      <c r="B10" s="70" t="s">
        <v>8686</v>
      </c>
      <c r="C10" s="70" t="s">
        <v>8671</v>
      </c>
      <c r="D10" s="70" t="s">
        <v>8687</v>
      </c>
      <c r="E10" s="70" t="s">
        <v>8688</v>
      </c>
      <c r="F10" s="70" t="s">
        <v>8689</v>
      </c>
    </row>
  </sheetData>
  <mergeCells count="2">
    <mergeCell ref="A2:F2"/>
    <mergeCell ref="A1:F1"/>
  </mergeCells>
  <pageMargins left="0.75" right="0.75" top="1" bottom="1" header="0.5" footer="0.5"/>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E7"/>
  <sheetViews>
    <sheetView showGridLines="0" rightToLeft="1" workbookViewId="0"/>
  </sheetViews>
  <sheetFormatPr baseColWidth="10" defaultColWidth="8.83203125" defaultRowHeight="15" x14ac:dyDescent="0.2"/>
  <cols>
    <col min="1" max="1" width="8" customWidth="1"/>
    <col min="2" max="2" width="12" customWidth="1"/>
    <col min="3" max="4" width="50" customWidth="1"/>
    <col min="5" max="5" width="20" customWidth="1"/>
  </cols>
  <sheetData>
    <row r="1" spans="1:5" ht="30" customHeight="1" x14ac:dyDescent="0.2">
      <c r="A1" s="88" t="s">
        <v>8690</v>
      </c>
      <c r="B1" s="76"/>
      <c r="C1" s="76"/>
      <c r="D1" s="76"/>
      <c r="E1" s="76"/>
    </row>
    <row r="2" spans="1:5" ht="22" customHeight="1" x14ac:dyDescent="0.2">
      <c r="A2" s="85" t="s">
        <v>8691</v>
      </c>
      <c r="B2" s="76"/>
      <c r="C2" s="76"/>
      <c r="D2" s="76"/>
      <c r="E2" s="76"/>
    </row>
    <row r="3" spans="1:5" ht="30" customHeight="1" x14ac:dyDescent="0.2">
      <c r="A3" s="69" t="s">
        <v>257</v>
      </c>
      <c r="B3" s="69" t="s">
        <v>4717</v>
      </c>
      <c r="C3" s="69" t="s">
        <v>1482</v>
      </c>
      <c r="D3" s="69" t="s">
        <v>1230</v>
      </c>
      <c r="E3" s="69" t="s">
        <v>4</v>
      </c>
    </row>
    <row r="4" spans="1:5" ht="20" customHeight="1" x14ac:dyDescent="0.2">
      <c r="A4" s="70" t="s">
        <v>8692</v>
      </c>
      <c r="B4" s="70" t="s">
        <v>8693</v>
      </c>
      <c r="C4" s="70" t="s">
        <v>8694</v>
      </c>
      <c r="D4" s="70" t="s">
        <v>8695</v>
      </c>
      <c r="E4" s="70"/>
    </row>
    <row r="5" spans="1:5" ht="29" customHeight="1" x14ac:dyDescent="0.2">
      <c r="A5" s="71" t="s">
        <v>8696</v>
      </c>
      <c r="B5" s="71" t="s">
        <v>8697</v>
      </c>
      <c r="C5" s="71" t="s">
        <v>8698</v>
      </c>
      <c r="D5" s="71" t="s">
        <v>8699</v>
      </c>
      <c r="E5" s="71" t="s">
        <v>8565</v>
      </c>
    </row>
    <row r="6" spans="1:5" ht="20" customHeight="1" x14ac:dyDescent="0.2">
      <c r="A6" s="70" t="s">
        <v>8700</v>
      </c>
      <c r="B6" s="70" t="s">
        <v>8697</v>
      </c>
      <c r="C6" s="70" t="s">
        <v>8701</v>
      </c>
      <c r="D6" s="70" t="s">
        <v>8702</v>
      </c>
      <c r="E6" s="70"/>
    </row>
    <row r="7" spans="1:5" ht="20" customHeight="1" x14ac:dyDescent="0.2">
      <c r="A7" s="71" t="s">
        <v>8703</v>
      </c>
      <c r="B7" s="71" t="s">
        <v>8704</v>
      </c>
      <c r="C7" s="71" t="s">
        <v>8705</v>
      </c>
      <c r="D7" s="71" t="s">
        <v>6333</v>
      </c>
      <c r="E7" s="71" t="s">
        <v>8706</v>
      </c>
    </row>
  </sheetData>
  <mergeCells count="2">
    <mergeCell ref="A2:E2"/>
    <mergeCell ref="A1:E1"/>
  </mergeCells>
  <pageMargins left="0.75" right="0.75" top="1" bottom="1" header="0.5" footer="0.5"/>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F23"/>
  <sheetViews>
    <sheetView showGridLines="0" rightToLeft="1" workbookViewId="0">
      <pane xSplit="1" ySplit="3" topLeftCell="B4" activePane="bottomRight" state="frozen"/>
      <selection pane="topRight"/>
      <selection pane="bottomLeft"/>
      <selection pane="bottomRight"/>
    </sheetView>
  </sheetViews>
  <sheetFormatPr baseColWidth="10" defaultColWidth="8.83203125" defaultRowHeight="15" x14ac:dyDescent="0.2"/>
  <cols>
    <col min="1" max="1" width="7" customWidth="1"/>
    <col min="2" max="2" width="60" customWidth="1"/>
    <col min="3" max="3" width="16" customWidth="1"/>
    <col min="4" max="4" width="18" customWidth="1"/>
    <col min="5" max="5" width="10" customWidth="1"/>
    <col min="6" max="6" width="40" customWidth="1"/>
  </cols>
  <sheetData>
    <row r="1" spans="1:6" ht="30" customHeight="1" x14ac:dyDescent="0.2">
      <c r="A1" s="88" t="s">
        <v>8707</v>
      </c>
      <c r="B1" s="76"/>
      <c r="C1" s="76"/>
      <c r="D1" s="76"/>
      <c r="E1" s="76"/>
      <c r="F1" s="76"/>
    </row>
    <row r="2" spans="1:6" ht="22" customHeight="1" x14ac:dyDescent="0.2">
      <c r="A2" s="85" t="s">
        <v>8708</v>
      </c>
      <c r="B2" s="76"/>
      <c r="C2" s="76"/>
      <c r="D2" s="76"/>
      <c r="E2" s="76"/>
      <c r="F2" s="76"/>
    </row>
    <row r="3" spans="1:6" ht="30" customHeight="1" x14ac:dyDescent="0.2">
      <c r="A3" s="69" t="s">
        <v>257</v>
      </c>
      <c r="B3" s="69" t="s">
        <v>339</v>
      </c>
      <c r="C3" s="69" t="s">
        <v>8709</v>
      </c>
      <c r="D3" s="69" t="s">
        <v>8710</v>
      </c>
      <c r="E3" s="69" t="s">
        <v>376</v>
      </c>
      <c r="F3" s="69" t="s">
        <v>107</v>
      </c>
    </row>
    <row r="4" spans="1:6" ht="20" customHeight="1" x14ac:dyDescent="0.2">
      <c r="A4" s="70" t="s">
        <v>8711</v>
      </c>
      <c r="B4" s="70" t="s">
        <v>8712</v>
      </c>
      <c r="C4" s="70">
        <v>30</v>
      </c>
      <c r="D4" s="70">
        <f>SUMPRODUCT(1/COUNTIF('BR Scope v41'!B4:B33,'BR Scope v41'!B4:B33))</f>
        <v>30</v>
      </c>
      <c r="E4" s="74" t="s">
        <v>1607</v>
      </c>
      <c r="F4" s="70"/>
    </row>
    <row r="5" spans="1:6" ht="20" customHeight="1" x14ac:dyDescent="0.2">
      <c r="A5" s="71" t="s">
        <v>8713</v>
      </c>
      <c r="B5" s="71" t="s">
        <v>8714</v>
      </c>
      <c r="C5" s="71">
        <v>30</v>
      </c>
      <c r="D5" s="71">
        <v>30</v>
      </c>
      <c r="E5" s="74" t="s">
        <v>1607</v>
      </c>
      <c r="F5" s="71"/>
    </row>
    <row r="6" spans="1:6" ht="20" customHeight="1" x14ac:dyDescent="0.2">
      <c r="A6" s="70" t="s">
        <v>8715</v>
      </c>
      <c r="B6" s="70" t="s">
        <v>8716</v>
      </c>
      <c r="C6" s="70">
        <v>145</v>
      </c>
      <c r="D6" s="70">
        <v>145</v>
      </c>
      <c r="E6" s="74" t="s">
        <v>1607</v>
      </c>
      <c r="F6" s="70"/>
    </row>
    <row r="7" spans="1:6" ht="20" customHeight="1" x14ac:dyDescent="0.2">
      <c r="A7" s="71" t="s">
        <v>8717</v>
      </c>
      <c r="B7" s="71" t="s">
        <v>8718</v>
      </c>
      <c r="C7" s="71">
        <v>0</v>
      </c>
      <c r="D7" s="71">
        <f>COUNTIF('BR Tenure v41'!S4:S206,"&lt;0")</f>
        <v>0</v>
      </c>
      <c r="E7" s="74" t="s">
        <v>1607</v>
      </c>
      <c r="F7" s="71"/>
    </row>
    <row r="8" spans="1:6" ht="20" customHeight="1" x14ac:dyDescent="0.2">
      <c r="A8" s="70" t="s">
        <v>8719</v>
      </c>
      <c r="B8" s="70" t="s">
        <v>8720</v>
      </c>
      <c r="C8" s="70">
        <v>0</v>
      </c>
      <c r="D8" s="70">
        <v>0</v>
      </c>
      <c r="E8" s="74" t="s">
        <v>1607</v>
      </c>
      <c r="F8" s="70"/>
    </row>
    <row r="9" spans="1:6" ht="20" customHeight="1" x14ac:dyDescent="0.2">
      <c r="A9" s="71" t="s">
        <v>8721</v>
      </c>
      <c r="B9" s="71" t="s">
        <v>8722</v>
      </c>
      <c r="C9" s="71">
        <v>0</v>
      </c>
      <c r="D9" s="71">
        <v>0</v>
      </c>
      <c r="E9" s="74" t="s">
        <v>1607</v>
      </c>
      <c r="F9" s="71"/>
    </row>
    <row r="10" spans="1:6" ht="20" customHeight="1" x14ac:dyDescent="0.2">
      <c r="A10" s="70" t="s">
        <v>8723</v>
      </c>
      <c r="B10" s="70" t="s">
        <v>8724</v>
      </c>
      <c r="C10" s="70" t="b">
        <v>1</v>
      </c>
      <c r="D10" s="70" t="b">
        <v>1</v>
      </c>
      <c r="E10" s="74" t="s">
        <v>1607</v>
      </c>
      <c r="F10" s="70"/>
    </row>
    <row r="11" spans="1:6" ht="20" customHeight="1" x14ac:dyDescent="0.2">
      <c r="A11" s="71" t="s">
        <v>8725</v>
      </c>
      <c r="B11" s="71" t="s">
        <v>8726</v>
      </c>
      <c r="C11" s="71">
        <v>0</v>
      </c>
      <c r="D11" s="71">
        <v>0</v>
      </c>
      <c r="E11" s="74" t="s">
        <v>1607</v>
      </c>
      <c r="F11" s="71"/>
    </row>
    <row r="12" spans="1:6" ht="20" customHeight="1" x14ac:dyDescent="0.2">
      <c r="A12" s="70" t="s">
        <v>8727</v>
      </c>
      <c r="B12" s="70" t="s">
        <v>8728</v>
      </c>
      <c r="C12" s="70">
        <v>0</v>
      </c>
      <c r="D12" s="70">
        <v>0</v>
      </c>
      <c r="E12" s="74" t="s">
        <v>1607</v>
      </c>
      <c r="F12" s="70"/>
    </row>
    <row r="13" spans="1:6" ht="20" customHeight="1" x14ac:dyDescent="0.2">
      <c r="A13" s="71" t="s">
        <v>8729</v>
      </c>
      <c r="B13" s="71" t="s">
        <v>8730</v>
      </c>
      <c r="C13" s="71">
        <v>0</v>
      </c>
      <c r="D13" s="71">
        <v>0</v>
      </c>
      <c r="E13" s="74" t="s">
        <v>1607</v>
      </c>
      <c r="F13" s="71"/>
    </row>
    <row r="14" spans="1:6" ht="20" customHeight="1" x14ac:dyDescent="0.2">
      <c r="A14" s="70" t="s">
        <v>8731</v>
      </c>
      <c r="B14" s="70" t="s">
        <v>8732</v>
      </c>
      <c r="C14" s="70">
        <v>0</v>
      </c>
      <c r="D14" s="70">
        <v>0</v>
      </c>
      <c r="E14" s="74" t="s">
        <v>1607</v>
      </c>
      <c r="F14" s="70"/>
    </row>
    <row r="15" spans="1:6" ht="20" customHeight="1" x14ac:dyDescent="0.2">
      <c r="A15" s="71" t="s">
        <v>8733</v>
      </c>
      <c r="B15" s="71" t="s">
        <v>8734</v>
      </c>
      <c r="C15" s="71">
        <v>0</v>
      </c>
      <c r="D15" s="71">
        <v>0</v>
      </c>
      <c r="E15" s="74" t="s">
        <v>1607</v>
      </c>
      <c r="F15" s="71"/>
    </row>
    <row r="16" spans="1:6" ht="20" customHeight="1" x14ac:dyDescent="0.2">
      <c r="A16" s="70" t="s">
        <v>8735</v>
      </c>
      <c r="B16" s="70" t="s">
        <v>8736</v>
      </c>
      <c r="C16" s="70">
        <v>0</v>
      </c>
      <c r="D16" s="70">
        <v>0</v>
      </c>
      <c r="E16" s="74" t="s">
        <v>1607</v>
      </c>
      <c r="F16" s="70"/>
    </row>
    <row r="17" spans="1:6" ht="20" customHeight="1" x14ac:dyDescent="0.2">
      <c r="A17" s="71" t="s">
        <v>8737</v>
      </c>
      <c r="B17" s="71" t="s">
        <v>8738</v>
      </c>
      <c r="C17" s="71">
        <v>0</v>
      </c>
      <c r="D17" s="71">
        <v>0</v>
      </c>
      <c r="E17" s="74" t="s">
        <v>1607</v>
      </c>
      <c r="F17" s="71" t="s">
        <v>8739</v>
      </c>
    </row>
    <row r="18" spans="1:6" ht="43.5" customHeight="1" x14ac:dyDescent="0.2">
      <c r="A18" s="70" t="s">
        <v>8740</v>
      </c>
      <c r="B18" s="70" t="s">
        <v>8741</v>
      </c>
      <c r="C18" s="70" t="s">
        <v>8742</v>
      </c>
      <c r="D18" s="70" t="s">
        <v>8742</v>
      </c>
      <c r="E18" s="74" t="s">
        <v>1607</v>
      </c>
      <c r="F18" s="70" t="s">
        <v>8743</v>
      </c>
    </row>
    <row r="19" spans="1:6" ht="20" customHeight="1" x14ac:dyDescent="0.2">
      <c r="A19" s="71" t="s">
        <v>8744</v>
      </c>
      <c r="B19" s="71" t="s">
        <v>8745</v>
      </c>
      <c r="C19" s="71" t="s">
        <v>8742</v>
      </c>
      <c r="D19" s="71" t="s">
        <v>8742</v>
      </c>
      <c r="E19" s="74" t="s">
        <v>1607</v>
      </c>
      <c r="F19" s="71" t="s">
        <v>8746</v>
      </c>
    </row>
    <row r="20" spans="1:6" ht="20" customHeight="1" x14ac:dyDescent="0.2">
      <c r="A20" s="70" t="s">
        <v>8747</v>
      </c>
      <c r="B20" s="70" t="s">
        <v>8748</v>
      </c>
      <c r="C20" s="70" t="s">
        <v>8742</v>
      </c>
      <c r="D20" s="70" t="s">
        <v>8742</v>
      </c>
      <c r="E20" s="74" t="s">
        <v>1607</v>
      </c>
      <c r="F20" s="70" t="s">
        <v>8749</v>
      </c>
    </row>
    <row r="21" spans="1:6" ht="43.5" customHeight="1" x14ac:dyDescent="0.2">
      <c r="A21" s="71" t="s">
        <v>8750</v>
      </c>
      <c r="B21" s="71" t="s">
        <v>8751</v>
      </c>
      <c r="C21" s="71" t="s">
        <v>8742</v>
      </c>
      <c r="D21" s="71" t="s">
        <v>8742</v>
      </c>
      <c r="E21" s="74" t="s">
        <v>1607</v>
      </c>
      <c r="F21" s="71" t="s">
        <v>8752</v>
      </c>
    </row>
    <row r="22" spans="1:6" ht="58" customHeight="1" x14ac:dyDescent="0.2">
      <c r="A22" s="70" t="s">
        <v>8753</v>
      </c>
      <c r="B22" s="70" t="s">
        <v>8754</v>
      </c>
      <c r="C22" s="70" t="s">
        <v>8755</v>
      </c>
      <c r="D22" s="70" t="s">
        <v>8755</v>
      </c>
      <c r="E22" s="74" t="s">
        <v>1607</v>
      </c>
      <c r="F22" s="70" t="s">
        <v>8756</v>
      </c>
    </row>
    <row r="23" spans="1:6" ht="29" customHeight="1" x14ac:dyDescent="0.2">
      <c r="A23" s="71" t="s">
        <v>8757</v>
      </c>
      <c r="B23" s="71" t="s">
        <v>8758</v>
      </c>
      <c r="C23" s="71" t="s">
        <v>8759</v>
      </c>
      <c r="D23" s="71" t="s">
        <v>8759</v>
      </c>
      <c r="E23" s="74" t="s">
        <v>1607</v>
      </c>
      <c r="F23" s="71" t="s">
        <v>8760</v>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88</vt:i4>
      </vt:variant>
      <vt:variant>
        <vt:lpstr>Named Ranges</vt:lpstr>
      </vt:variant>
      <vt:variant>
        <vt:i4>6</vt:i4>
      </vt:variant>
    </vt:vector>
  </HeadingPairs>
  <TitlesOfParts>
    <vt:vector size="94" baseType="lpstr">
      <vt:lpstr>راهنمای نسخه v39</vt:lpstr>
      <vt:lpstr>Gap Review v39</vt:lpstr>
      <vt:lpstr>CR1A v39</vt:lpstr>
      <vt:lpstr>Sources v39</vt:lpstr>
      <vt:lpstr>QA v39</vt:lpstr>
      <vt:lpstr>راهنمای نسخه v37</vt:lpstr>
      <vt:lpstr>راهنمای محاسبات و منابع</vt:lpstr>
      <vt:lpstr>گپ های باز</vt:lpstr>
      <vt:lpstr>خلاصه نهایی</vt:lpstr>
      <vt:lpstr>جدول استاد</vt:lpstr>
      <vt:lpstr>کاندید دکترا N02</vt:lpstr>
      <vt:lpstr>معماری به روز شده</vt:lpstr>
      <vt:lpstr>Constructهای مستقل</vt:lpstr>
      <vt:lpstr>وضعیت ۳۰ شرکت</vt:lpstr>
      <vt:lpstr>Turnover نهایی</vt:lpstr>
      <vt:lpstr>پوشش نهایی</vt:lpstr>
      <vt:lpstr>Variation نهایی</vt:lpstr>
      <vt:lpstr>Correlation</vt:lpstr>
      <vt:lpstr>Construct ایران محور</vt:lpstr>
      <vt:lpstr>۱۲ شاخص اصلی BSI</vt:lpstr>
      <vt:lpstr>ثبت منابع Batchها</vt:lpstr>
      <vt:lpstr>Audit Trail</vt:lpstr>
      <vt:lpstr>چک لیست نهایی</vt:lpstr>
      <vt:lpstr>تغییرات ممیزی v36</vt:lpstr>
      <vt:lpstr>خلاصه ممیزی</vt:lpstr>
      <vt:lpstr>Audit Workbook</vt:lpstr>
      <vt:lpstr>Audit شرکت ها</vt:lpstr>
      <vt:lpstr>Audit Measureها</vt:lpstr>
      <vt:lpstr>Audit فرمول ها</vt:lpstr>
      <vt:lpstr>Audit منابع</vt:lpstr>
      <vt:lpstr>Audit Cutoff</vt:lpstr>
      <vt:lpstr>Audit Missingness</vt:lpstr>
      <vt:lpstr>Audit Coverage</vt:lpstr>
      <vt:lpstr>Audit Turnover</vt:lpstr>
      <vt:lpstr>Audit Representative Change</vt:lpstr>
      <vt:lpstr>Audit Legal Entity Change</vt:lpstr>
      <vt:lpstr>Audit Diversity</vt:lpstr>
      <vt:lpstr>Audit Independence</vt:lpstr>
      <vt:lpstr>Audit Committees</vt:lpstr>
      <vt:lpstr>Audit Directionality</vt:lpstr>
      <vt:lpstr>Audit Redundancy</vt:lpstr>
      <vt:lpstr>Conflict Log</vt:lpstr>
      <vt:lpstr>Required Corrections</vt:lpstr>
      <vt:lpstr>Verified Measures</vt:lpstr>
      <vt:lpstr>Final Audit Verdict</vt:lpstr>
      <vt:lpstr>خلاصه Candidateها</vt:lpstr>
      <vt:lpstr>تمام Measureهای پیشنهادی</vt:lpstr>
      <vt:lpstr>Measureهای فعلی</vt:lpstr>
      <vt:lpstr>Measureهای جدید</vt:lpstr>
      <vt:lpstr>Construct Family</vt:lpstr>
      <vt:lpstr>Feasibility Test</vt:lpstr>
      <vt:lpstr>Source Availability</vt:lpstr>
      <vt:lpstr>Coverage Potential</vt:lpstr>
      <vt:lpstr>Historical Feasibility</vt:lpstr>
      <vt:lpstr>Scalability 500 Firms</vt:lpstr>
      <vt:lpstr>Automation Potential</vt:lpstr>
      <vt:lpstr>Directionality</vt:lpstr>
      <vt:lpstr>Overlap Matrix</vt:lpstr>
      <vt:lpstr>Incremental Information</vt:lpstr>
      <vt:lpstr>Robustness Measures</vt:lpstr>
      <vt:lpstr>Targeted Validation</vt:lpstr>
      <vt:lpstr>Scale Up Candidates</vt:lpstr>
      <vt:lpstr>Drop Candidates</vt:lpstr>
      <vt:lpstr>Final Recommended Architecture</vt:lpstr>
      <vt:lpstr>Turnover Resolution Audit</vt:lpstr>
      <vt:lpstr>Turnover Resolution Summary</vt:lpstr>
      <vt:lpstr>Turnover Seat Reconstruction</vt:lpstr>
      <vt:lpstr>v38 Change Log</vt:lpstr>
      <vt:lpstr>Changes v39</vt:lpstr>
      <vt:lpstr>AC Members v40</vt:lpstr>
      <vt:lpstr>AC Company v40</vt:lpstr>
      <vt:lpstr>AC Sources v40</vt:lpstr>
      <vt:lpstr>AC Dictionary v40</vt:lpstr>
      <vt:lpstr>AC Candidates v40</vt:lpstr>
      <vt:lpstr>AC Audit v40</vt:lpstr>
      <vt:lpstr>AC Coverage v40</vt:lpstr>
      <vt:lpstr>Changes v40</vt:lpstr>
      <vt:lpstr>BR Scope v41</vt:lpstr>
      <vt:lpstr>BR Independence v41</vt:lpstr>
      <vt:lpstr>BR Roles v41</vt:lpstr>
      <vt:lpstr>BR Tenure v41</vt:lpstr>
      <vt:lpstr>BR Summary v41</vt:lpstr>
      <vt:lpstr>BR Sources v41</vt:lpstr>
      <vt:lpstr>BR Audit v41</vt:lpstr>
      <vt:lpstr>BR Dictionary v41</vt:lpstr>
      <vt:lpstr>BR Coverage v41</vt:lpstr>
      <vt:lpstr>Changes v41</vt:lpstr>
      <vt:lpstr>QA v41</vt:lpstr>
      <vt:lpstr>'Changes v39'!Print_Titles</vt:lpstr>
      <vt:lpstr>'CR1A v39'!Print_Titles</vt:lpstr>
      <vt:lpstr>'Gap Review v39'!Print_Titles</vt:lpstr>
      <vt:lpstr>'QA v39'!Print_Titles</vt:lpstr>
      <vt:lpstr>'Sources v39'!Print_Titles</vt:lpstr>
      <vt:lpstr>'راهنمای نسخه v39'!Print_Titles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Iran BSI v37 Final Master Audited</dc:title>
  <dc:subject>Integrated audited pilot workbook with source and calculation traceability</dc:subject>
  <dc:creator>openpyxl</dc:creator>
  <dc:description>Built from v36 corrected integrated workbook, independent audit, and additional measure candidate analysis.</dc:description>
  <cp:lastModifiedBy>Farbod Salimi</cp:lastModifiedBy>
  <cp:revision>0</cp:revision>
  <dcterms:created xsi:type="dcterms:W3CDTF">2026-10-01T10:05:49Z</dcterms:created>
  <dcterms:modified xsi:type="dcterms:W3CDTF">2026-10-02T12:28:12Z</dcterms:modified>
  <dc:language>en-US</dc:language>
</cp:coreProperties>
</file>